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tart" sheetId="1" state="visible" r:id="rId1"/>
    <sheet name="01_Dashboard" sheetId="2" state="visible" r:id="rId2"/>
    <sheet name="02_Home" sheetId="3" state="visible" r:id="rId3"/>
    <sheet name="10_Inputs" sheetId="4" state="visible" r:id="rId4"/>
    <sheet name="11_Scenarios" sheetId="5" state="visible" r:id="rId5"/>
    <sheet name="12_TaxLaw" sheetId="6" state="visible" r:id="rId6"/>
    <sheet name="20_Timeline" sheetId="7" state="visible" r:id="rId7"/>
    <sheet name="21_Area" sheetId="8" state="visible" r:id="rId8"/>
    <sheet name="22_Capex" sheetId="9" state="visible" r:id="rId9"/>
    <sheet name="23_Construction" sheetId="10" state="visible" r:id="rId10"/>
    <sheet name="24_Revenue" sheetId="11" state="visible" r:id="rId11"/>
    <sheet name="25_Opex" sheetId="12" state="visible" r:id="rId12"/>
    <sheet name="26_Assets" sheetId="13" state="visible" r:id="rId13"/>
    <sheet name="27_Loan" sheetId="14" state="visible" r:id="rId14"/>
    <sheet name="28_Tax" sheetId="15" state="visible" r:id="rId15"/>
    <sheet name="29_VAT" sheetId="16" state="visible" r:id="rId16"/>
    <sheet name="30_WorkingCap" sheetId="17" state="visible" r:id="rId17"/>
    <sheet name="40_PL" sheetId="18" state="visible" r:id="rId18"/>
    <sheet name="41_BS" sheetId="19" state="visible" r:id="rId19"/>
    <sheet name="42_CF" sheetId="20" state="visible" r:id="rId20"/>
    <sheet name="43_Ratios" sheetId="21" state="visible" r:id="rId21"/>
    <sheet name="50_Returns" sheetId="22" state="visible" r:id="rId22"/>
    <sheet name="51_Payback" sheetId="23" state="visible" r:id="rId23"/>
    <sheet name="52_Sensitivity" sheetId="24" state="visible" r:id="rId24"/>
    <sheet name="60_Checks" sheetId="25" state="visible" r:id="rId25"/>
    <sheet name="61_Glossary" sheetId="26" state="visible" r:id="rId26"/>
    <sheet name="Lists" sheetId="27" state="hidden" r:id="rId27"/>
  </sheets>
  <definedNames>
    <definedName name="L_MODE">Lists!$A$2:$A$5</definedName>
    <definedName name="L_DATASET">Lists!$B$2:$B$4</definedName>
    <definedName name="L_SCEN">Lists!$C$2:$C$5</definedName>
    <definedName name="L_UNITS">Lists!$D$2:$D$4</definedName>
    <definedName name="L_FINISH">Lists!$E$2:$E$4</definedName>
    <definedName name="L_YN">Lists!$F$2:$F$3</definedName>
    <definedName name="L_USE">Lists!$G$2:$G$6</definedName>
    <definedName name="L_METHOD">Lists!$H$2:$H$3</definedName>
    <definedName name="L_BTYPE">Lists!$I$2:$I$6</definedName>
    <definedName name="L_LOC">Lists!$J$2:$J$3</definedName>
    <definedName name="L_LAND">Lists!$K$2:$K$4</definedName>
    <definedName name="L_SCURVE">Lists!$L$2:$L$4</definedName>
    <definedName name="L_DRAW">Lists!$M$2:$M$3</definedName>
    <definedName name="L_RATETYPE">Lists!$N$2:$N$3</definedName>
    <definedName name="L_GRACE">Lists!$O$2:$O$3</definedName>
    <definedName name="L_REPAY">Lists!$P$2:$P$4</definedName>
    <definedName name="L_FREQ">Lists!$Q$2:$Q$4</definedName>
    <definedName name="L_REV">Lists!$R$2:$R$3</definedName>
    <definedName name="L_OPEXM">Lists!$S$2:$S$3</definedName>
    <definedName name="L_EXIT">Lists!$T$2:$T$3</definedName>
    <definedName name="PROJ_NAME">'10_Inputs'!$H$10</definedName>
    <definedName name="LOCATION">'10_Inputs'!$H$11</definedName>
    <definedName name="LOC_TYPE">'10_Inputs'!$H$12</definedName>
    <definedName name="PLOT_AREA">'10_Inputs'!$H$13</definedName>
    <definedName name="FAR">'10_Inputs'!$H$14</definedName>
    <definedName name="START_DATE">'10_Inputs'!$H$15</definedName>
    <definedName name="CONSTR_M">'10_Inputs'!$H$16</definedName>
    <definedName name="FX_USD">'10_Inputs'!$H$17</definedName>
    <definedName name="BLDG_TYPE">'10_Inputs'!$H$19</definedName>
    <definedName name="BASEMENT_YN">'10_Inputs'!$H$20</definedName>
    <definedName name="FINISH">'10_Inputs'!$H$21</definedName>
    <definedName name="HH_INCOME">'10_Inputs'!$H$22</definedName>
    <definedName name="AFFORD_MAX">'10_Inputs'!$H$23</definedName>
    <definedName name="EST_LOW">'10_Inputs'!$H$24</definedName>
    <definedName name="EST_HIGH">'10_Inputs'!$H$25</definedName>
    <definedName name="SAVINGS">'10_Inputs'!$H$26</definedName>
    <definedName name="FAMILY">'10_Inputs'!$H$27</definedName>
    <definedName name="HOME_LOAN">'10_Inputs'!$H$28</definedName>
    <definedName name="RENT_HOME_F">'10_Inputs'!$H$29</definedName>
    <definedName name="RENT_HOME_AREA">'10_Inputs'!$H$30</definedName>
    <definedName name="RENT_HOME_MONTHLY">'10_Inputs'!$H$31</definedName>
    <definedName name="FL_A1">'10_Inputs'!$H$33</definedName>
    <definedName name="FL_A2">'10_Inputs'!$H$34</definedName>
    <definedName name="FL_A3">'10_Inputs'!$H$35</definedName>
    <definedName name="FL_A4">'10_Inputs'!$H$36</definedName>
    <definedName name="FL_A5">'10_Inputs'!$H$37</definedName>
    <definedName name="FL_A6">'10_Inputs'!$H$38</definedName>
    <definedName name="FL_A7">'10_Inputs'!$H$39</definedName>
    <definedName name="FL_A8">'10_Inputs'!$H$40</definedName>
    <definedName name="FL_A9">'10_Inputs'!$H$41</definedName>
    <definedName name="FL_A10">'10_Inputs'!$H$42</definedName>
    <definedName name="FL_A11">'10_Inputs'!$H$43</definedName>
    <definedName name="FL_A12">'10_Inputs'!$H$44</definedName>
    <definedName name="FL_A13">'10_Inputs'!$H$45</definedName>
    <definedName name="FL_A14">'10_Inputs'!$H$46</definedName>
    <definedName name="FL_A15">'10_Inputs'!$H$47</definedName>
    <definedName name="FL_A16">'10_Inputs'!$H$48</definedName>
    <definedName name="FL_U1">'10_Inputs'!$H$50</definedName>
    <definedName name="FL_U2">'10_Inputs'!$H$51</definedName>
    <definedName name="FL_U3">'10_Inputs'!$H$52</definedName>
    <definedName name="FL_U4">'10_Inputs'!$H$53</definedName>
    <definedName name="FL_U5">'10_Inputs'!$H$54</definedName>
    <definedName name="FL_U6">'10_Inputs'!$H$55</definedName>
    <definedName name="FL_U7">'10_Inputs'!$H$56</definedName>
    <definedName name="FL_U8">'10_Inputs'!$H$57</definedName>
    <definedName name="FL_U9">'10_Inputs'!$H$58</definedName>
    <definedName name="FL_U10">'10_Inputs'!$H$59</definedName>
    <definedName name="FL_U11">'10_Inputs'!$H$60</definedName>
    <definedName name="FL_U12">'10_Inputs'!$H$61</definedName>
    <definedName name="FL_U13">'10_Inputs'!$H$62</definedName>
    <definedName name="FL_U14">'10_Inputs'!$H$63</definedName>
    <definedName name="FL_U15">'10_Inputs'!$H$64</definedName>
    <definedName name="FL_U16">'10_Inputs'!$H$65</definedName>
    <definedName name="EFF_RES">'10_Inputs'!$H$67</definedName>
    <definedName name="EFF_RET">'10_Inputs'!$H$68</definedName>
    <definedName name="EFF_OFF">'10_Inputs'!$H$69</definedName>
    <definedName name="EFF_PAR">'10_Inputs'!$H$70</definedName>
    <definedName name="EFF_OTH">'10_Inputs'!$H$71</definedName>
    <definedName name="SOLD_RES">'10_Inputs'!$H$72</definedName>
    <definedName name="SOLD_RET">'10_Inputs'!$H$73</definedName>
    <definedName name="SOLD_OFF">'10_Inputs'!$H$74</definedName>
    <definedName name="SOLD_PAR">'10_Inputs'!$H$75</definedName>
    <definedName name="SOLD_OTH">'10_Inputs'!$H$76</definedName>
    <definedName name="OWNUSE_PCT">'10_Inputs'!$H$77</definedName>
    <definedName name="METH_PRELIM">'10_Inputs'!$H$79</definedName>
    <definedName name="METH_SUBSTR">'10_Inputs'!$H$80</definedName>
    <definedName name="METH_SUPER">'10_Inputs'!$H$81</definedName>
    <definedName name="METH_ENVEL">'10_Inputs'!$H$82</definedName>
    <definedName name="METH_INTERN">'10_Inputs'!$H$83</definedName>
    <definedName name="METH_FINISH">'10_Inputs'!$H$84</definedName>
    <definedName name="METH_MEP">'10_Inputs'!$H$85</definedName>
    <definedName name="METH_EXTW">'10_Inputs'!$H$86</definedName>
    <definedName name="METH_SPEC">'10_Inputs'!$H$87</definedName>
    <definedName name="LUMP_PRELIM">'10_Inputs'!$H$88</definedName>
    <definedName name="LUMP_SUBSTR">'10_Inputs'!$H$89</definedName>
    <definedName name="LUMP_SUPER">'10_Inputs'!$H$90</definedName>
    <definedName name="LUMP_ENVEL">'10_Inputs'!$H$91</definedName>
    <definedName name="LUMP_INTERN">'10_Inputs'!$H$92</definedName>
    <definedName name="LUMP_FINISH">'10_Inputs'!$H$93</definedName>
    <definedName name="LUMP_MEP">'10_Inputs'!$H$94</definedName>
    <definedName name="LUMP_EXTW">'10_Inputs'!$H$95</definedName>
    <definedName name="LUMP_SPEC">'10_Inputs'!$H$96</definedName>
    <definedName name="STOREY_UPLIFT">'10_Inputs'!$H$97</definedName>
    <definedName name="BASEMENT_RATE">'10_Inputs'!$H$98</definedName>
    <definedName name="COMPOUND_YN">'10_Inputs'!$H$99</definedName>
    <definedName name="COMPOUND_LEN">'10_Inputs'!$H$100</definedName>
    <definedName name="COMPOUND_RATE">'10_Inputs'!$H$101</definedName>
    <definedName name="SEPTIC_YN">'10_Inputs'!$H$102</definedName>
    <definedName name="SEPTIC_QTY">'10_Inputs'!$H$103</definedName>
    <definedName name="SEPTIC_RATE">'10_Inputs'!$H$104</definedName>
    <definedName name="WTANK_YN">'10_Inputs'!$H$105</definedName>
    <definedName name="WTANK_QTY">'10_Inputs'!$H$106</definedName>
    <definedName name="WTANK_RATE">'10_Inputs'!$H$107</definedName>
    <definedName name="EXT_M2">'10_Inputs'!$H$108</definedName>
    <definedName name="EXT_RATE">'10_Inputs'!$H$109</definedName>
    <definedName name="CONT_PCT">'10_Inputs'!$H$110</definedName>
    <definedName name="DESIGN_PCT">'10_Inputs'!$H$111</definedName>
    <definedName name="DESIGN_UPFRONT">'10_Inputs'!$H$112</definedName>
    <definedName name="SUPERV_PCT">'10_Inputs'!$H$113</definedName>
    <definedName name="PERMITS">'10_Inputs'!$H$114</definedName>
    <definedName name="FFE">'10_Inputs'!$H$115</definedName>
    <definedName name="ESC_PA">'10_Inputs'!$H$116</definedName>
    <definedName name="INDEX_USE">'10_Inputs'!$H$117</definedName>
    <definedName name="INDEX_BASE">'10_Inputs'!$H$118</definedName>
    <definedName name="SCURVE_TYPE">'10_Inputs'!$H$119</definedName>
    <definedName name="SCURVE_A">'10_Inputs'!$H$120</definedName>
    <definedName name="RETENTION">'10_Inputs'!$H$121</definedName>
    <definedName name="RET_REL_M">'10_Inputs'!$H$122</definedName>
    <definedName name="VAT_CAPEX_PCT">'10_Inputs'!$H$123</definedName>
    <definedName name="LAND_TYPE">'10_Inputs'!$H$125</definedName>
    <definedName name="LAND_VALUE">'10_Inputs'!$H$126</definedName>
    <definedName name="LEASE_DP">'10_Inputs'!$H$127</definedName>
    <definedName name="LEASE_N">'10_Inputs'!$H$128</definedName>
    <definedName name="LEASE_INT">'10_Inputs'!$H$129</definedName>
    <definedName name="PRICE_RES">'10_Inputs'!$H$131</definedName>
    <definedName name="PRICE_RET">'10_Inputs'!$H$132</definedName>
    <definedName name="PRICE_OFF">'10_Inputs'!$H$133</definedName>
    <definedName name="PRICE_PAR">'10_Inputs'!$H$134</definedName>
    <definedName name="PRICE_OTH">'10_Inputs'!$H$135</definedName>
    <definedName name="PRICE_ESC">'10_Inputs'!$H$136</definedName>
    <definedName name="PRESALE_1">'10_Inputs'!$H$137</definedName>
    <definedName name="PRESALE_2">'10_Inputs'!$H$138</definedName>
    <definedName name="PRESALE_3">'10_Inputs'!$H$139</definedName>
    <definedName name="PRESALE_4">'10_Inputs'!$H$140</definedName>
    <definedName name="ABS_1">'10_Inputs'!$H$141</definedName>
    <definedName name="ABS_2">'10_Inputs'!$H$142</definedName>
    <definedName name="ABS_3">'10_Inputs'!$H$143</definedName>
    <definedName name="ABS_4">'10_Inputs'!$H$144</definedName>
    <definedName name="PAY_DP">'10_Inputs'!$H$145</definedName>
    <definedName name="PAY_INST">'10_Inputs'!$H$146</definedName>
    <definedName name="COMM_PCT">'10_Inputs'!$H$147</definedName>
    <definedName name="DEFAULT_PCT">'10_Inputs'!$H$148</definedName>
    <definedName name="MKT_PCT">'10_Inputs'!$H$149</definedName>
    <definedName name="REV_POLICY">'10_Inputs'!$H$150</definedName>
    <definedName name="VAT_SALES_PCT">'10_Inputs'!$H$151</definedName>
    <definedName name="RENT_RES">'10_Inputs'!$H$153</definedName>
    <definedName name="RENT_RET">'10_Inputs'!$H$154</definedName>
    <definedName name="RENT_OFF">'10_Inputs'!$H$155</definedName>
    <definedName name="RENT_PAR">'10_Inputs'!$H$156</definedName>
    <definedName name="RENT_OTH">'10_Inputs'!$H$157</definedName>
    <definedName name="OCC_O1">'10_Inputs'!$H$158</definedName>
    <definedName name="OCC_O2">'10_Inputs'!$H$159</definedName>
    <definedName name="OCC_STAB">'10_Inputs'!$H$160</definedName>
    <definedName name="RENT_ESC">'10_Inputs'!$H$161</definedName>
    <definedName name="KEY_MONTHS">'10_Inputs'!$H$162</definedName>
    <definedName name="KEY_AMORT_Y">'10_Inputs'!$H$163</definedName>
    <definedName name="SC_RECOV">'10_Inputs'!$H$164</definedName>
    <definedName name="BAD_DEBT">'10_Inputs'!$H$165</definedName>
    <definedName name="OTHER_INC">'10_Inputs'!$H$166</definedName>
    <definedName name="RENT_VAT_PCT">'10_Inputs'!$H$167</definedName>
    <definedName name="OPEX_METHOD">'10_Inputs'!$H$169</definedName>
    <definedName name="OPEX_PCT">'10_Inputs'!$H$170</definedName>
    <definedName name="OPEX_M2">'10_Inputs'!$H$171</definedName>
    <definedName name="MGMT_PCT">'10_Inputs'!$H$172</definedName>
    <definedName name="INS_PCT">'10_Inputs'!$H$173</definedName>
    <definedName name="PROPTAX_PCT">'10_Inputs'!$H$174</definedName>
    <definedName name="MAINT_PCT">'10_Inputs'!$H$175</definedName>
    <definedName name="OVERHEAD">'10_Inputs'!$H$176</definedName>
    <definedName name="OPEX_ESC">'10_Inputs'!$H$177</definedName>
    <definedName name="OPEX_VAT_PCT">'10_Inputs'!$H$178</definedName>
    <definedName name="RECV_DAYS">'10_Inputs'!$H$179</definedName>
    <definedName name="PAY_DAYS">'10_Inputs'!$H$180</definedName>
    <definedName name="EQ_PCT">'10_Inputs'!$H$182</definedName>
    <definedName name="DRAW_ORDER">'10_Inputs'!$H$183</definedName>
    <definedName name="PRESALE_USE">'10_Inputs'!$H$184</definedName>
    <definedName name="PRESALE_USE_PCT">'10_Inputs'!$H$185</definedName>
    <definedName name="LOAN_CAP">'10_Inputs'!$H$186</definedName>
    <definedName name="RATE_TYPE">'10_Inputs'!$H$187</definedName>
    <definedName name="RATE">'10_Inputs'!$H$188</definedName>
    <definedName name="RATE_O1">'10_Inputs'!$H$189</definedName>
    <definedName name="RATE_O2">'10_Inputs'!$H$190</definedName>
    <definedName name="RATE_O3">'10_Inputs'!$H$191</definedName>
    <definedName name="RATE_O4">'10_Inputs'!$H$192</definedName>
    <definedName name="RATE_O5">'10_Inputs'!$H$193</definedName>
    <definedName name="RATE_O6">'10_Inputs'!$H$194</definedName>
    <definedName name="RATE_O7">'10_Inputs'!$H$195</definedName>
    <definedName name="RATE_O8">'10_Inputs'!$H$196</definedName>
    <definedName name="RATE_O9">'10_Inputs'!$H$197</definedName>
    <definedName name="RATE_O10">'10_Inputs'!$H$198</definedName>
    <definedName name="GRACE_M">'10_Inputs'!$H$199</definedName>
    <definedName name="GRACE_TYPE">'10_Inputs'!$H$200</definedName>
    <definedName name="TENOR_Y">'10_Inputs'!$H$201</definedName>
    <definedName name="REPAY_TYPE">'10_Inputs'!$H$202</definedName>
    <definedName name="BALLOON_PCT">'10_Inputs'!$H$203</definedName>
    <definedName name="FREQ">'10_Inputs'!$H$204</definedName>
    <definedName name="ARR_FEE">'10_Inputs'!$H$205</definedName>
    <definedName name="COMMIT_FEE">'10_Inputs'!$H$206</definedName>
    <definedName name="DSRA_M">'10_Inputs'!$H$207</definedName>
    <definedName name="SWEEP">'10_Inputs'!$H$208</definedName>
    <definedName name="DSCR_COV">'10_Inputs'!$H$209</definedName>
    <definedName name="DIST_SURPLUS">'10_Inputs'!$H$210</definedName>
    <definedName name="MIN_CASH">'10_Inputs'!$H$211</definedName>
    <definedName name="CIT">'10_Inputs'!$H$213</definedName>
    <definedName name="TAXDEP_BLD">'10_Inputs'!$H$214</definedName>
    <definedName name="TAXDEP_PLANT">'10_Inputs'!$H$215</definedName>
    <definedName name="LCF_YEARS">'10_Inputs'!$H$216</definedName>
    <definedName name="LCF_CAP">'10_Inputs'!$H$217</definedName>
    <definedName name="VAT_R">'10_Inputs'!$H$218</definedName>
    <definedName name="VAT_REFUND_F">'10_Inputs'!$H$219</definedName>
    <definedName name="UPT_R">'10_Inputs'!$H$220</definedName>
    <definedName name="DIV_PAYOUT">'10_Inputs'!$H$221</definedName>
    <definedName name="DIV_WHT">'10_Inputs'!$H$222</definedName>
    <definedName name="LR_PCT">'10_Inputs'!$H$223</definedName>
    <definedName name="LR_CAP">'10_Inputs'!$H$224</definedName>
    <definedName name="LIFE_BLD">'10_Inputs'!$H$225</definedName>
    <definedName name="LIFE_SYS">'10_Inputs'!$H$226</definedName>
    <definedName name="LIFE_FFE">'10_Inputs'!$H$227</definedName>
    <definedName name="FFE_LIFE_CAP">'10_Inputs'!$H$228</definedName>
    <definedName name="DISC">'10_Inputs'!$H$230</definedName>
    <definedName name="COE">'10_Inputs'!$H$231</definedName>
    <definedName name="EXIT_METHOD">'10_Inputs'!$H$232</definedName>
    <definedName name="EXIT_CAP">'10_Inputs'!$H$233</definedName>
    <definedName name="EXIT_MULT">'10_Inputs'!$H$234</definedName>
    <definedName name="EXIT_COST">'10_Inputs'!$H$235</definedName>
    <definedName name="HURDLE">'10_Inputs'!$H$236</definedName>
    <definedName name="MARGIN_BAND">'10_Inputs'!$H$237</definedName>
    <definedName name="RATE_PATH">'10_Inputs'!$H$189:$H$198</definedName>
    <definedName name="RATE_LIB">'10_Inputs'!$E$241:$G$249</definedName>
    <definedName name="LOCF_ADDIS">'10_Inputs'!$E$252</definedName>
    <definedName name="LOCF_REG">'10_Inputs'!$E$253</definedName>
    <definedName name="PS_EFF">'24_Revenue'!$D$16:$D$19</definedName>
    <definedName name="SALES_COLL_OPS">'24_Revenue'!$I$51:$R$51</definedName>
    <definedName name="SC_PRICE">'11_Scenarios'!$I$12</definedName>
    <definedName name="SC_RENT">'11_Scenarios'!$I$13</definedName>
    <definedName name="SC_OCC">'11_Scenarios'!$I$14</definedName>
    <definedName name="SC_COST">'11_Scenarios'!$I$15</definedName>
    <definedName name="SC_DELAY">'11_Scenarios'!$I$16</definedName>
    <definedName name="SC_RATE">'11_Scenarios'!$I$17</definedName>
    <definedName name="SC_PRESALE">'11_Scenarios'!$I$18</definedName>
    <definedName name="SC_EXITCAP">'11_Scenarios'!$I$19</definedName>
    <definedName name="SC_OPEX">'11_Scenarios'!$I$20</definedName>
    <definedName name="SC_ESC">'11_Scenarios'!$I$21</definedName>
    <definedName name="SC_RESC">'11_Scenarios'!$I$22</definedName>
    <definedName name="SC_PESC">'11_Scenarios'!$I$23</definedName>
    <definedName name="SC_DEFAULT">'11_Scenarios'!$I$24</definedName>
    <definedName name="SC_DISC">'11_Scenarios'!$I$25</definedName>
    <definedName name="SC_ABS">'11_Scenarios'!$I$26</definedName>
    <definedName name="SCEN">'11_Scenarios'!$D$29</definedName>
    <definedName name="D_PRICE_F">'11_Scenarios'!$D$30</definedName>
    <definedName name="D_RENT_F">'11_Scenarios'!$D$31</definedName>
    <definedName name="D_COST_F">'11_Scenarios'!$D$32</definedName>
    <definedName name="D_OPEX_F">'11_Scenarios'!$D$33</definedName>
    <definedName name="D_OCC_ADD">'11_Scenarios'!$D$34</definedName>
    <definedName name="D_OCC_F">'11_Scenarios'!$D$35</definedName>
    <definedName name="D_RATE_ADD">'11_Scenarios'!$D$36</definedName>
    <definedName name="D_RATE_F">'11_Scenarios'!$D$37</definedName>
    <definedName name="RATE_EFF">'11_Scenarios'!$D$38</definedName>
    <definedName name="CONSTR_EFF">'11_Scenarios'!$D$39</definedName>
    <definedName name="D_PRESALE_F">'11_Scenarios'!$D$40</definedName>
    <definedName name="EXIT_CAP_EFF">'11_Scenarios'!$D$41</definedName>
    <definedName name="ESC_EFF">'11_Scenarios'!$D$42</definedName>
    <definedName name="RESC_EFF">'11_Scenarios'!$D$43</definedName>
    <definedName name="PESC_EFF">'11_Scenarios'!$D$44</definedName>
    <definedName name="DEFAULT_EFF">'11_Scenarios'!$D$45</definedName>
    <definedName name="DISC_EFF">'11_Scenarios'!$D$46</definedName>
    <definedName name="COE_EFF">'11_Scenarios'!$D$47</definedName>
    <definedName name="ABS_F">'11_Scenarios'!$D$48</definedName>
    <definedName name="OPS_YEARS">'20_Timeline'!$D$31</definedName>
    <definedName name="CONSTR_Y">'20_Timeline'!$D$32</definedName>
    <definedName name="COD_DATE">'20_Timeline'!$D$33</definedName>
    <definedName name="END_DATE">'20_Timeline'!$D$34</definedName>
    <definedName name="GFA">'21_Area'!$D$18</definedName>
    <definedName name="GFA_BASE">'21_Area'!$D$19</definedName>
    <definedName name="GFA_ABOVE">'21_Area'!$D$20</definedName>
    <definedName name="N_ABOVE">'21_Area'!$D$21</definedName>
    <definedName name="N_BASE">'21_Area'!$D$22</definedName>
    <definedName name="BTYPE_CALC">'21_Area'!$D$23</definedName>
    <definedName name="FOOTPRINT">'21_Area'!$D$24</definedName>
    <definedName name="FAR_ACT">'21_Area'!$D$25</definedName>
    <definedName name="BTYPE_OK">'21_Area'!$D$26</definedName>
    <definedName name="NET_AREA">'21_Area'!$D$45</definedName>
    <definedName name="HOME_RENT_SH">'21_Area'!$D$46</definedName>
    <definedName name="SALE_AREA">'21_Area'!$D$47</definedName>
    <definedName name="LET_AREA">'21_Area'!$D$48</definedName>
    <definedName name="OWN_AREA">'21_Area'!$D$49</definedName>
    <definedName name="INV_SH">'21_Area'!$D$50</definedName>
    <definedName name="IP_SH">'21_Area'!$D$51</definedName>
    <definedName name="PPE_SH">'21_Area'!$D$52</definedName>
    <definedName name="RET_SH">'21_Area'!$D$53</definedName>
    <definedName name="SALEVAL_TODAY">'21_Area'!$D$54</definedName>
    <definedName name="BLEND_PRICE">'21_Area'!$D$55</definedName>
    <definedName name="GPR_TODAY">'21_Area'!$D$56</definedName>
    <definedName name="AREA_DIFF">'21_Area'!$D$57</definedName>
    <definedName name="SHARE_SUM">'21_Area'!$D$58</definedName>
    <definedName name="FIN_IX">'22_Capex'!$D$11</definedName>
    <definedName name="LOCF">'22_Capex'!$D$12</definedName>
    <definedName name="STOREY_F">'22_Capex'!$D$13</definedName>
    <definedName name="EL_PRELIM">'22_Capex'!$D$18</definedName>
    <definedName name="EL_SUBSTR">'22_Capex'!$D$19</definedName>
    <definedName name="EL_SUPER">'22_Capex'!$D$20</definedName>
    <definedName name="EL_ENVEL">'22_Capex'!$D$21</definedName>
    <definedName name="EL_INTERN">'22_Capex'!$D$22</definedName>
    <definedName name="EL_FINISH">'22_Capex'!$D$23</definedName>
    <definedName name="EL_MEP">'22_Capex'!$D$24</definedName>
    <definedName name="EL_EXTW">'22_Capex'!$D$25</definedName>
    <definedName name="EL_SPEC">'22_Capex'!$D$26</definedName>
    <definedName name="BASE_X">'22_Capex'!$D$27</definedName>
    <definedName name="X_COMPOUND">'22_Capex'!$D$28</definedName>
    <definedName name="X_SEPTIC">'22_Capex'!$D$29</definedName>
    <definedName name="X_WTANK">'22_Capex'!$D$30</definedName>
    <definedName name="X_PAVE">'22_Capex'!$D$31</definedName>
    <definedName name="HARD_BASE">'22_Capex'!$D$32</definedName>
    <definedName name="HARD_ESC_TOT">'22_Capex'!$D$35</definedName>
    <definedName name="ESC_AMT">'22_Capex'!$D$36</definedName>
    <definedName name="CONT_TOT">'22_Capex'!$D$37</definedName>
    <definedName name="DESIGN_TOT">'22_Capex'!$D$38</definedName>
    <definedName name="SUPERV_TOT">'22_Capex'!$D$39</definedName>
    <definedName name="PERMIT_TOT">'22_Capex'!$D$40</definedName>
    <definedName name="FFE_TOT">'22_Capex'!$D$41</definedName>
    <definedName name="CONSTR_COST">'22_Capex'!$D$42</definedName>
    <definedName name="LAND_TOT">'22_Capex'!$D$43</definedName>
    <definedName name="ARR_TOT">'22_Capex'!$D$44</definedName>
    <definedName name="COMMIT_TOT">'22_Capex'!$D$45</definedName>
    <definedName name="IDC_TOT">'22_Capex'!$D$46</definedName>
    <definedName name="FIN_CAP">'22_Capex'!$D$47</definedName>
    <definedName name="TDC">'22_Capex'!$D$48</definedName>
    <definedName name="TDC_DIFF">'22_Capex'!$D$49</definedName>
    <definedName name="TDC_M2G">'22_Capex'!$D$50</definedName>
    <definedName name="TDC_M2N">'22_Capex'!$D$51</definedName>
    <definedName name="CC_M2">'22_Capex'!$D$52</definedName>
    <definedName name="TDC_INV">'22_Capex'!$D$56</definedName>
    <definedName name="TDC_IP">'22_Capex'!$D$57</definedName>
    <definedName name="TDC_PPE">'22_Capex'!$D$58</definedName>
    <definedName name="ALLOC_DIFF">'22_Capex'!$D$59</definedName>
    <definedName name="LAND_FR">'22_Capex'!$D$62</definedName>
    <definedName name="FFE_FR">'22_Capex'!$D$63</definedName>
    <definedName name="SYS_SH">'22_Capex'!$D$64</definedName>
    <definedName name="SYS_FR">'22_Capex'!$D$65</definedName>
    <definedName name="STR_FR">'22_Capex'!$D$66</definedName>
    <definedName name="RET_COST">'22_Capex'!$D$67</definedName>
    <definedName name="BASE_STR">'22_Capex'!$D$68</definedName>
    <definedName name="BASE_SYS">'22_Capex'!$D$69</definedName>
    <definedName name="BASE_FFE">'22_Capex'!$D$70</definedName>
    <definedName name="BASE_LAND">'22_Capex'!$D$71</definedName>
    <definedName name="CAT_TOT">'22_Capex'!$D$84</definedName>
    <definedName name="STAGE_TOT">'22_Capex'!$D$93</definedName>
    <definedName name="USER_TOT">'23_Construction'!$D$77</definedName>
    <definedName name="FUND_BASE">'23_Construction'!$D$78</definedName>
    <definedName name="EQ_COMMIT">'23_Construction'!$D$79</definedName>
    <definedName name="DEBT_CAP">'23_Construction'!$D$80</definedName>
    <definedName name="EQ_SHARE">'23_Construction'!$D$81</definedName>
    <definedName name="PEAK_FUND">'23_Construction'!$D$82</definedName>
    <definedName name="EQ_DRAWN">'23_Construction'!$D$83</definedName>
    <definedName name="DEBT_DRAWN">'23_Construction'!$D$84</definedName>
    <definedName name="FUND_GAP">'23_Construction'!$D$85</definedName>
    <definedName name="PS_USED">'23_Construction'!$D$86</definedName>
    <definedName name="HAND_TOT">'23_Construction'!$D$87</definedName>
    <definedName name="RET_TOT">'23_Construction'!$D$88</definedName>
    <definedName name="LANDCASH_TOT">'23_Construction'!$D$89</definedName>
    <definedName name="SRC_DIFF">'23_Construction'!$D$90</definedName>
    <definedName name="FREQ_M">'27_Loan'!$D$28</definedName>
    <definedName name="TENOR_M">'27_Loan'!$D$29</definedName>
    <definedName name="N_PAY">'27_Loan'!$D$30</definedName>
    <definedName name="LEASE_INST">'27_Loan'!$D$31</definedName>
    <definedName name="LN_DRAWS">'27_Loan'!$D$32</definedName>
    <definedName name="LN_CAPINT">'27_Loan'!$D$33</definedName>
    <definedName name="LN_INT_TOT">'27_Loan'!$D$34</definedName>
    <definedName name="LN_PRIN_TOT">'27_Loan'!$D$35</definedName>
    <definedName name="PEAK_DEBT">'27_Loan'!$D$36</definedName>
    <definedName name="LN_B0">'27_Loan'!$D$37</definedName>
    <definedName name="LN_AVG_LIFE">'27_Loan'!$D$38</definedName>
    <definedName name="LN_TLAST">'27_Loan'!$D$39</definedName>
    <definedName name="LN_FINAL_DATE">'27_Loan'!$D$40</definedName>
    <definedName name="LN_TFIRST">'27_Loan'!$D$41</definedName>
    <definedName name="LN_INSTAL">'27_Loan'!$D$42</definedName>
    <definedName name="LN_INSTAL_M">'27_Loan'!$D$43</definedName>
    <definedName name="LN_BAL_TENOR">'27_Loan'!$D$44</definedName>
    <definedName name="LN_BAL_O10">'27_Loan'!$D$45</definedName>
    <definedName name="PRESOLD">'24_Revenue'!$D$20</definedName>
    <definedName name="UNSOLD_AREA">'24_Revenue'!$D$21</definedName>
    <definedName name="RET_REL_P">'30_WorkingCap'!$D$10</definedName>
    <definedName name="NCI_PCT">'41_BS'!$D$43</definedName>
    <definedName name="MIN_DSCR">'43_Ratios'!$D$25</definedName>
    <definedName name="AVG_DSCR">'43_Ratios'!$D$26</definedName>
    <definedName name="N_DS_YEARS">'43_Ratios'!$D$27</definedName>
    <definedName name="LLCR_O1">'43_Ratios'!$D$28</definedName>
    <definedName name="MIN_ICR">'43_Ratios'!$D$29</definedName>
    <definedName name="MAX_GEAR">'43_Ratios'!$D$30</definedName>
    <definedName name="N_BREACH">'43_Ratios'!$D$31</definedName>
    <definedName name="CASH_MIN_OPS">'43_Ratios'!$D$32</definedName>
    <definedName name="N_LOWCASH">'43_Ratios'!$D$33</definedName>
    <definedName name="NOI_O10">'50_Returns'!$D$11</definedName>
    <definedName name="NOI_STAB">'50_Returns'!$D$12</definedName>
    <definedName name="TV_GROSS">'50_Returns'!$D$13</definedName>
    <definedName name="TV_NET">'50_Returns'!$D$14</definedName>
    <definedName name="EQ_EXIT">'50_Returns'!$D$15</definedName>
    <definedName name="PCF_OK">'50_Returns'!$D$33</definedName>
    <definedName name="ECF_OK">'50_Returns'!$D$34</definedName>
    <definedName name="PNPV">'50_Returns'!$D$35</definedName>
    <definedName name="PIRR">'50_Returns'!$D$36</definedName>
    <definedName name="ENPV">'50_Returns'!$D$37</definedName>
    <definedName name="EIRR">'50_Returns'!$D$38</definedName>
    <definedName name="PIRR_PER">'50_Returns'!$D$39</definedName>
    <definedName name="EMOIC">'50_Returns'!$D$40</definedName>
    <definedName name="PMOIC">'50_Returns'!$D$41</definedName>
    <definedName name="SALES_NOM">'50_Returns'!$D$42</definedName>
    <definedName name="RET_VALUE">'50_Returns'!$D$43</definedName>
    <definedName name="GDV">'50_Returns'!$D$44</definedName>
    <definedName name="POC">'50_Returns'!$D$45</definedName>
    <definedName name="DEV_MARGIN">'50_Returns'!$D$46</definedName>
    <definedName name="YOC">'50_Returns'!$D$47</definedName>
    <definedName name="GDV_TDC">'50_Returns'!$D$48</definedName>
    <definedName name="PAT_TOT">'50_Returns'!$D$49</definedName>
    <definedName name="PEAK_EQ">'50_Returns'!$D$50</definedName>
    <definedName name="DSCR_OK">'50_Returns'!$D$51</definedName>
    <definedName name="VERDICT">'50_Returns'!$D$52</definedName>
    <definedName name="VERDICT_AM">'50_Returns'!$D$53</definedName>
    <definedName name="N_IMPAIR">'50_Returns'!$D$56</definedName>
    <definedName name="MIN_HEADROOM">'50_Returns'!$D$57</definedName>
    <definedName name="PB_P">'51_Payback'!$D$28</definedName>
    <definedName name="PB_PD">'51_Payback'!$D$29</definedName>
    <definedName name="PB_E">'51_Payback'!$D$30</definedName>
    <definedName name="PB_ED">'51_Payback'!$D$31</definedName>
    <definedName name="FLX_PRICE">'52_Sensitivity'!$D$11</definedName>
    <definedName name="FLX_COST">'52_Sensitivity'!$D$12</definedName>
    <definedName name="FLX_RENT">'52_Sensitivity'!$D$13</definedName>
    <definedName name="FLX_OCC">'52_Sensitivity'!$D$14</definedName>
    <definedName name="FLX_RATE">'52_Sensitivity'!$D$15</definedName>
    <definedName name="FLX_OPEX">'52_Sensitivity'!$D$16</definedName>
    <definedName name="FLX_DELAY">'52_Sensitivity'!$D$17</definedName>
    <definedName name="SCEN_OVR">'52_Sensitivity'!$D$18</definedName>
    <definedName name="BE_PRICE_NPV">'52_Sensitivity'!$E$127</definedName>
    <definedName name="BE_PRICE_POC">'52_Sensitivity'!$E$128</definedName>
    <definedName name="BE_OCC">'52_Sensitivity'!$E$129</definedName>
    <definedName name="BE_COST">'52_Sensitivity'!$E$130</definedName>
    <definedName name="BE_RATE">'52_Sensitivity'!$E$131</definedName>
    <definedName name="BE_DELAY">'52_Sensitivity'!$E$132</definedName>
    <definedName name="PV_SALESNET">'52_Sensitivity'!$D$211</definedName>
    <definedName name="ENPV_H">'52_Sensitivity'!$D$214</definedName>
    <definedName name="PV_HARD_H">'52_Sensitivity'!$D$216</definedName>
    <definedName name="PV_EIN_H">'52_Sensitivity'!$D$218</definedName>
    <definedName name="PV_EOUT_H">'52_Sensitivity'!$D$219</definedName>
    <definedName name="BE_OCC_MULT">'52_Sensitivity'!$D$222</definedName>
    <definedName name="BE_RATE_CF">'52_Sensitivity'!$D$224</definedName>
    <definedName name="CHK_PASS">'60_Checks'!$D$36</definedName>
    <definedName name="CHK_FAIL">'60_Checks'!$D$37</definedName>
    <definedName name="CHK_WARN">'60_Checks'!$D$38</definedName>
    <definedName name="CHK_TOTAL">'60_Checks'!$D$39</definedName>
    <definedName name="CHK_STATUS">'60_Checks'!$D$41</definedName>
    <definedName name="PROJECT_MODE">'00_Start'!$G$10</definedName>
    <definedName name="DATA_SET">'00_Start'!$G$12</definedName>
    <definedName name="SCEN_SEL">'00_Start'!$G$14</definedName>
    <definedName name="UNIT_SEL">'00_Start'!$G$16</definedName>
    <definedName name="MODE_NAME">'00_Start'!$M$10</definedName>
    <definedName name="SCEN_NAME">'00_Start'!$M$14</definedName>
    <definedName name="UNIT_LBL">'00_Start'!$M$16</definedName>
    <definedName name="HOME_TOTAL">'02_Home'!$C$27</definedName>
    <definedName name="AFFORD_PCT">'02_Home'!$C$49</definedName>
    <definedName name="AFFORD_TXT">'02_Home'!$C$50</definedName>
    <definedName name="_xlnm.Print_Area" localSheetId="0">'00_Start'!$A$1:$K$60</definedName>
    <definedName name="_xlnm.Print_Area" localSheetId="1">'01_Dashboard'!$A$1:$S$52</definedName>
    <definedName name="_xlnm.Print_Area" localSheetId="2">'02_Home'!$A$1:$K$65</definedName>
    <definedName name="_xlnm.Print_Titles" localSheetId="6">'20_Timeline'!$1:$8</definedName>
    <definedName name="_xlnm.Print_Area" localSheetId="6">'20_Timeline'!$A$1:$R$35</definedName>
    <definedName name="_xlnm.Print_Titles" localSheetId="9">'23_Construction'!$1:$8,'23_Construction'!$A:$D</definedName>
    <definedName name="_xlnm.Print_Titles" localSheetId="10">'24_Revenue'!$1:$8</definedName>
    <definedName name="_xlnm.Print_Titles" localSheetId="11">'25_Opex'!$1:$8</definedName>
    <definedName name="_xlnm.Print_Titles" localSheetId="12">'26_Assets'!$1:$8</definedName>
    <definedName name="_xlnm.Print_Titles" localSheetId="13">'27_Loan'!$1:$8,'27_Loan'!$A:$D</definedName>
    <definedName name="_xlnm.Print_Area" localSheetId="13">'27_Loan'!$A$1:$R$52</definedName>
    <definedName name="_xlnm.Print_Titles" localSheetId="14">'28_Tax'!$1:$8</definedName>
    <definedName name="_xlnm.Print_Titles" localSheetId="15">'29_VAT'!$1:$8</definedName>
    <definedName name="_xlnm.Print_Titles" localSheetId="16">'30_WorkingCap'!$1:$8</definedName>
    <definedName name="_xlnm.Print_Titles" localSheetId="17">'40_PL'!$1:$8</definedName>
    <definedName name="_xlnm.Print_Titles" localSheetId="18">'41_BS'!$1:$8</definedName>
    <definedName name="_xlnm.Print_Titles" localSheetId="19">'42_CF'!$1:$8</definedName>
    <definedName name="_xlnm.Print_Titles" localSheetId="20">'43_Ratios'!$1:$8</definedName>
    <definedName name="_xlnm.Print_Titles" localSheetId="21">'50_Returns'!$1:$8</definedName>
    <definedName name="_xlnm.Print_Titles" localSheetId="22">'51_Payback'!$1:$8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;(#,##0);&quot;–&quot;"/>
    <numFmt numFmtId="165" formatCode="#,##0.00;(#,##0.00);&quot;–&quot;"/>
    <numFmt numFmtId="166" formatCode="yyyy-mm-dd h:mm:ss"/>
    <numFmt numFmtId="167" formatCode="dd-mmm-yyyy;;&quot;–&quot;"/>
    <numFmt numFmtId="168" formatCode="#,##0.0;(#,##0.0);&quot;–&quot;"/>
    <numFmt numFmtId="169" formatCode="0.0%;(0.0%);&quot;–&quot;"/>
    <numFmt numFmtId="170" formatCode="0.00%;(0.00%);&quot;–&quot;"/>
    <numFmt numFmtId="171" formatCode="0.00&quot;x&quot;;(0.00&quot;x&quot;);&quot;–&quot;"/>
    <numFmt numFmtId="172" formatCode="#,##0,;(#,##0,);&quot;–&quot;"/>
    <numFmt numFmtId="173" formatCode="#,##0.0,,&quot;m&quot;;(#,##0.0,,&quot;m&quot;);&quot;–&quot;"/>
    <numFmt numFmtId="174" formatCode="[&lt;1]0.0%;#,##0"/>
    <numFmt numFmtId="175" formatCode="0.0"/>
  </numFmts>
  <fonts count="40">
    <font>
      <name val="Calibri"/>
      <family val="2"/>
      <color theme="1"/>
      <sz val="11"/>
      <scheme val="minor"/>
    </font>
    <font>
      <name val="Segoe UI"/>
      <b val="1"/>
      <color rgb="001B2430"/>
      <sz val="10"/>
    </font>
    <font>
      <name val="Segoe UI"/>
      <b val="1"/>
      <color rgb="00FFFFFF"/>
      <sz val="9"/>
    </font>
    <font>
      <name val="Segoe UI"/>
      <i val="1"/>
      <color rgb="005B6675"/>
      <sz val="9"/>
    </font>
    <font>
      <name val="Segoe UI"/>
      <b val="1"/>
      <color rgb="000F2A44"/>
      <sz val="11"/>
    </font>
    <font>
      <name val="Nyala"/>
      <color rgb="005B6675"/>
      <sz val="10"/>
    </font>
    <font>
      <name val="Segoe UI"/>
      <color rgb="001B2430"/>
      <sz val="10"/>
    </font>
    <font>
      <name val="Nyala"/>
      <color rgb="005B6675"/>
      <sz val="9"/>
    </font>
    <font>
      <name val="Segoe UI"/>
      <color rgb="005B6675"/>
      <sz val="9"/>
    </font>
    <font>
      <name val="Segoe UI"/>
      <color rgb="001F4E9C"/>
      <sz val="10"/>
    </font>
    <font>
      <name val="Segoe UI"/>
      <color rgb="005B6675"/>
      <sz val="8"/>
    </font>
    <font>
      <name val="Segoe UI"/>
      <b val="1"/>
      <color rgb="00FFFFFF"/>
      <sz val="20"/>
    </font>
    <font>
      <name val="Nyala"/>
      <color rgb="00F3D7AE"/>
      <sz val="13"/>
    </font>
    <font>
      <name val="Segoe UI"/>
      <color rgb="00D6DEE8"/>
      <sz val="9"/>
    </font>
    <font>
      <name val="Segoe UI"/>
      <b val="1"/>
      <color rgb="00FFFFFF"/>
      <sz val="10"/>
      <u val="single"/>
    </font>
    <font>
      <name val="Segoe UI"/>
      <b val="1"/>
      <color rgb="005B6675"/>
      <sz val="9"/>
    </font>
    <font>
      <name val="Segoe UI"/>
      <b val="1"/>
      <color rgb="000F2A44"/>
      <sz val="9"/>
    </font>
    <font>
      <name val="Segoe UI"/>
      <b val="1"/>
      <color rgb="00B42318"/>
      <sz val="10"/>
    </font>
    <font>
      <name val="Segoe UI"/>
      <color rgb="001E7B34"/>
      <sz val="10"/>
    </font>
    <font>
      <name val="Segoe UI"/>
      <b val="1"/>
      <color rgb="001E7B34"/>
      <sz val="10"/>
    </font>
    <font>
      <name val="Nyala"/>
      <b val="1"/>
      <color rgb="00B42318"/>
      <sz val="10"/>
    </font>
    <font>
      <name val="Nyala"/>
      <b val="1"/>
      <color rgb="000F2A44"/>
      <sz val="10"/>
    </font>
    <font>
      <name val="Nyala"/>
      <color rgb="001B2430"/>
      <sz val="10"/>
    </font>
    <font>
      <name val="Segoe UI"/>
      <b val="1"/>
      <color rgb="000F2A44"/>
      <sz val="13"/>
    </font>
    <font>
      <name val="Segoe UI"/>
      <b val="1"/>
      <color rgb="001F4E9C"/>
      <sz val="11"/>
    </font>
    <font>
      <name val="Segoe UI"/>
      <b val="1"/>
      <color rgb="00D98E2B"/>
      <sz val="10"/>
    </font>
    <font>
      <name val="Segoe UI"/>
      <color rgb="001F5FAD"/>
      <sz val="10"/>
      <u val="single"/>
    </font>
    <font>
      <name val="Segoe UI"/>
      <color rgb="001F5FAD"/>
      <sz val="9"/>
      <u val="single"/>
    </font>
    <font>
      <name val="Segoe UI"/>
      <b val="1"/>
      <color rgb="00D98E2B"/>
      <sz val="13"/>
    </font>
    <font>
      <name val="Nyala"/>
      <i val="1"/>
      <color rgb="005B6675"/>
      <sz val="9"/>
    </font>
    <font>
      <name val="Segoe UI"/>
      <i val="1"/>
      <color rgb="005B6675"/>
      <sz val="8"/>
    </font>
    <font>
      <name val="Segoe UI"/>
      <b val="1"/>
      <color rgb="005B6675"/>
      <sz val="8"/>
    </font>
    <font>
      <name val="Segoe UI"/>
      <b val="1"/>
      <color rgb="000F2A44"/>
      <sz val="18"/>
    </font>
    <font>
      <name val="Segoe UI"/>
      <b val="1"/>
      <color rgb="000F2A44"/>
      <sz val="10"/>
    </font>
    <font>
      <name val="Segoe UI"/>
      <color rgb="001B2430"/>
      <sz val="9"/>
    </font>
    <font>
      <name val="Segoe UI"/>
      <b val="1"/>
      <color rgb="001B2430"/>
      <sz val="9"/>
    </font>
    <font>
      <name val="Segoe UI"/>
      <b val="1"/>
      <color rgb="00D98E2B"/>
      <sz val="9"/>
    </font>
    <font>
      <name val="Segoe UI"/>
      <b val="1"/>
      <color rgb="000F2A44"/>
      <sz val="16"/>
    </font>
    <font>
      <name val="Nyala"/>
      <color rgb="005B6675"/>
      <sz val="7"/>
    </font>
    <font>
      <name val="Segoe UI"/>
      <color rgb="001B2430"/>
      <sz val="8"/>
    </font>
  </fonts>
  <fills count="11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1F5FAD"/>
        <bgColor rgb="001F5FAD"/>
      </patternFill>
    </fill>
    <fill>
      <patternFill patternType="solid">
        <fgColor rgb="00FFF8E6"/>
        <bgColor rgb="00FFF8E6"/>
      </patternFill>
    </fill>
    <fill>
      <patternFill patternType="solid">
        <fgColor rgb="00EEF1F5"/>
        <bgColor rgb="00EEF1F5"/>
      </patternFill>
    </fill>
    <fill>
      <patternFill patternType="solid">
        <fgColor rgb="00D98E2B"/>
        <bgColor rgb="00D98E2B"/>
      </patternFill>
    </fill>
    <fill>
      <patternFill patternType="solid">
        <fgColor rgb="00FDE7E5"/>
        <bgColor rgb="00FDE7E5"/>
      </patternFill>
    </fill>
    <fill>
      <patternFill patternType="solid">
        <fgColor rgb="00FFF2B3"/>
        <bgColor rgb="00FFF2B3"/>
      </patternFill>
    </fill>
    <fill>
      <patternFill patternType="solid">
        <fgColor rgb="00F4F6F8"/>
        <bgColor rgb="00F4F6F8"/>
      </patternFill>
    </fill>
    <fill>
      <patternFill patternType="solid">
        <fgColor rgb="00FFFFFF"/>
        <bgColor rgb="00FFFFFF"/>
      </patternFill>
    </fill>
  </fills>
  <borders count="34">
    <border>
      <left/>
      <right/>
      <top/>
      <bottom/>
      <diagonal/>
    </border>
    <border>
      <bottom style="medium">
        <color rgb="00D98E2B"/>
      </bottom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  <border>
      <bottom style="thin">
        <color rgb="000F2A44"/>
      </bottom>
    </border>
    <border>
      <top style="thin">
        <color rgb="001B2430"/>
      </top>
    </border>
    <border>
      <top style="thin">
        <color rgb="001B2430"/>
      </top>
      <bottom style="double">
        <color rgb="001B2430"/>
      </bottom>
    </border>
    <border>
      <left style="thin">
        <color rgb="00D9DEE4"/>
      </left>
      <top style="thin">
        <color rgb="00D9DEE4"/>
      </top>
    </border>
    <border>
      <top style="thin">
        <color rgb="00D9DEE4"/>
      </top>
    </border>
    <border>
      <right style="thin">
        <color rgb="00D9DEE4"/>
      </right>
      <top style="thin">
        <color rgb="00D9DEE4"/>
      </top>
    </border>
    <border>
      <left style="thin">
        <color rgb="00D9DEE4"/>
      </left>
    </border>
    <border/>
    <border>
      <right style="thin">
        <color rgb="00D9DEE4"/>
      </right>
    </border>
    <border>
      <left style="thin">
        <color rgb="00D9DEE4"/>
      </left>
      <bottom style="thin">
        <color rgb="00D9DEE4"/>
      </bottom>
    </border>
    <border>
      <bottom style="thin">
        <color rgb="00D9DEE4"/>
      </bottom>
    </border>
    <border>
      <right style="thin">
        <color rgb="00D9DEE4"/>
      </right>
      <bottom style="thin">
        <color rgb="00D9DEE4"/>
      </bottom>
    </border>
    <border>
      <left/>
      <right/>
      <top style="thin">
        <color rgb="00D9DEE4"/>
      </top>
      <bottom/>
      <diagonal/>
    </border>
    <border>
      <top style="thick">
        <color rgb="001F5FAD"/>
      </top>
    </border>
    <border>
      <left/>
      <right/>
      <top style="thick">
        <color rgb="001F5FAD"/>
      </top>
      <bottom/>
      <diagonal/>
    </border>
    <border>
      <left style="thin">
        <color rgb="00D9DEE4"/>
      </left>
      <right style="thin">
        <color rgb="00D9DEE4"/>
      </right>
    </border>
    <border>
      <left/>
      <right style="thin">
        <color rgb="00D9DEE4"/>
      </right>
      <top/>
      <bottom/>
      <diagonal/>
    </border>
    <border>
      <left style="thin">
        <color rgb="00D9DEE4"/>
      </left>
      <right style="thin">
        <color rgb="00D9DEE4"/>
      </right>
      <bottom style="thin">
        <color rgb="00D9DEE4"/>
      </bottom>
    </border>
    <border>
      <left/>
      <right style="thin">
        <color rgb="00D9DEE4"/>
      </right>
      <top/>
      <bottom style="thin">
        <color rgb="00D9DEE4"/>
      </bottom>
      <diagonal/>
    </border>
    <border>
      <top style="thick">
        <color rgb="002A9D8F"/>
      </top>
    </border>
    <border>
      <left/>
      <right/>
      <top style="thick">
        <color rgb="002A9D8F"/>
      </top>
      <bottom/>
      <diagonal/>
    </border>
    <border>
      <top style="thick">
        <color rgb="007A5195"/>
      </top>
    </border>
    <border>
      <left/>
      <right/>
      <top style="thick">
        <color rgb="007A5195"/>
      </top>
      <bottom/>
      <diagonal/>
    </border>
    <border>
      <top style="thick">
        <color rgb="00D98E2B"/>
      </top>
    </border>
    <border>
      <left/>
      <right/>
      <top style="thick">
        <color rgb="00D98E2B"/>
      </top>
      <bottom/>
      <diagonal/>
    </border>
    <border>
      <top style="thick">
        <color rgb="00C44E52"/>
      </top>
    </border>
    <border>
      <left/>
      <right/>
      <top style="thick">
        <color rgb="00C44E52"/>
      </top>
      <bottom/>
      <diagonal/>
    </border>
    <border>
      <top style="thick">
        <color rgb="000F2A44"/>
      </top>
    </border>
    <border>
      <left/>
      <right/>
      <top style="thick">
        <color rgb="000F2A44"/>
      </top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</border>
    <border>
      <left/>
      <right/>
      <top/>
      <bottom style="thin">
        <color rgb="00D9DEE4"/>
      </bottom>
      <diagonal/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0" fillId="2" borderId="0" pivotButton="0" quotePrefix="0" xfId="0"/>
    <xf numFmtId="0" fontId="11" fillId="2" borderId="0" applyAlignment="1" pivotButton="0" quotePrefix="0" xfId="0">
      <alignment vertical="center"/>
    </xf>
    <xf numFmtId="0" fontId="14" fillId="2" borderId="0" applyAlignment="1" pivotButton="0" quotePrefix="0" xfId="0">
      <alignment horizontal="right" vertical="center"/>
    </xf>
    <xf numFmtId="0" fontId="12" fillId="2" borderId="0" pivotButton="0" quotePrefix="0" xfId="0"/>
    <xf numFmtId="0" fontId="13" fillId="2" borderId="0" pivotButton="0" quotePrefix="0" xfId="0"/>
    <xf numFmtId="0" fontId="0" fillId="6" borderId="0" pivotButton="0" quotePrefix="0" xfId="0"/>
    <xf numFmtId="0" fontId="23" fillId="0" borderId="0" pivotButton="0" quotePrefix="0" xfId="0"/>
    <xf numFmtId="0" fontId="3" fillId="0" borderId="0" pivotButton="0" quotePrefix="0" xfId="0"/>
    <xf numFmtId="0" fontId="0" fillId="10" borderId="6" pivotButton="0" quotePrefix="0" xfId="0"/>
    <xf numFmtId="0" fontId="4" fillId="10" borderId="7" pivotButton="0" quotePrefix="0" xfId="0"/>
    <xf numFmtId="0" fontId="0" fillId="10" borderId="7" pivotButton="0" quotePrefix="0" xfId="0"/>
    <xf numFmtId="0" fontId="0" fillId="10" borderId="8" pivotButton="0" quotePrefix="0" xfId="0"/>
    <xf numFmtId="0" fontId="4" fillId="10" borderId="6" pivotButton="0" quotePrefix="0" xfId="0"/>
    <xf numFmtId="0" fontId="0" fillId="10" borderId="9" pivotButton="0" quotePrefix="0" xfId="0"/>
    <xf numFmtId="0" fontId="0" fillId="10" borderId="10" pivotButton="0" quotePrefix="0" xfId="0"/>
    <xf numFmtId="0" fontId="10" fillId="10" borderId="11" pivotButton="0" quotePrefix="0" xfId="0"/>
    <xf numFmtId="0" fontId="0" fillId="10" borderId="11" pivotButton="0" quotePrefix="0" xfId="0"/>
    <xf numFmtId="0" fontId="10" fillId="0" borderId="0" pivotButton="0" quotePrefix="0" xfId="0"/>
    <xf numFmtId="0" fontId="1" fillId="10" borderId="10" pivotButton="0" quotePrefix="0" xfId="0"/>
    <xf numFmtId="0" fontId="24" fillId="4" borderId="2" pivotButton="0" quotePrefix="0" xfId="0"/>
    <xf numFmtId="0" fontId="0" fillId="4" borderId="2" pivotButton="0" quotePrefix="0" xfId="0"/>
    <xf numFmtId="0" fontId="8" fillId="10" borderId="11" applyAlignment="1" pivotButton="0" quotePrefix="0" xfId="0">
      <alignment horizontal="center"/>
    </xf>
    <xf numFmtId="0" fontId="6" fillId="10" borderId="9" pivotButton="0" quotePrefix="0" xfId="0"/>
    <xf numFmtId="0" fontId="4" fillId="10" borderId="11" applyAlignment="1" pivotButton="0" quotePrefix="0" xfId="0">
      <alignment horizontal="right"/>
    </xf>
    <xf numFmtId="0" fontId="5" fillId="10" borderId="10" pivotButton="0" quotePrefix="0" xfId="0"/>
    <xf numFmtId="164" fontId="4" fillId="10" borderId="11" applyAlignment="1" pivotButton="0" quotePrefix="0" xfId="0">
      <alignment horizontal="right"/>
    </xf>
    <xf numFmtId="174" fontId="4" fillId="10" borderId="11" applyAlignment="1" pivotButton="0" quotePrefix="0" xfId="0">
      <alignment horizontal="right"/>
    </xf>
    <xf numFmtId="0" fontId="25" fillId="10" borderId="10" pivotButton="0" quotePrefix="0" xfId="0"/>
    <xf numFmtId="0" fontId="0" fillId="10" borderId="12" pivotButton="0" quotePrefix="0" xfId="0"/>
    <xf numFmtId="0" fontId="0" fillId="10" borderId="13" pivotButton="0" quotePrefix="0" xfId="0"/>
    <xf numFmtId="0" fontId="0" fillId="10" borderId="14" pivotButton="0" quotePrefix="0" xfId="0"/>
    <xf numFmtId="0" fontId="4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9" fillId="4" borderId="2" pivotButton="0" quotePrefix="0" xfId="0"/>
    <xf numFmtId="0" fontId="6" fillId="10" borderId="2" pivotButton="0" quotePrefix="0" xfId="0"/>
    <xf numFmtId="0" fontId="18" fillId="10" borderId="2" pivotButton="0" quotePrefix="0" xfId="0"/>
    <xf numFmtId="0" fontId="1" fillId="8" borderId="2" pivotButton="0" quotePrefix="0" xfId="0"/>
    <xf numFmtId="0" fontId="29" fillId="0" borderId="0" pivotButton="0" quotePrefix="0" xfId="0"/>
    <xf numFmtId="0" fontId="15" fillId="9" borderId="6" pivotButton="0" quotePrefix="0" xfId="0"/>
    <xf numFmtId="0" fontId="4" fillId="9" borderId="7" pivotButton="0" quotePrefix="0" xfId="0"/>
    <xf numFmtId="0" fontId="0" fillId="9" borderId="7" pivotButton="0" quotePrefix="0" xfId="0"/>
    <xf numFmtId="0" fontId="15" fillId="9" borderId="7" pivotButton="0" quotePrefix="0" xfId="0"/>
    <xf numFmtId="0" fontId="4" fillId="9" borderId="7" applyAlignment="1" pivotButton="0" quotePrefix="0" xfId="0">
      <alignment horizontal="center"/>
    </xf>
    <xf numFmtId="0" fontId="0" fillId="0" borderId="15" pivotButton="0" quotePrefix="0" xfId="0"/>
    <xf numFmtId="169" fontId="4" fillId="9" borderId="8" pivotButton="0" quotePrefix="0" xfId="0"/>
    <xf numFmtId="0" fontId="30" fillId="9" borderId="12" pivotButton="0" quotePrefix="0" xfId="0"/>
    <xf numFmtId="0" fontId="0" fillId="9" borderId="13" pivotButton="0" quotePrefix="0" xfId="0"/>
    <xf numFmtId="0" fontId="0" fillId="9" borderId="14" pivotButton="0" quotePrefix="0" xfId="0"/>
    <xf numFmtId="0" fontId="31" fillId="10" borderId="16" pivotButton="0" quotePrefix="0" xfId="0"/>
    <xf numFmtId="0" fontId="0" fillId="0" borderId="17" pivotButton="0" quotePrefix="0" xfId="0"/>
    <xf numFmtId="0" fontId="31" fillId="10" borderId="22" pivotButton="0" quotePrefix="0" xfId="0"/>
    <xf numFmtId="0" fontId="0" fillId="0" borderId="23" pivotButton="0" quotePrefix="0" xfId="0"/>
    <xf numFmtId="0" fontId="31" fillId="10" borderId="24" pivotButton="0" quotePrefix="0" xfId="0"/>
    <xf numFmtId="0" fontId="0" fillId="0" borderId="25" pivotButton="0" quotePrefix="0" xfId="0"/>
    <xf numFmtId="0" fontId="31" fillId="10" borderId="26" pivotButton="0" quotePrefix="0" xfId="0"/>
    <xf numFmtId="0" fontId="0" fillId="0" borderId="27" pivotButton="0" quotePrefix="0" xfId="0"/>
    <xf numFmtId="0" fontId="31" fillId="10" borderId="28" pivotButton="0" quotePrefix="0" xfId="0"/>
    <xf numFmtId="0" fontId="0" fillId="0" borderId="29" pivotButton="0" quotePrefix="0" xfId="0"/>
    <xf numFmtId="0" fontId="31" fillId="10" borderId="30" pivotButton="0" quotePrefix="0" xfId="0"/>
    <xf numFmtId="0" fontId="0" fillId="0" borderId="31" pivotButton="0" quotePrefix="0" xfId="0"/>
    <xf numFmtId="173" fontId="32" fillId="10" borderId="18" applyAlignment="1" pivotButton="0" quotePrefix="0" xfId="0">
      <alignment horizontal="left" vertical="center"/>
    </xf>
    <xf numFmtId="0" fontId="0" fillId="0" borderId="19" pivotButton="0" quotePrefix="0" xfId="0"/>
    <xf numFmtId="169" fontId="32" fillId="10" borderId="18" applyAlignment="1" pivotButton="0" quotePrefix="0" xfId="0">
      <alignment horizontal="left" vertical="center"/>
    </xf>
    <xf numFmtId="171" fontId="32" fillId="10" borderId="18" applyAlignment="1" pivotButton="0" quotePrefix="0" xfId="0">
      <alignment horizontal="left" vertical="center"/>
    </xf>
    <xf numFmtId="0" fontId="10" fillId="10" borderId="20" pivotButton="0" quotePrefix="0" xfId="0"/>
    <xf numFmtId="0" fontId="0" fillId="0" borderId="21" pivotButton="0" quotePrefix="0" xfId="0"/>
    <xf numFmtId="0" fontId="33" fillId="0" borderId="0" pivotButton="0" quotePrefix="0" xfId="0"/>
    <xf numFmtId="0" fontId="2" fillId="2" borderId="0" pivotButton="0" quotePrefix="0" xfId="0"/>
    <xf numFmtId="0" fontId="34" fillId="0" borderId="0" pivotButton="0" quotePrefix="0" xfId="0"/>
    <xf numFmtId="164" fontId="34" fillId="0" borderId="0" pivotButton="0" quotePrefix="0" xfId="0"/>
    <xf numFmtId="0" fontId="35" fillId="0" borderId="4" pivotButton="0" quotePrefix="0" xfId="0"/>
    <xf numFmtId="164" fontId="35" fillId="0" borderId="4" pivotButton="0" quotePrefix="0" xfId="0"/>
    <xf numFmtId="164" fontId="3" fillId="0" borderId="0" pivotButton="0" quotePrefix="0" xfId="0"/>
    <xf numFmtId="0" fontId="15" fillId="0" borderId="0" pivotButton="0" quotePrefix="0" xfId="0"/>
    <xf numFmtId="49" fontId="10" fillId="0" borderId="0" pivotButton="0" quotePrefix="0" xfId="0"/>
    <xf numFmtId="175" fontId="10" fillId="0" borderId="0" pivotButton="0" quotePrefix="0" xfId="0"/>
    <xf numFmtId="0" fontId="36" fillId="0" borderId="0" pivotButton="0" quotePrefix="0" xfId="0"/>
    <xf numFmtId="0" fontId="31" fillId="9" borderId="16" pivotButton="0" quotePrefix="0" xfId="0"/>
    <xf numFmtId="0" fontId="31" fillId="9" borderId="22" pivotButton="0" quotePrefix="0" xfId="0"/>
    <xf numFmtId="0" fontId="31" fillId="9" borderId="24" pivotButton="0" quotePrefix="0" xfId="0"/>
    <xf numFmtId="0" fontId="31" fillId="9" borderId="26" pivotButton="0" quotePrefix="0" xfId="0"/>
    <xf numFmtId="164" fontId="37" fillId="9" borderId="18" applyAlignment="1" pivotButton="0" quotePrefix="0" xfId="0">
      <alignment horizontal="left"/>
    </xf>
    <xf numFmtId="0" fontId="0" fillId="9" borderId="18" pivotButton="0" quotePrefix="0" xfId="0"/>
    <xf numFmtId="0" fontId="0" fillId="9" borderId="9" pivotButton="0" quotePrefix="0" xfId="0"/>
    <xf numFmtId="0" fontId="0" fillId="9" borderId="10" pivotButton="0" quotePrefix="0" xfId="0"/>
    <xf numFmtId="0" fontId="0" fillId="9" borderId="11" pivotButton="0" quotePrefix="0" xfId="0"/>
    <xf numFmtId="0" fontId="10" fillId="9" borderId="20" pivotButton="0" quotePrefix="0" xfId="0"/>
    <xf numFmtId="0" fontId="0" fillId="0" borderId="33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169" fontId="34" fillId="0" borderId="0" pivotButton="0" quotePrefix="0" xfId="0"/>
    <xf numFmtId="0" fontId="38" fillId="0" borderId="0" pivotButton="0" quotePrefix="0" xfId="0"/>
    <xf numFmtId="0" fontId="1" fillId="0" borderId="4" pivotButton="0" quotePrefix="0" xfId="0"/>
    <xf numFmtId="164" fontId="1" fillId="8" borderId="4" pivotButton="0" quotePrefix="0" xfId="0"/>
    <xf numFmtId="0" fontId="0" fillId="0" borderId="4" pivotButton="0" quotePrefix="0" xfId="0"/>
    <xf numFmtId="1" fontId="34" fillId="0" borderId="0" pivotButton="0" quotePrefix="0" xfId="0"/>
    <xf numFmtId="164" fontId="16" fillId="0" borderId="0" applyAlignment="1" pivotButton="0" quotePrefix="0" xfId="0">
      <alignment horizontal="right"/>
    </xf>
    <xf numFmtId="0" fontId="39" fillId="0" borderId="0" pivotButton="0" quotePrefix="0" xfId="0"/>
    <xf numFmtId="164" fontId="39" fillId="0" borderId="0" pivotButton="0" quotePrefix="0" xfId="0"/>
    <xf numFmtId="1" fontId="39" fillId="0" borderId="0" applyAlignment="1" pivotButton="0" quotePrefix="0" xfId="0">
      <alignment horizontal="left"/>
    </xf>
    <xf numFmtId="169" fontId="16" fillId="0" borderId="0" applyAlignment="1" pivotButton="0" quotePrefix="0" xfId="0">
      <alignment horizontal="right"/>
    </xf>
    <xf numFmtId="1" fontId="16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49" fontId="9" fillId="4" borderId="2" applyAlignment="1" pivotButton="0" quotePrefix="0" xfId="0">
      <alignment horizontal="left"/>
    </xf>
    <xf numFmtId="49" fontId="1" fillId="5" borderId="2" pivotButton="0" quotePrefix="0" xfId="0"/>
    <xf numFmtId="0" fontId="9" fillId="4" borderId="2" applyAlignment="1" pivotButton="0" quotePrefix="0" xfId="0">
      <alignment horizontal="left"/>
    </xf>
    <xf numFmtId="1" fontId="1" fillId="5" borderId="2" pivotButton="0" quotePrefix="0" xfId="0"/>
    <xf numFmtId="164" fontId="9" fillId="4" borderId="2" applyAlignment="1" pivotButton="0" quotePrefix="0" xfId="0">
      <alignment horizontal="right"/>
    </xf>
    <xf numFmtId="164" fontId="1" fillId="5" borderId="2" pivotButton="0" quotePrefix="0" xfId="0"/>
    <xf numFmtId="165" fontId="9" fillId="4" borderId="2" applyAlignment="1" pivotButton="0" quotePrefix="0" xfId="0">
      <alignment horizontal="right"/>
    </xf>
    <xf numFmtId="165" fontId="1" fillId="5" borderId="2" pivotButton="0" quotePrefix="0" xfId="0"/>
    <xf numFmtId="167" fontId="9" fillId="4" borderId="2" applyAlignment="1" pivotButton="0" quotePrefix="0" xfId="0">
      <alignment horizontal="right"/>
    </xf>
    <xf numFmtId="167" fontId="1" fillId="5" borderId="2" pivotButton="0" quotePrefix="0" xfId="0"/>
    <xf numFmtId="1" fontId="9" fillId="4" borderId="2" applyAlignment="1" pivotButton="0" quotePrefix="0" xfId="0">
      <alignment horizontal="right"/>
    </xf>
    <xf numFmtId="168" fontId="9" fillId="4" borderId="2" applyAlignment="1" pivotButton="0" quotePrefix="0" xfId="0">
      <alignment horizontal="right"/>
    </xf>
    <xf numFmtId="168" fontId="1" fillId="5" borderId="2" pivotButton="0" quotePrefix="0" xfId="0"/>
    <xf numFmtId="169" fontId="9" fillId="4" borderId="2" applyAlignment="1" pivotButton="0" quotePrefix="0" xfId="0">
      <alignment horizontal="right"/>
    </xf>
    <xf numFmtId="169" fontId="1" fillId="5" borderId="2" pivotButton="0" quotePrefix="0" xfId="0"/>
    <xf numFmtId="0" fontId="1" fillId="5" borderId="2" pivotButton="0" quotePrefix="0" xfId="0"/>
    <xf numFmtId="170" fontId="9" fillId="4" borderId="2" applyAlignment="1" pivotButton="0" quotePrefix="0" xfId="0">
      <alignment horizontal="right"/>
    </xf>
    <xf numFmtId="170" fontId="1" fillId="5" borderId="2" pivotButton="0" quotePrefix="0" xfId="0"/>
    <xf numFmtId="171" fontId="9" fillId="4" borderId="2" applyAlignment="1" pivotButton="0" quotePrefix="0" xfId="0">
      <alignment horizontal="right"/>
    </xf>
    <xf numFmtId="171" fontId="1" fillId="5" borderId="2" pivotButton="0" quotePrefix="0" xfId="0"/>
    <xf numFmtId="0" fontId="2" fillId="2" borderId="0" applyAlignment="1" pivotButton="0" quotePrefix="0" xfId="0">
      <alignment horizontal="center"/>
    </xf>
    <xf numFmtId="164" fontId="9" fillId="4" borderId="2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9" fillId="4" borderId="2" pivotButton="0" quotePrefix="0" xfId="0"/>
    <xf numFmtId="169" fontId="9" fillId="4" borderId="2" pivotButton="0" quotePrefix="0" xfId="0"/>
    <xf numFmtId="169" fontId="1" fillId="5" borderId="0" pivotButton="0" quotePrefix="0" xfId="0"/>
    <xf numFmtId="1" fontId="9" fillId="4" borderId="2" pivotButton="0" quotePrefix="0" xfId="0"/>
    <xf numFmtId="1" fontId="1" fillId="5" borderId="0" pivotButton="0" quotePrefix="0" xfId="0"/>
    <xf numFmtId="1" fontId="6" fillId="0" borderId="0" pivotButton="0" quotePrefix="0" xfId="0"/>
    <xf numFmtId="165" fontId="6" fillId="0" borderId="0" pivotButton="0" quotePrefix="0" xfId="0"/>
    <xf numFmtId="169" fontId="18" fillId="0" borderId="0" pivotButton="0" quotePrefix="0" xfId="0"/>
    <xf numFmtId="165" fontId="18" fillId="0" borderId="0" pivotButton="0" quotePrefix="0" xfId="0"/>
    <xf numFmtId="170" fontId="18" fillId="0" borderId="0" pivotButton="0" quotePrefix="0" xfId="0"/>
    <xf numFmtId="170" fontId="6" fillId="0" borderId="0" pivotButton="0" quotePrefix="0" xfId="0"/>
    <xf numFmtId="169" fontId="6" fillId="0" borderId="0" pivotButton="0" quotePrefix="0" xfId="0"/>
    <xf numFmtId="169" fontId="19" fillId="0" borderId="0" pivotButton="0" quotePrefix="0" xfId="0"/>
    <xf numFmtId="0" fontId="6" fillId="0" borderId="0" applyAlignment="1" pivotButton="0" quotePrefix="0" xfId="0">
      <alignment vertical="top" wrapText="1"/>
    </xf>
    <xf numFmtId="167" fontId="9" fillId="4" borderId="0" pivotButton="0" quotePrefix="0" xfId="0"/>
    <xf numFmtId="0" fontId="17" fillId="7" borderId="0" pivotButton="0" quotePrefix="0" xfId="0"/>
    <xf numFmtId="170" fontId="19" fillId="0" borderId="0" pivotButton="0" quotePrefix="0" xfId="0"/>
    <xf numFmtId="1" fontId="19" fillId="0" borderId="0" pivotButton="0" quotePrefix="0" xfId="0"/>
    <xf numFmtId="0" fontId="17" fillId="0" borderId="0" pivotButton="0" quotePrefix="0" xfId="0"/>
    <xf numFmtId="0" fontId="20" fillId="0" borderId="0" pivotButton="0" quotePrefix="0" xfId="0"/>
    <xf numFmtId="0" fontId="16" fillId="0" borderId="3" applyAlignment="1" pivotButton="0" quotePrefix="0" xfId="0">
      <alignment horizontal="right"/>
    </xf>
    <xf numFmtId="17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167" fontId="6" fillId="0" borderId="0" pivotButton="0" quotePrefix="0" xfId="0"/>
    <xf numFmtId="165" fontId="1" fillId="5" borderId="0" pivotButton="0" quotePrefix="0" xfId="0"/>
    <xf numFmtId="17" fontId="6" fillId="0" borderId="0" pivotButton="0" quotePrefix="0" xfId="0"/>
    <xf numFmtId="164" fontId="1" fillId="5" borderId="0" pivotButton="0" quotePrefix="0" xfId="0"/>
    <xf numFmtId="164" fontId="18" fillId="0" borderId="0" pivotButton="0" quotePrefix="0" xfId="0"/>
    <xf numFmtId="0" fontId="18" fillId="0" borderId="0" pivotButton="0" quotePrefix="0" xfId="0"/>
    <xf numFmtId="164" fontId="1" fillId="8" borderId="0" pivotButton="0" quotePrefix="0" xfId="0"/>
    <xf numFmtId="164" fontId="6" fillId="0" borderId="0" pivotButton="0" quotePrefix="0" xfId="0"/>
    <xf numFmtId="1" fontId="18" fillId="0" borderId="0" pivotButton="0" quotePrefix="0" xfId="0"/>
    <xf numFmtId="0" fontId="16" fillId="0" borderId="0" applyAlignment="1" pivotButton="0" quotePrefix="0" xfId="0">
      <alignment horizontal="left" wrapText="1"/>
    </xf>
    <xf numFmtId="0" fontId="16" fillId="0" borderId="0" applyAlignment="1" pivotButton="0" quotePrefix="0" xfId="0">
      <alignment horizontal="center" wrapText="1"/>
    </xf>
    <xf numFmtId="0" fontId="16" fillId="0" borderId="0" pivotButton="0" quotePrefix="0" xfId="0"/>
    <xf numFmtId="17" fontId="8" fillId="0" borderId="0" pivotButton="0" quotePrefix="0" xfId="0"/>
    <xf numFmtId="168" fontId="9" fillId="4" borderId="2" pivotButton="0" quotePrefix="0" xfId="0"/>
    <xf numFmtId="0" fontId="8" fillId="0" borderId="4" pivotButton="0" quotePrefix="0" xfId="0"/>
    <xf numFmtId="164" fontId="1" fillId="5" borderId="4" pivotButton="0" quotePrefix="0" xfId="0"/>
    <xf numFmtId="164" fontId="1" fillId="0" borderId="4" pivotButton="0" quotePrefix="0" xfId="0"/>
    <xf numFmtId="0" fontId="1" fillId="0" borderId="5" pivotButton="0" quotePrefix="0" xfId="0"/>
    <xf numFmtId="0" fontId="8" fillId="0" borderId="5" pivotButton="0" quotePrefix="0" xfId="0"/>
    <xf numFmtId="164" fontId="1" fillId="5" borderId="5" pivotButton="0" quotePrefix="0" xfId="0"/>
    <xf numFmtId="164" fontId="1" fillId="0" borderId="5" pivotButton="0" quotePrefix="0" xfId="0"/>
    <xf numFmtId="168" fontId="6" fillId="0" borderId="0" pivotButton="0" quotePrefix="0" xfId="0"/>
    <xf numFmtId="171" fontId="18" fillId="0" borderId="0" pivotButton="0" quotePrefix="0" xfId="0"/>
    <xf numFmtId="172" fontId="1" fillId="5" borderId="0" pivotButton="0" quotePrefix="0" xfId="0"/>
    <xf numFmtId="172" fontId="18" fillId="0" borderId="0" pivotButton="0" quotePrefix="0" xfId="0"/>
    <xf numFmtId="172" fontId="1" fillId="5" borderId="4" pivotButton="0" quotePrefix="0" xfId="0"/>
    <xf numFmtId="172" fontId="1" fillId="0" borderId="4" pivotButton="0" quotePrefix="0" xfId="0"/>
    <xf numFmtId="172" fontId="6" fillId="0" borderId="0" pivotButton="0" quotePrefix="0" xfId="0"/>
    <xf numFmtId="172" fontId="1" fillId="8" borderId="0" pivotButton="0" quotePrefix="0" xfId="0"/>
    <xf numFmtId="172" fontId="1" fillId="5" borderId="5" pivotButton="0" quotePrefix="0" xfId="0"/>
    <xf numFmtId="172" fontId="1" fillId="0" borderId="5" pivotButton="0" quotePrefix="0" xfId="0"/>
    <xf numFmtId="165" fontId="1" fillId="8" borderId="0" pivotButton="0" quotePrefix="0" xfId="0"/>
    <xf numFmtId="172" fontId="19" fillId="0" borderId="4" pivotButton="0" quotePrefix="0" xfId="0"/>
    <xf numFmtId="171" fontId="1" fillId="8" borderId="0" pivotButton="0" quotePrefix="0" xfId="0"/>
    <xf numFmtId="171" fontId="6" fillId="0" borderId="0" pivotButton="0" quotePrefix="0" xfId="0"/>
    <xf numFmtId="167" fontId="18" fillId="0" borderId="0" pivotButton="0" quotePrefix="0" xfId="0"/>
    <xf numFmtId="169" fontId="1" fillId="8" borderId="0" pivotButton="0" quotePrefix="0" xfId="0"/>
    <xf numFmtId="0" fontId="1" fillId="8" borderId="0" pivotButton="0" quotePrefix="0" xfId="0"/>
    <xf numFmtId="168" fontId="1" fillId="8" borderId="0" pivotButton="0" quotePrefix="0" xfId="0"/>
    <xf numFmtId="169" fontId="19" fillId="8" borderId="0" pivotButton="0" quotePrefix="0" xfId="0"/>
    <xf numFmtId="164" fontId="19" fillId="8" borderId="0" pivotButton="0" quotePrefix="0" xfId="0"/>
    <xf numFmtId="171" fontId="19" fillId="8" borderId="0" pivotButton="0" quotePrefix="0" xfId="0"/>
    <xf numFmtId="0" fontId="19" fillId="8" borderId="0" pivotButton="0" quotePrefix="0" xfId="0"/>
    <xf numFmtId="0" fontId="16" fillId="0" borderId="0" applyAlignment="1" pivotButton="0" quotePrefix="0" xfId="0">
      <alignment horizontal="right" wrapText="1"/>
    </xf>
    <xf numFmtId="169" fontId="15" fillId="5" borderId="0" pivotButton="0" quotePrefix="0" xfId="0"/>
    <xf numFmtId="171" fontId="15" fillId="5" borderId="0" pivotButton="0" quotePrefix="0" xfId="0"/>
    <xf numFmtId="169" fontId="1" fillId="0" borderId="0" applyAlignment="1" pivotButton="0" quotePrefix="0" xfId="0">
      <alignment horizontal="center"/>
    </xf>
    <xf numFmtId="169" fontId="0" fillId="0" borderId="0" pivotButton="0" quotePrefix="0" xfId="0"/>
    <xf numFmtId="171" fontId="0" fillId="0" borderId="0" pivotButton="0" quotePrefix="0" xfId="0"/>
    <xf numFmtId="1" fontId="1" fillId="0" borderId="0" applyAlignment="1" pivotButton="0" quotePrefix="0" xfId="0">
      <alignment horizontal="center"/>
    </xf>
    <xf numFmtId="169" fontId="16" fillId="0" borderId="0" pivotButton="0" quotePrefix="0" xfId="0"/>
    <xf numFmtId="169" fontId="1" fillId="0" borderId="0" pivotButton="0" quotePrefix="0" xfId="0"/>
    <xf numFmtId="173" fontId="15" fillId="5" borderId="0" pivotButton="0" quotePrefix="0" xfId="0"/>
    <xf numFmtId="173" fontId="0" fillId="0" borderId="0" pivotButton="0" quotePrefix="0" xfId="0"/>
    <xf numFmtId="170" fontId="0" fillId="0" borderId="0" pivotButton="0" quotePrefix="0" xfId="0"/>
    <xf numFmtId="170" fontId="1" fillId="8" borderId="0" pivotButton="0" quotePrefix="0" xfId="0"/>
    <xf numFmtId="168" fontId="0" fillId="0" borderId="0" pivotButton="0" quotePrefix="0" xfId="0"/>
    <xf numFmtId="173" fontId="16" fillId="0" borderId="0" pivotButton="0" quotePrefix="0" xfId="0"/>
    <xf numFmtId="165" fontId="16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5" fontId="0" fillId="8" borderId="0" pivotButton="0" quotePrefix="0" xfId="0"/>
    <xf numFmtId="170" fontId="1" fillId="5" borderId="0" pivotButton="0" quotePrefix="0" xfId="0"/>
    <xf numFmtId="0" fontId="1" fillId="0" borderId="0" applyAlignment="1" pivotButton="0" quotePrefix="0" xfId="0">
      <alignment horizontal="center"/>
    </xf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1" fillId="9" borderId="0" pivotButton="0" quotePrefix="0" xfId="0"/>
    <xf numFmtId="0" fontId="21" fillId="9" borderId="0" pivotButton="0" quotePrefix="0" xfId="0"/>
    <xf numFmtId="0" fontId="22" fillId="9" borderId="0" applyAlignment="1" pivotButton="0" quotePrefix="0" xfId="0">
      <alignment vertical="top" wrapText="1"/>
    </xf>
  </cellXfs>
  <cellStyles count="1">
    <cellStyle name="Normal" xfId="0" builtinId="0" hidden="0"/>
  </cellStyles>
  <dxfs count="11">
    <dxf>
      <font>
        <b val="1"/>
        <color rgb="00B42318"/>
      </font>
      <fill>
        <patternFill patternType="solid">
          <fgColor rgb="00FDE7E5"/>
          <bgColor rgb="00FDE7E5"/>
        </patternFill>
      </fill>
    </dxf>
    <dxf>
      <font>
        <b val="1"/>
        <color rgb="002E7D4F"/>
      </font>
      <fill>
        <patternFill patternType="solid">
          <fgColor rgb="00E3F2E8"/>
          <bgColor rgb="00E3F2E8"/>
        </patternFill>
      </fill>
    </dxf>
    <dxf>
      <font>
        <b val="1"/>
        <color rgb="00B7791F"/>
      </font>
      <fill>
        <patternFill patternType="solid">
          <fgColor rgb="00FDF1DC"/>
          <bgColor rgb="00FDF1DC"/>
        </patternFill>
      </fill>
    </dxf>
    <dxf>
      <font>
        <b val="1"/>
        <color rgb="00B42318"/>
      </font>
    </dxf>
    <dxf>
      <font>
        <b val="1"/>
        <color rgb="00B7791F"/>
      </font>
    </dxf>
    <dxf>
      <font>
        <color rgb="002E7D4F"/>
      </font>
    </dxf>
    <dxf>
      <fill>
        <patternFill patternType="solid">
          <fgColor rgb="00FFE9C7"/>
          <bgColor rgb="00FFE9C7"/>
        </patternFill>
      </fill>
    </dxf>
    <dxf>
      <fill>
        <patternFill patternType="solid">
          <fgColor rgb="00FDE7E5"/>
          <bgColor rgb="00FDE7E5"/>
        </patternFill>
      </fill>
    </dxf>
    <dxf>
      <numFmt numFmtId="201" formatCode="#,##0;(#,##0);&quot;–&quot;"/>
    </dxf>
    <dxf>
      <numFmt numFmtId="203" formatCode="#,##0.0,,;(#,##0.0,,);&quot;–&quot;"/>
    </dxf>
    <dxf>
      <fill>
        <patternFill patternType="solid">
          <fgColor rgb="00E3F2E8"/>
          <bgColor rgb="00E3F2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'01_Dashboard'!B64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'01_Dashboard'!$C$64:$P$64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'01_Dashboard'!B65</f>
            </strRef>
          </tx>
          <spPr>
            <a:ln w="28000">
              <a:solidFill>
                <a:srgbClr val="D98E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'01_Dashboard'!$C$65:$P$65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'01_Dashboard'!B66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'01_Dashboard'!$C$66:$P$66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'01_Dashboard'!B67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'01_Dashboard'!$C$67:$P$67</f>
            </numRef>
          </val>
        </ser>
        <gapWidth val="50"/>
        <axId val="10"/>
        <axId val="100"/>
      </barChart>
      <lineChart>
        <grouping val="standard"/>
        <ser>
          <idx val="1"/>
          <order val="1"/>
          <tx>
            <strRef>
              <f>'01_Dashboard'!B68</f>
            </strRef>
          </tx>
          <spPr>
            <a:ln>
              <a:solidFill>
                <a:srgbClr val="C44E52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'01_Dashboard'!$C$68:$P$68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0.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stacked"/>
        <ser>
          <idx val="0"/>
          <order val="0"/>
          <tx>
            <strRef>
              <f>'01_Dashboard'!B69</f>
            </strRef>
          </tx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'01_Dashboard'!$C$69:$P$69</f>
            </numRef>
          </val>
        </ser>
        <ser>
          <idx val="1"/>
          <order val="1"/>
          <tx>
            <strRef>
              <f>'01_Dashboard'!B70</f>
            </strRef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'01_Dashboard'!$C$70:$P$70</f>
            </numRef>
          </val>
        </ser>
        <ser>
          <idx val="2"/>
          <order val="2"/>
          <tx>
            <strRef>
              <f>'01_Dashboard'!B71</f>
            </strRef>
          </tx>
          <spPr>
            <a:solidFill>
              <a:srgbClr val="7A5195"/>
            </a:solidFill>
            <a:ln>
              <a:solidFill>
                <a:srgbClr val="7A5195"/>
              </a:solidFill>
              <a:prstDash val="solid"/>
            </a:ln>
          </spPr>
          <cat>
            <numRef>
              <f>'01_Dashboard'!$C$63:$P$63</f>
            </numRef>
          </cat>
          <val>
            <numRef>
              <f>'01_Dashboard'!$C$71:$P$71</f>
            </numRef>
          </val>
        </ser>
        <gapWidth val="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'22_Capex'!$B$74:$B$83</f>
            </numRef>
          </cat>
          <val>
            <numRef>
              <f>'22_Capex'!$D$74:$D$83</f>
            </numRef>
          </val>
        </ser>
        <gapWidth val="3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,,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v>Low case</v>
          </tx>
          <spPr>
            <a:solidFill>
              <a:srgbClr val="C44E52"/>
            </a:solidFill>
            <a:ln>
              <a:solidFill>
                <a:srgbClr val="C44E52"/>
              </a:solidFill>
              <a:prstDash val="solid"/>
            </a:ln>
          </spPr>
          <cat>
            <numRef>
              <f>'52_Sensitivity'!$B$117:$B$122</f>
            </numRef>
          </cat>
          <val>
            <numRef>
              <f>'52_Sensitivity'!$E$117:$E$122</f>
            </numRef>
          </val>
        </ser>
        <ser>
          <idx val="1"/>
          <order val="1"/>
          <tx>
            <v>High case</v>
          </tx>
          <spPr>
            <a:solidFill>
              <a:srgbClr val="2A9D8F"/>
            </a:solidFill>
            <a:ln>
              <a:solidFill>
                <a:srgbClr val="2A9D8F"/>
              </a:solidFill>
              <a:prstDash val="solid"/>
            </a:ln>
          </spPr>
          <cat>
            <numRef>
              <f>'52_Sensitivity'!$B$117:$B$122</f>
            </numRef>
          </cat>
          <val>
            <numRef>
              <f>'52_Sensitivity'!$F$117:$F$122</f>
            </numRef>
          </val>
        </ser>
        <gapWidth val="4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0%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plotArea>
      <barChart>
        <barDir val="bar"/>
        <grouping val="clustered"/>
        <ser>
          <idx val="0"/>
          <order val="0"/>
          <spPr>
            <a:solidFill>
              <a:srgbClr val="1F5FAD"/>
            </a:solidFill>
            <a:ln>
              <a:solidFill>
                <a:srgbClr val="1F5FAD"/>
              </a:solidFill>
              <a:prstDash val="solid"/>
            </a:ln>
          </spPr>
          <cat>
            <numRef>
              <f>'02_Home'!$B$17:$B$26</f>
            </numRef>
          </cat>
          <val>
            <numRef>
              <f>'02_Home'!$C$17:$C$26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spPr>
            <a:solidFill>
              <a:srgbClr val="D98E2B"/>
            </a:solidFill>
            <a:ln>
              <a:solidFill>
                <a:srgbClr val="D98E2B"/>
              </a:solidFill>
              <a:prstDash val="solid"/>
            </a:ln>
          </spPr>
          <cat>
            <numRef>
              <f>'20_Timeline'!$E$37:$AZ$37</f>
            </numRef>
          </cat>
          <val>
            <numRef>
              <f>'23_Construction'!$E$41:$AZ$41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600">
                <a:solidFill>
                  <a:srgbClr val="5B6675"/>
                </a:solidFill>
              </a:defRPr>
            </a:pPr>
            <a:r>
              <a:t/>
            </a:r>
            <a:endParaRPr sz="600">
              <a:solidFill>
                <a:srgbClr val="5B6675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axPos val="l"/>
        <numFmt formatCode="#,##0.0,,&quot;m&quot;" sourceLinked="0"/>
        <majorTickMark val="none"/>
        <minorTickMark val="none"/>
        <txPr>
          <a:bodyPr/>
          <a:p>
            <a:pPr>
              <a:defRPr sz="650">
                <a:solidFill>
                  <a:srgbClr val="5B6675"/>
                </a:solidFill>
              </a:defRPr>
            </a:pPr>
            <a:r>
              <a:t/>
            </a:r>
            <a:endParaRPr sz="650">
              <a:solidFill>
                <a:srgbClr val="5B6675"/>
              </a:solidFill>
            </a:endParaRPr>
          </a:p>
        </txPr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Rapha</author>
  </authors>
  <commentList>
    <comment ref="F12" authorId="0" shapeId="0">
      <text>
        <t>Sample value — not market advice</t>
      </text>
    </comment>
    <comment ref="G12" authorId="0" shapeId="0">
      <text>
        <t>Sample value — not market advice</t>
      </text>
    </comment>
    <comment ref="F13" authorId="0" shapeId="0">
      <text>
        <t>Sample value — not market advice</t>
      </text>
    </comment>
    <comment ref="G13" authorId="0" shapeId="0">
      <text>
        <t>Sample value — not market advice</t>
      </text>
    </comment>
    <comment ref="F14" authorId="0" shapeId="0">
      <text>
        <t>Sample value — not market advice</t>
      </text>
    </comment>
    <comment ref="G14" authorId="0" shapeId="0">
      <text>
        <t>Sample value — not market advice</t>
      </text>
    </comment>
    <comment ref="F15" authorId="0" shapeId="0">
      <text>
        <t>Sample value — not market advice</t>
      </text>
    </comment>
    <comment ref="G15" authorId="0" shapeId="0">
      <text>
        <t>Sample value — not market advice</t>
      </text>
    </comment>
    <comment ref="F16" authorId="0" shapeId="0">
      <text>
        <t>Sample value — not market advice</t>
      </text>
    </comment>
    <comment ref="G16" authorId="0" shapeId="0">
      <text>
        <t>Sample value — not market advice</t>
      </text>
    </comment>
    <comment ref="F17" authorId="0" shapeId="0">
      <text>
        <t>Sample value — not market advice</t>
      </text>
    </comment>
    <comment ref="G17" authorId="0" shapeId="0">
      <text>
        <t>Sample value — not market advice</t>
      </text>
    </comment>
    <comment ref="F19" authorId="0" shapeId="0">
      <text>
        <t>Sample value — not market advice</t>
      </text>
    </comment>
    <comment ref="G19" authorId="0" shapeId="0">
      <text>
        <t>Sample value — not market advice</t>
      </text>
    </comment>
    <comment ref="F20" authorId="0" shapeId="0">
      <text>
        <t>Sample value — not market advice</t>
      </text>
    </comment>
    <comment ref="G20" authorId="0" shapeId="0">
      <text>
        <t>Sample value — not market advice</t>
      </text>
    </comment>
    <comment ref="F21" authorId="0" shapeId="0">
      <text>
        <t>Sample value — not market advice</t>
      </text>
    </comment>
    <comment ref="G21" authorId="0" shapeId="0">
      <text>
        <t>Sample value — not market advice</t>
      </text>
    </comment>
    <comment ref="F22" authorId="0" shapeId="0">
      <text>
        <t>Sample value — not market advice</t>
      </text>
    </comment>
    <comment ref="F23" authorId="0" shapeId="0">
      <text>
        <t>Sample value — not market advice</t>
      </text>
    </comment>
    <comment ref="G23" authorId="0" shapeId="0">
      <text>
        <t>Sample value — not market advice</t>
      </text>
    </comment>
    <comment ref="F24" authorId="0" shapeId="0">
      <text>
        <t>Sample value — not market advice</t>
      </text>
    </comment>
    <comment ref="G24" authorId="0" shapeId="0">
      <text>
        <t>Sample value — not market advice</t>
      </text>
    </comment>
    <comment ref="F25" authorId="0" shapeId="0">
      <text>
        <t>Sample value — not market advice</t>
      </text>
    </comment>
    <comment ref="G25" authorId="0" shapeId="0">
      <text>
        <t>Sample value — not market advice</t>
      </text>
    </comment>
    <comment ref="F26" authorId="0" shapeId="0">
      <text>
        <t>Sample value — not market advice</t>
      </text>
    </comment>
    <comment ref="F27" authorId="0" shapeId="0">
      <text>
        <t>Sample value — not market advice</t>
      </text>
    </comment>
    <comment ref="F28" authorId="0" shapeId="0">
      <text>
        <t>Sample value — not market advice</t>
      </text>
    </comment>
    <comment ref="F29" authorId="0" shapeId="0">
      <text>
        <t>Sample value — not market advice</t>
      </text>
    </comment>
    <comment ref="G29" authorId="0" shapeId="0">
      <text>
        <t>Sample value — not market advice</t>
      </text>
    </comment>
    <comment ref="F30" authorId="0" shapeId="0">
      <text>
        <t>Sample value — not market advice</t>
      </text>
    </comment>
    <comment ref="F31" authorId="0" shapeId="0">
      <text>
        <t>Sample value — not market advice</t>
      </text>
    </comment>
    <comment ref="G34" authorId="0" shapeId="0">
      <text>
        <t>Sample value — not market advice</t>
      </text>
    </comment>
    <comment ref="F35" authorId="0" shapeId="0">
      <text>
        <t>Sample value — not market advice</t>
      </text>
    </comment>
    <comment ref="G35" authorId="0" shapeId="0">
      <text>
        <t>Sample value — not market advice</t>
      </text>
    </comment>
    <comment ref="F36" authorId="0" shapeId="0">
      <text>
        <t>Sample value — not market advice</t>
      </text>
    </comment>
    <comment ref="G36" authorId="0" shapeId="0">
      <text>
        <t>Sample value — not market advice</t>
      </text>
    </comment>
    <comment ref="G37" authorId="0" shapeId="0">
      <text>
        <t>Sample value — not market advice</t>
      </text>
    </comment>
    <comment ref="G38" authorId="0" shapeId="0">
      <text>
        <t>Sample value — not market advice</t>
      </text>
    </comment>
    <comment ref="G39" authorId="0" shapeId="0">
      <text>
        <t>Sample value — not market advice</t>
      </text>
    </comment>
    <comment ref="G40" authorId="0" shapeId="0">
      <text>
        <t>Sample value — not market advice</t>
      </text>
    </comment>
    <comment ref="G41" authorId="0" shapeId="0">
      <text>
        <t>Sample value — not market advice</t>
      </text>
    </comment>
    <comment ref="G42" authorId="0" shapeId="0">
      <text>
        <t>Sample value — not market advice</t>
      </text>
    </comment>
    <comment ref="G43" authorId="0" shapeId="0">
      <text>
        <t>Sample value — not market advice</t>
      </text>
    </comment>
    <comment ref="F50" authorId="0" shapeId="0">
      <text>
        <t>Sample value — not market advice</t>
      </text>
    </comment>
    <comment ref="G50" authorId="0" shapeId="0">
      <text>
        <t>Sample value — not market advice</t>
      </text>
    </comment>
    <comment ref="F51" authorId="0" shapeId="0">
      <text>
        <t>Sample value — not market advice</t>
      </text>
    </comment>
    <comment ref="G51" authorId="0" shapeId="0">
      <text>
        <t>Sample value — not market advice</t>
      </text>
    </comment>
    <comment ref="F52" authorId="0" shapeId="0">
      <text>
        <t>Sample value — not market advice</t>
      </text>
    </comment>
    <comment ref="G52" authorId="0" shapeId="0">
      <text>
        <t>Sample value — not market advice</t>
      </text>
    </comment>
    <comment ref="F53" authorId="0" shapeId="0">
      <text>
        <t>Sample value — not market advice</t>
      </text>
    </comment>
    <comment ref="G53" authorId="0" shapeId="0">
      <text>
        <t>Sample value — not market advice</t>
      </text>
    </comment>
    <comment ref="F54" authorId="0" shapeId="0">
      <text>
        <t>Sample value — not market advice</t>
      </text>
    </comment>
    <comment ref="G54" authorId="0" shapeId="0">
      <text>
        <t>Sample value — not market advice</t>
      </text>
    </comment>
    <comment ref="F55" authorId="0" shapeId="0">
      <text>
        <t>Sample value — not market advice</t>
      </text>
    </comment>
    <comment ref="G55" authorId="0" shapeId="0">
      <text>
        <t>Sample value — not market advice</t>
      </text>
    </comment>
    <comment ref="F56" authorId="0" shapeId="0">
      <text>
        <t>Sample value — not market advice</t>
      </text>
    </comment>
    <comment ref="G56" authorId="0" shapeId="0">
      <text>
        <t>Sample value — not market advice</t>
      </text>
    </comment>
    <comment ref="F57" authorId="0" shapeId="0">
      <text>
        <t>Sample value — not market advice</t>
      </text>
    </comment>
    <comment ref="G57" authorId="0" shapeId="0">
      <text>
        <t>Sample value — not market advice</t>
      </text>
    </comment>
    <comment ref="F58" authorId="0" shapeId="0">
      <text>
        <t>Sample value — not market advice</t>
      </text>
    </comment>
    <comment ref="G58" authorId="0" shapeId="0">
      <text>
        <t>Sample value — not market advice</t>
      </text>
    </comment>
    <comment ref="F59" authorId="0" shapeId="0">
      <text>
        <t>Sample value — not market advice</t>
      </text>
    </comment>
    <comment ref="G59" authorId="0" shapeId="0">
      <text>
        <t>Sample value — not market advice</t>
      </text>
    </comment>
    <comment ref="F60" authorId="0" shapeId="0">
      <text>
        <t>Sample value — not market advice</t>
      </text>
    </comment>
    <comment ref="G60" authorId="0" shapeId="0">
      <text>
        <t>Sample value — not market advice</t>
      </text>
    </comment>
    <comment ref="F61" authorId="0" shapeId="0">
      <text>
        <t>Sample value — not market advice</t>
      </text>
    </comment>
    <comment ref="G61" authorId="0" shapeId="0">
      <text>
        <t>Sample value — not market advice</t>
      </text>
    </comment>
    <comment ref="F62" authorId="0" shapeId="0">
      <text>
        <t>Sample value — not market advice</t>
      </text>
    </comment>
    <comment ref="G62" authorId="0" shapeId="0">
      <text>
        <t>Sample value — not market advice</t>
      </text>
    </comment>
    <comment ref="F63" authorId="0" shapeId="0">
      <text>
        <t>Sample value — not market advice</t>
      </text>
    </comment>
    <comment ref="G63" authorId="0" shapeId="0">
      <text>
        <t>Sample value — not market advice</t>
      </text>
    </comment>
    <comment ref="F64" authorId="0" shapeId="0">
      <text>
        <t>Sample value — not market advice</t>
      </text>
    </comment>
    <comment ref="G64" authorId="0" shapeId="0">
      <text>
        <t>Sample value — not market advice</t>
      </text>
    </comment>
    <comment ref="F65" authorId="0" shapeId="0">
      <text>
        <t>Sample value — not market advice</t>
      </text>
    </comment>
    <comment ref="G65" authorId="0" shapeId="0">
      <text>
        <t>Sample value — not market advice</t>
      </text>
    </comment>
    <comment ref="F67" authorId="0" shapeId="0">
      <text>
        <t>Sample value — not market advice</t>
      </text>
    </comment>
    <comment ref="G67" authorId="0" shapeId="0">
      <text>
        <t>Sample value — not market advice</t>
      </text>
    </comment>
    <comment ref="F68" authorId="0" shapeId="0">
      <text>
        <t>Sample value — not market advice</t>
      </text>
    </comment>
    <comment ref="G68" authorId="0" shapeId="0">
      <text>
        <t>Sample value — not market advice</t>
      </text>
    </comment>
    <comment ref="F69" authorId="0" shapeId="0">
      <text>
        <t>Sample value — not market advice</t>
      </text>
    </comment>
    <comment ref="G69" authorId="0" shapeId="0">
      <text>
        <t>Sample value — not market advice</t>
      </text>
    </comment>
    <comment ref="G72" authorId="0" shapeId="0">
      <text>
        <t>Sample value — not market advice</t>
      </text>
    </comment>
    <comment ref="F79" authorId="0" shapeId="0">
      <text>
        <t>Sample value — not market advice</t>
      </text>
    </comment>
    <comment ref="G79" authorId="0" shapeId="0">
      <text>
        <t>Sample value — not market advice</t>
      </text>
    </comment>
    <comment ref="F80" authorId="0" shapeId="0">
      <text>
        <t>Sample value — not market advice</t>
      </text>
    </comment>
    <comment ref="G80" authorId="0" shapeId="0">
      <text>
        <t>Sample value — not market advice</t>
      </text>
    </comment>
    <comment ref="F81" authorId="0" shapeId="0">
      <text>
        <t>Sample value — not market advice</t>
      </text>
    </comment>
    <comment ref="G81" authorId="0" shapeId="0">
      <text>
        <t>Sample value — not market advice</t>
      </text>
    </comment>
    <comment ref="F82" authorId="0" shapeId="0">
      <text>
        <t>Sample value — not market advice</t>
      </text>
    </comment>
    <comment ref="G82" authorId="0" shapeId="0">
      <text>
        <t>Sample value — not market advice</t>
      </text>
    </comment>
    <comment ref="F83" authorId="0" shapeId="0">
      <text>
        <t>Sample value — not market advice</t>
      </text>
    </comment>
    <comment ref="G83" authorId="0" shapeId="0">
      <text>
        <t>Sample value — not market advice</t>
      </text>
    </comment>
    <comment ref="F84" authorId="0" shapeId="0">
      <text>
        <t>Sample value — not market advice</t>
      </text>
    </comment>
    <comment ref="G84" authorId="0" shapeId="0">
      <text>
        <t>Sample value — not market advice</t>
      </text>
    </comment>
    <comment ref="F85" authorId="0" shapeId="0">
      <text>
        <t>Sample value — not market advice</t>
      </text>
    </comment>
    <comment ref="G85" authorId="0" shapeId="0">
      <text>
        <t>Sample value — not market advice</t>
      </text>
    </comment>
    <comment ref="F86" authorId="0" shapeId="0">
      <text>
        <t>Sample value — not market advice</t>
      </text>
    </comment>
    <comment ref="G86" authorId="0" shapeId="0">
      <text>
        <t>Sample value — not market advice</t>
      </text>
    </comment>
    <comment ref="F87" authorId="0" shapeId="0">
      <text>
        <t>Sample value — not market advice</t>
      </text>
    </comment>
    <comment ref="G87" authorId="0" shapeId="0">
      <text>
        <t>Sample value — not market advice</t>
      </text>
    </comment>
    <comment ref="G96" authorId="0" shapeId="0">
      <text>
        <t>Sample value — not market advice</t>
      </text>
    </comment>
    <comment ref="F97" authorId="0" shapeId="0">
      <text>
        <t>Sample value — not market advice</t>
      </text>
    </comment>
    <comment ref="G97" authorId="0" shapeId="0">
      <text>
        <t>Sample value — not market advice</t>
      </text>
    </comment>
    <comment ref="F98" authorId="0" shapeId="0">
      <text>
        <t>Sample value — not market advice</t>
      </text>
    </comment>
    <comment ref="G98" authorId="0" shapeId="0">
      <text>
        <t>Sample value — not market advice</t>
      </text>
    </comment>
    <comment ref="F99" authorId="0" shapeId="0">
      <text>
        <t>Sample value — not market advice</t>
      </text>
    </comment>
    <comment ref="G99" authorId="0" shapeId="0">
      <text>
        <t>Sample value — not market advice</t>
      </text>
    </comment>
    <comment ref="F100" authorId="0" shapeId="0">
      <text>
        <t>Sample value — not market advice</t>
      </text>
    </comment>
    <comment ref="G100" authorId="0" shapeId="0">
      <text>
        <t>Sample value — not market advice</t>
      </text>
    </comment>
    <comment ref="F101" authorId="0" shapeId="0">
      <text>
        <t>Sample value — not market advice</t>
      </text>
    </comment>
    <comment ref="G101" authorId="0" shapeId="0">
      <text>
        <t>Sample value — not market advice</t>
      </text>
    </comment>
    <comment ref="F102" authorId="0" shapeId="0">
      <text>
        <t>Sample value — not market advice</t>
      </text>
    </comment>
    <comment ref="G102" authorId="0" shapeId="0">
      <text>
        <t>Sample value — not market advice</t>
      </text>
    </comment>
    <comment ref="F103" authorId="0" shapeId="0">
      <text>
        <t>Sample value — not market advice</t>
      </text>
    </comment>
    <comment ref="F104" authorId="0" shapeId="0">
      <text>
        <t>Sample value — not market advice</t>
      </text>
    </comment>
    <comment ref="G104" authorId="0" shapeId="0">
      <text>
        <t>Sample value — not market advice</t>
      </text>
    </comment>
    <comment ref="F105" authorId="0" shapeId="0">
      <text>
        <t>Sample value — not market advice</t>
      </text>
    </comment>
    <comment ref="G105" authorId="0" shapeId="0">
      <text>
        <t>Sample value — not market advice</t>
      </text>
    </comment>
    <comment ref="F106" authorId="0" shapeId="0">
      <text>
        <t>Sample value — not market advice</t>
      </text>
    </comment>
    <comment ref="G106" authorId="0" shapeId="0">
      <text>
        <t>Sample value — not market advice</t>
      </text>
    </comment>
    <comment ref="F107" authorId="0" shapeId="0">
      <text>
        <t>Sample value — not market advice</t>
      </text>
    </comment>
    <comment ref="G107" authorId="0" shapeId="0">
      <text>
        <t>Sample value — not market advice</t>
      </text>
    </comment>
    <comment ref="F108" authorId="0" shapeId="0">
      <text>
        <t>Sample value — not market advice</t>
      </text>
    </comment>
    <comment ref="G108" authorId="0" shapeId="0">
      <text>
        <t>Sample value — not market advice</t>
      </text>
    </comment>
    <comment ref="F109" authorId="0" shapeId="0">
      <text>
        <t>Sample value — not market advice</t>
      </text>
    </comment>
    <comment ref="G109" authorId="0" shapeId="0">
      <text>
        <t>Sample value — not market advice</t>
      </text>
    </comment>
    <comment ref="F110" authorId="0" shapeId="0">
      <text>
        <t>Sample value — not market advice</t>
      </text>
    </comment>
    <comment ref="G110" authorId="0" shapeId="0">
      <text>
        <t>Sample value — not market advice</t>
      </text>
    </comment>
    <comment ref="F111" authorId="0" shapeId="0">
      <text>
        <t>Sample value — not market advice</t>
      </text>
    </comment>
    <comment ref="G111" authorId="0" shapeId="0">
      <text>
        <t>Sample value — not market advice</t>
      </text>
    </comment>
    <comment ref="F112" authorId="0" shapeId="0">
      <text>
        <t>Sample value — not market advice</t>
      </text>
    </comment>
    <comment ref="G112" authorId="0" shapeId="0">
      <text>
        <t>Sample value — not market advice</t>
      </text>
    </comment>
    <comment ref="F113" authorId="0" shapeId="0">
      <text>
        <t>Sample value — not market advice</t>
      </text>
    </comment>
    <comment ref="G113" authorId="0" shapeId="0">
      <text>
        <t>Sample value — not market advice</t>
      </text>
    </comment>
    <comment ref="F114" authorId="0" shapeId="0">
      <text>
        <t>Sample value — not market advice</t>
      </text>
    </comment>
    <comment ref="G114" authorId="0" shapeId="0">
      <text>
        <t>Sample value — not market advice</t>
      </text>
    </comment>
    <comment ref="F115" authorId="0" shapeId="0">
      <text>
        <t>Sample value — not market advice</t>
      </text>
    </comment>
    <comment ref="G115" authorId="0" shapeId="0">
      <text>
        <t>Sample value — not market advice</t>
      </text>
    </comment>
    <comment ref="F116" authorId="0" shapeId="0">
      <text>
        <t>Sample value — not market advice</t>
      </text>
    </comment>
    <comment ref="G116" authorId="0" shapeId="0">
      <text>
        <t>Sample value — not market advice</t>
      </text>
    </comment>
    <comment ref="F117" authorId="0" shapeId="0">
      <text>
        <t>Sample value — not market advice</t>
      </text>
    </comment>
    <comment ref="G117" authorId="0" shapeId="0">
      <text>
        <t>Sample value — not market advice</t>
      </text>
    </comment>
    <comment ref="F119" authorId="0" shapeId="0">
      <text>
        <t>Sample value — not market advice</t>
      </text>
    </comment>
    <comment ref="G119" authorId="0" shapeId="0">
      <text>
        <t>Sample value — not market advice</t>
      </text>
    </comment>
    <comment ref="F120" authorId="0" shapeId="0">
      <text>
        <t>Sample value — not market advice</t>
      </text>
    </comment>
    <comment ref="G120" authorId="0" shapeId="0">
      <text>
        <t>Sample value — not market advice</t>
      </text>
    </comment>
    <comment ref="F121" authorId="0" shapeId="0">
      <text>
        <t>Sample value — not market advice</t>
      </text>
    </comment>
    <comment ref="G121" authorId="0" shapeId="0">
      <text>
        <t>Sample value — not market advice</t>
      </text>
    </comment>
    <comment ref="F122" authorId="0" shapeId="0">
      <text>
        <t>Sample value — not market advice</t>
      </text>
    </comment>
    <comment ref="G122" authorId="0" shapeId="0">
      <text>
        <t>Sample value — not market advice</t>
      </text>
    </comment>
    <comment ref="F123" authorId="0" shapeId="0">
      <text>
        <t>Sample value — not market advice</t>
      </text>
    </comment>
    <comment ref="G123" authorId="0" shapeId="0">
      <text>
        <t>Sample value — not market advice</t>
      </text>
    </comment>
    <comment ref="F125" authorId="0" shapeId="0">
      <text>
        <t>Sample value — not market advice</t>
      </text>
    </comment>
    <comment ref="G125" authorId="0" shapeId="0">
      <text>
        <t>Sample value — not market advice</t>
      </text>
    </comment>
    <comment ref="G126" authorId="0" shapeId="0">
      <text>
        <t>Sample value — not market advice</t>
      </text>
    </comment>
    <comment ref="F127" authorId="0" shapeId="0">
      <text>
        <t>Sample value — not market advice</t>
      </text>
    </comment>
    <comment ref="G127" authorId="0" shapeId="0">
      <text>
        <t>Sample value — not market advice</t>
      </text>
    </comment>
    <comment ref="F128" authorId="0" shapeId="0">
      <text>
        <t>Sample value — not market advice</t>
      </text>
    </comment>
    <comment ref="G128" authorId="0" shapeId="0">
      <text>
        <t>Sample value — not market advice</t>
      </text>
    </comment>
    <comment ref="F129" authorId="0" shapeId="0">
      <text>
        <t>Sample value — not market advice</t>
      </text>
    </comment>
    <comment ref="G129" authorId="0" shapeId="0">
      <text>
        <t>Sample value — not market advice</t>
      </text>
    </comment>
    <comment ref="G131" authorId="0" shapeId="0">
      <text>
        <t>Sample value — not market advice</t>
      </text>
    </comment>
    <comment ref="G132" authorId="0" shapeId="0">
      <text>
        <t>Sample value — not market advice</t>
      </text>
    </comment>
    <comment ref="G133" authorId="0" shapeId="0">
      <text>
        <t>Sample value — not market advice</t>
      </text>
    </comment>
    <comment ref="F136" authorId="0" shapeId="0">
      <text>
        <t>Sample value — not market advice</t>
      </text>
    </comment>
    <comment ref="G136" authorId="0" shapeId="0">
      <text>
        <t>Sample value — not market advice</t>
      </text>
    </comment>
    <comment ref="G137" authorId="0" shapeId="0">
      <text>
        <t>Sample value — not market advice</t>
      </text>
    </comment>
    <comment ref="G138" authorId="0" shapeId="0">
      <text>
        <t>Sample value — not market advice</t>
      </text>
    </comment>
    <comment ref="G139" authorId="0" shapeId="0">
      <text>
        <t>Sample value — not market advice</t>
      </text>
    </comment>
    <comment ref="F141" authorId="0" shapeId="0">
      <text>
        <t>Sample value — not market advice</t>
      </text>
    </comment>
    <comment ref="G141" authorId="0" shapeId="0">
      <text>
        <t>Sample value — not market advice</t>
      </text>
    </comment>
    <comment ref="F142" authorId="0" shapeId="0">
      <text>
        <t>Sample value — not market advice</t>
      </text>
    </comment>
    <comment ref="G142" authorId="0" shapeId="0">
      <text>
        <t>Sample value — not market advice</t>
      </text>
    </comment>
    <comment ref="F145" authorId="0" shapeId="0">
      <text>
        <t>Sample value — not market advice</t>
      </text>
    </comment>
    <comment ref="G145" authorId="0" shapeId="0">
      <text>
        <t>Sample value — not market advice</t>
      </text>
    </comment>
    <comment ref="F146" authorId="0" shapeId="0">
      <text>
        <t>Sample value — not market advice</t>
      </text>
    </comment>
    <comment ref="G146" authorId="0" shapeId="0">
      <text>
        <t>Sample value — not market advice</t>
      </text>
    </comment>
    <comment ref="F147" authorId="0" shapeId="0">
      <text>
        <t>Sample value — not market advice</t>
      </text>
    </comment>
    <comment ref="G147" authorId="0" shapeId="0">
      <text>
        <t>Sample value — not market advice</t>
      </text>
    </comment>
    <comment ref="F148" authorId="0" shapeId="0">
      <text>
        <t>Sample value — not market advice</t>
      </text>
    </comment>
    <comment ref="G148" authorId="0" shapeId="0">
      <text>
        <t>Sample value — not market advice</t>
      </text>
    </comment>
    <comment ref="F149" authorId="0" shapeId="0">
      <text>
        <t>Sample value — not market advice</t>
      </text>
    </comment>
    <comment ref="G149" authorId="0" shapeId="0">
      <text>
        <t>Sample value — not market advice</t>
      </text>
    </comment>
    <comment ref="F150" authorId="0" shapeId="0">
      <text>
        <t>Sample value — not market advice</t>
      </text>
    </comment>
    <comment ref="G150" authorId="0" shapeId="0">
      <text>
        <t>Sample value — not market advice</t>
      </text>
    </comment>
    <comment ref="G153" authorId="0" shapeId="0">
      <text>
        <t>Sample value — not market advice</t>
      </text>
    </comment>
    <comment ref="G154" authorId="0" shapeId="0">
      <text>
        <t>Sample value — not market advice</t>
      </text>
    </comment>
    <comment ref="G155" authorId="0" shapeId="0">
      <text>
        <t>Sample value — not market advice</t>
      </text>
    </comment>
    <comment ref="F158" authorId="0" shapeId="0">
      <text>
        <t>Sample value — not market advice</t>
      </text>
    </comment>
    <comment ref="G158" authorId="0" shapeId="0">
      <text>
        <t>Sample value — not market advice</t>
      </text>
    </comment>
    <comment ref="F159" authorId="0" shapeId="0">
      <text>
        <t>Sample value — not market advice</t>
      </text>
    </comment>
    <comment ref="G159" authorId="0" shapeId="0">
      <text>
        <t>Sample value — not market advice</t>
      </text>
    </comment>
    <comment ref="F160" authorId="0" shapeId="0">
      <text>
        <t>Sample value — not market advice</t>
      </text>
    </comment>
    <comment ref="G160" authorId="0" shapeId="0">
      <text>
        <t>Sample value — not market advice</t>
      </text>
    </comment>
    <comment ref="F161" authorId="0" shapeId="0">
      <text>
        <t>Sample value — not market advice</t>
      </text>
    </comment>
    <comment ref="G161" authorId="0" shapeId="0">
      <text>
        <t>Sample value — not market advice</t>
      </text>
    </comment>
    <comment ref="G162" authorId="0" shapeId="0">
      <text>
        <t>Sample value — not market advice</t>
      </text>
    </comment>
    <comment ref="F163" authorId="0" shapeId="0">
      <text>
        <t>Sample value — not market advice</t>
      </text>
    </comment>
    <comment ref="G163" authorId="0" shapeId="0">
      <text>
        <t>Sample value — not market advice</t>
      </text>
    </comment>
    <comment ref="G164" authorId="0" shapeId="0">
      <text>
        <t>Sample value — not market advice</t>
      </text>
    </comment>
    <comment ref="F165" authorId="0" shapeId="0">
      <text>
        <t>Sample value — not market advice</t>
      </text>
    </comment>
    <comment ref="G165" authorId="0" shapeId="0">
      <text>
        <t>Sample value — not market advice</t>
      </text>
    </comment>
    <comment ref="G166" authorId="0" shapeId="0">
      <text>
        <t>Sample value — not market advice</t>
      </text>
    </comment>
    <comment ref="G167" authorId="0" shapeId="0">
      <text>
        <t>Sample value — not market advice</t>
      </text>
    </comment>
    <comment ref="F169" authorId="0" shapeId="0">
      <text>
        <t>Sample value — not market advice</t>
      </text>
    </comment>
    <comment ref="G169" authorId="0" shapeId="0">
      <text>
        <t>Sample value — not market advice</t>
      </text>
    </comment>
    <comment ref="F170" authorId="0" shapeId="0">
      <text>
        <t>Sample value — not market advice</t>
      </text>
    </comment>
    <comment ref="G170" authorId="0" shapeId="0">
      <text>
        <t>Sample value — not market advice</t>
      </text>
    </comment>
    <comment ref="F171" authorId="0" shapeId="0">
      <text>
        <t>Sample value — not market advice</t>
      </text>
    </comment>
    <comment ref="G171" authorId="0" shapeId="0">
      <text>
        <t>Sample value — not market advice</t>
      </text>
    </comment>
    <comment ref="G172" authorId="0" shapeId="0">
      <text>
        <t>Sample value — not market advice</t>
      </text>
    </comment>
    <comment ref="F173" authorId="0" shapeId="0">
      <text>
        <t>Sample value — not market advice</t>
      </text>
    </comment>
    <comment ref="G173" authorId="0" shapeId="0">
      <text>
        <t>Sample value — not market advice</t>
      </text>
    </comment>
    <comment ref="F174" authorId="0" shapeId="0">
      <text>
        <t>Sample value — not market advice</t>
      </text>
    </comment>
    <comment ref="G174" authorId="0" shapeId="0">
      <text>
        <t>Sample value — not market advice</t>
      </text>
    </comment>
    <comment ref="F175" authorId="0" shapeId="0">
      <text>
        <t>Sample value — not market advice</t>
      </text>
    </comment>
    <comment ref="G175" authorId="0" shapeId="0">
      <text>
        <t>Sample value — not market advice</t>
      </text>
    </comment>
    <comment ref="G176" authorId="0" shapeId="0">
      <text>
        <t>Sample value — not market advice</t>
      </text>
    </comment>
    <comment ref="F177" authorId="0" shapeId="0">
      <text>
        <t>Sample value — not market advice</t>
      </text>
    </comment>
    <comment ref="G177" authorId="0" shapeId="0">
      <text>
        <t>Sample value — not market advice</t>
      </text>
    </comment>
    <comment ref="F178" authorId="0" shapeId="0">
      <text>
        <t>Sample value — not market advice</t>
      </text>
    </comment>
    <comment ref="G178" authorId="0" shapeId="0">
      <text>
        <t>Sample value — not market advice</t>
      </text>
    </comment>
    <comment ref="F179" authorId="0" shapeId="0">
      <text>
        <t>Sample value — not market advice</t>
      </text>
    </comment>
    <comment ref="G179" authorId="0" shapeId="0">
      <text>
        <t>Sample value — not market advice</t>
      </text>
    </comment>
    <comment ref="F180" authorId="0" shapeId="0">
      <text>
        <t>Sample value — not market advice</t>
      </text>
    </comment>
    <comment ref="G180" authorId="0" shapeId="0">
      <text>
        <t>Sample value — not market advice</t>
      </text>
    </comment>
    <comment ref="F182" authorId="0" shapeId="0">
      <text>
        <t>Sample value — not market advice</t>
      </text>
    </comment>
    <comment ref="G182" authorId="0" shapeId="0">
      <text>
        <t>Sample value — not market advice</t>
      </text>
    </comment>
    <comment ref="F183" authorId="0" shapeId="0">
      <text>
        <t>Sample value — not market advice</t>
      </text>
    </comment>
    <comment ref="G183" authorId="0" shapeId="0">
      <text>
        <t>Sample value — not market advice</t>
      </text>
    </comment>
    <comment ref="F184" authorId="0" shapeId="0">
      <text>
        <t>Sample value — not market advice</t>
      </text>
    </comment>
    <comment ref="G184" authorId="0" shapeId="0">
      <text>
        <t>Sample value — not market advice</t>
      </text>
    </comment>
    <comment ref="F185" authorId="0" shapeId="0">
      <text>
        <t>Sample value — not market advice</t>
      </text>
    </comment>
    <comment ref="G185" authorId="0" shapeId="0">
      <text>
        <t>Sample value — not market advice</t>
      </text>
    </comment>
    <comment ref="F187" authorId="0" shapeId="0">
      <text>
        <t>Sample value — not market advice</t>
      </text>
    </comment>
    <comment ref="G187" authorId="0" shapeId="0">
      <text>
        <t>Sample value — not market advice</t>
      </text>
    </comment>
    <comment ref="F188" authorId="0" shapeId="0">
      <text>
        <t>Sample value — not market advice</t>
      </text>
    </comment>
    <comment ref="G188" authorId="0" shapeId="0">
      <text>
        <t>Sample value — not market advice</t>
      </text>
    </comment>
    <comment ref="F189" authorId="0" shapeId="0">
      <text>
        <t>Sample value — not market advice</t>
      </text>
    </comment>
    <comment ref="G189" authorId="0" shapeId="0">
      <text>
        <t>Sample value — not market advice</t>
      </text>
    </comment>
    <comment ref="F190" authorId="0" shapeId="0">
      <text>
        <t>Sample value — not market advice</t>
      </text>
    </comment>
    <comment ref="G190" authorId="0" shapeId="0">
      <text>
        <t>Sample value — not market advice</t>
      </text>
    </comment>
    <comment ref="F191" authorId="0" shapeId="0">
      <text>
        <t>Sample value — not market advice</t>
      </text>
    </comment>
    <comment ref="G191" authorId="0" shapeId="0">
      <text>
        <t>Sample value — not market advice</t>
      </text>
    </comment>
    <comment ref="F192" authorId="0" shapeId="0">
      <text>
        <t>Sample value — not market advice</t>
      </text>
    </comment>
    <comment ref="G192" authorId="0" shapeId="0">
      <text>
        <t>Sample value — not market advice</t>
      </text>
    </comment>
    <comment ref="F193" authorId="0" shapeId="0">
      <text>
        <t>Sample value — not market advice</t>
      </text>
    </comment>
    <comment ref="G193" authorId="0" shapeId="0">
      <text>
        <t>Sample value — not market advice</t>
      </text>
    </comment>
    <comment ref="F194" authorId="0" shapeId="0">
      <text>
        <t>Sample value — not market advice</t>
      </text>
    </comment>
    <comment ref="G194" authorId="0" shapeId="0">
      <text>
        <t>Sample value — not market advice</t>
      </text>
    </comment>
    <comment ref="F195" authorId="0" shapeId="0">
      <text>
        <t>Sample value — not market advice</t>
      </text>
    </comment>
    <comment ref="G195" authorId="0" shapeId="0">
      <text>
        <t>Sample value — not market advice</t>
      </text>
    </comment>
    <comment ref="F196" authorId="0" shapeId="0">
      <text>
        <t>Sample value — not market advice</t>
      </text>
    </comment>
    <comment ref="G196" authorId="0" shapeId="0">
      <text>
        <t>Sample value — not market advice</t>
      </text>
    </comment>
    <comment ref="F197" authorId="0" shapeId="0">
      <text>
        <t>Sample value — not market advice</t>
      </text>
    </comment>
    <comment ref="G197" authorId="0" shapeId="0">
      <text>
        <t>Sample value — not market advice</t>
      </text>
    </comment>
    <comment ref="F198" authorId="0" shapeId="0">
      <text>
        <t>Sample value — not market advice</t>
      </text>
    </comment>
    <comment ref="G198" authorId="0" shapeId="0">
      <text>
        <t>Sample value — not market advice</t>
      </text>
    </comment>
    <comment ref="G199" authorId="0" shapeId="0">
      <text>
        <t>Sample value — not market advice</t>
      </text>
    </comment>
    <comment ref="F200" authorId="0" shapeId="0">
      <text>
        <t>Sample value — not market advice</t>
      </text>
    </comment>
    <comment ref="G200" authorId="0" shapeId="0">
      <text>
        <t>Sample value — not market advice</t>
      </text>
    </comment>
    <comment ref="F201" authorId="0" shapeId="0">
      <text>
        <t>Sample value — not market advice</t>
      </text>
    </comment>
    <comment ref="G201" authorId="0" shapeId="0">
      <text>
        <t>Sample value — not market advice</t>
      </text>
    </comment>
    <comment ref="F202" authorId="0" shapeId="0">
      <text>
        <t>Sample value — not market advice</t>
      </text>
    </comment>
    <comment ref="G202" authorId="0" shapeId="0">
      <text>
        <t>Sample value — not market advice</t>
      </text>
    </comment>
    <comment ref="F204" authorId="0" shapeId="0">
      <text>
        <t>Sample value — not market advice</t>
      </text>
    </comment>
    <comment ref="G204" authorId="0" shapeId="0">
      <text>
        <t>Sample value — not market advice</t>
      </text>
    </comment>
    <comment ref="F205" authorId="0" shapeId="0">
      <text>
        <t>Sample value — not market advice</t>
      </text>
    </comment>
    <comment ref="G205" authorId="0" shapeId="0">
      <text>
        <t>Sample value — not market advice</t>
      </text>
    </comment>
    <comment ref="G206" authorId="0" shapeId="0">
      <text>
        <t>Sample value — not market advice</t>
      </text>
    </comment>
    <comment ref="G207" authorId="0" shapeId="0">
      <text>
        <t>Sample value — not market advice</t>
      </text>
    </comment>
    <comment ref="G208" authorId="0" shapeId="0">
      <text>
        <t>Sample value — not market advice</t>
      </text>
    </comment>
    <comment ref="F209" authorId="0" shapeId="0">
      <text>
        <t>Sample value — not market advice</t>
      </text>
    </comment>
    <comment ref="G209" authorId="0" shapeId="0">
      <text>
        <t>Sample value — not market advice</t>
      </text>
    </comment>
    <comment ref="F210" authorId="0" shapeId="0">
      <text>
        <t>Sample value — not market advice</t>
      </text>
    </comment>
    <comment ref="G210" authorId="0" shapeId="0">
      <text>
        <t>Sample value — not market advice</t>
      </text>
    </comment>
    <comment ref="G211" authorId="0" shapeId="0">
      <text>
        <t>Sample value — not market advice</t>
      </text>
    </comment>
    <comment ref="F213" authorId="0" shapeId="0">
      <text>
        <t>Sample value — not market advice</t>
      </text>
    </comment>
    <comment ref="G213" authorId="0" shapeId="0">
      <text>
        <t>Sample value — not market advice</t>
      </text>
    </comment>
    <comment ref="F214" authorId="0" shapeId="0">
      <text>
        <t>Sample value — not market advice</t>
      </text>
    </comment>
    <comment ref="G214" authorId="0" shapeId="0">
      <text>
        <t>Sample value — not market advice</t>
      </text>
    </comment>
    <comment ref="F215" authorId="0" shapeId="0">
      <text>
        <t>Sample value — not market advice</t>
      </text>
    </comment>
    <comment ref="G215" authorId="0" shapeId="0">
      <text>
        <t>Sample value — not market advice</t>
      </text>
    </comment>
    <comment ref="F216" authorId="0" shapeId="0">
      <text>
        <t>Sample value — not market advice</t>
      </text>
    </comment>
    <comment ref="G216" authorId="0" shapeId="0">
      <text>
        <t>Sample value — not market advice</t>
      </text>
    </comment>
    <comment ref="F217" authorId="0" shapeId="0">
      <text>
        <t>Sample value — not market advice</t>
      </text>
    </comment>
    <comment ref="G217" authorId="0" shapeId="0">
      <text>
        <t>Sample value — not market advice</t>
      </text>
    </comment>
    <comment ref="F218" authorId="0" shapeId="0">
      <text>
        <t>Sample value — not market advice</t>
      </text>
    </comment>
    <comment ref="G218" authorId="0" shapeId="0">
      <text>
        <t>Sample value — not market advice</t>
      </text>
    </comment>
    <comment ref="F219" authorId="0" shapeId="0">
      <text>
        <t>Sample value — not market advice</t>
      </text>
    </comment>
    <comment ref="G219" authorId="0" shapeId="0">
      <text>
        <t>Sample value — not market advice</t>
      </text>
    </comment>
    <comment ref="F220" authorId="0" shapeId="0">
      <text>
        <t>Sample value — not market advice</t>
      </text>
    </comment>
    <comment ref="G220" authorId="0" shapeId="0">
      <text>
        <t>Sample value — not market advice</t>
      </text>
    </comment>
    <comment ref="G221" authorId="0" shapeId="0">
      <text>
        <t>Sample value — not market advice</t>
      </text>
    </comment>
    <comment ref="F222" authorId="0" shapeId="0">
      <text>
        <t>Sample value — not market advice</t>
      </text>
    </comment>
    <comment ref="G222" authorId="0" shapeId="0">
      <text>
        <t>Sample value — not market advice</t>
      </text>
    </comment>
    <comment ref="F223" authorId="0" shapeId="0">
      <text>
        <t>Sample value — not market advice</t>
      </text>
    </comment>
    <comment ref="G223" authorId="0" shapeId="0">
      <text>
        <t>Sample value — not market advice</t>
      </text>
    </comment>
    <comment ref="F224" authorId="0" shapeId="0">
      <text>
        <t>Sample value — not market advice</t>
      </text>
    </comment>
    <comment ref="G224" authorId="0" shapeId="0">
      <text>
        <t>Sample value — not market advice</t>
      </text>
    </comment>
    <comment ref="F225" authorId="0" shapeId="0">
      <text>
        <t>Sample value — not market advice</t>
      </text>
    </comment>
    <comment ref="G225" authorId="0" shapeId="0">
      <text>
        <t>Sample value — not market advice</t>
      </text>
    </comment>
    <comment ref="F226" authorId="0" shapeId="0">
      <text>
        <t>Sample value — not market advice</t>
      </text>
    </comment>
    <comment ref="G226" authorId="0" shapeId="0">
      <text>
        <t>Sample value — not market advice</t>
      </text>
    </comment>
    <comment ref="F227" authorId="0" shapeId="0">
      <text>
        <t>Sample value — not market advice</t>
      </text>
    </comment>
    <comment ref="G227" authorId="0" shapeId="0">
      <text>
        <t>Sample value — not market advice</t>
      </text>
    </comment>
    <comment ref="F228" authorId="0" shapeId="0">
      <text>
        <t>Sample value — not market advice</t>
      </text>
    </comment>
    <comment ref="G228" authorId="0" shapeId="0">
      <text>
        <t>Sample value — not market advice</t>
      </text>
    </comment>
    <comment ref="F230" authorId="0" shapeId="0">
      <text>
        <t>Sample value — not market advice</t>
      </text>
    </comment>
    <comment ref="G230" authorId="0" shapeId="0">
      <text>
        <t>Sample value — not market advice</t>
      </text>
    </comment>
    <comment ref="F231" authorId="0" shapeId="0">
      <text>
        <t>Sample value — not market advice</t>
      </text>
    </comment>
    <comment ref="G231" authorId="0" shapeId="0">
      <text>
        <t>Sample value — not market advice</t>
      </text>
    </comment>
    <comment ref="F232" authorId="0" shapeId="0">
      <text>
        <t>Sample value — not market advice</t>
      </text>
    </comment>
    <comment ref="G232" authorId="0" shapeId="0">
      <text>
        <t>Sample value — not market advice</t>
      </text>
    </comment>
    <comment ref="F233" authorId="0" shapeId="0">
      <text>
        <t>Sample value — not market advice</t>
      </text>
    </comment>
    <comment ref="G233" authorId="0" shapeId="0">
      <text>
        <t>Sample value — not market advice</t>
      </text>
    </comment>
    <comment ref="F234" authorId="0" shapeId="0">
      <text>
        <t>Sample value — not market advice</t>
      </text>
    </comment>
    <comment ref="G234" authorId="0" shapeId="0">
      <text>
        <t>Sample value — not market advice</t>
      </text>
    </comment>
    <comment ref="F235" authorId="0" shapeId="0">
      <text>
        <t>Sample value — not market advice</t>
      </text>
    </comment>
    <comment ref="G235" authorId="0" shapeId="0">
      <text>
        <t>Sample value — not market advice</t>
      </text>
    </comment>
    <comment ref="F236" authorId="0" shapeId="0">
      <text>
        <t>Sample value — not market advice</t>
      </text>
    </comment>
    <comment ref="G236" authorId="0" shapeId="0">
      <text>
        <t>Sample value — not market advice</t>
      </text>
    </comment>
    <comment ref="F237" authorId="0" shapeId="0">
      <text>
        <t>Sample value — not market advice</t>
      </text>
    </comment>
    <comment ref="G237" authorId="0" shapeId="0">
      <text>
        <t>Sample value — not market advice</t>
      </text>
    </comment>
    <comment ref="E241" authorId="0" shapeId="0">
      <text>
        <t>Sample value — not market advice</t>
      </text>
    </comment>
    <comment ref="F241" authorId="0" shapeId="0">
      <text>
        <t>Sample value — not market advice</t>
      </text>
    </comment>
    <comment ref="G241" authorId="0" shapeId="0">
      <text>
        <t>Sample value — not market advice</t>
      </text>
    </comment>
    <comment ref="E242" authorId="0" shapeId="0">
      <text>
        <t>Sample value — not market advice</t>
      </text>
    </comment>
    <comment ref="F242" authorId="0" shapeId="0">
      <text>
        <t>Sample value — not market advice</t>
      </text>
    </comment>
    <comment ref="G242" authorId="0" shapeId="0">
      <text>
        <t>Sample value — not market advice</t>
      </text>
    </comment>
    <comment ref="E243" authorId="0" shapeId="0">
      <text>
        <t>Sample value — not market advice</t>
      </text>
    </comment>
    <comment ref="F243" authorId="0" shapeId="0">
      <text>
        <t>Sample value — not market advice</t>
      </text>
    </comment>
    <comment ref="G243" authorId="0" shapeId="0">
      <text>
        <t>Sample value — not market advice</t>
      </text>
    </comment>
    <comment ref="E244" authorId="0" shapeId="0">
      <text>
        <t>Sample value — not market advice</t>
      </text>
    </comment>
    <comment ref="F244" authorId="0" shapeId="0">
      <text>
        <t>Sample value — not market advice</t>
      </text>
    </comment>
    <comment ref="G244" authorId="0" shapeId="0">
      <text>
        <t>Sample value — not market advice</t>
      </text>
    </comment>
    <comment ref="E245" authorId="0" shapeId="0">
      <text>
        <t>Sample value — not market advice</t>
      </text>
    </comment>
    <comment ref="F245" authorId="0" shapeId="0">
      <text>
        <t>Sample value — not market advice</t>
      </text>
    </comment>
    <comment ref="G245" authorId="0" shapeId="0">
      <text>
        <t>Sample value — not market advice</t>
      </text>
    </comment>
    <comment ref="E246" authorId="0" shapeId="0">
      <text>
        <t>Sample value — not market advice</t>
      </text>
    </comment>
    <comment ref="F246" authorId="0" shapeId="0">
      <text>
        <t>Sample value — not market advice</t>
      </text>
    </comment>
    <comment ref="G246" authorId="0" shapeId="0">
      <text>
        <t>Sample value — not market advice</t>
      </text>
    </comment>
    <comment ref="E247" authorId="0" shapeId="0">
      <text>
        <t>Sample value — not market advice</t>
      </text>
    </comment>
    <comment ref="F247" authorId="0" shapeId="0">
      <text>
        <t>Sample value — not market advice</t>
      </text>
    </comment>
    <comment ref="G247" authorId="0" shapeId="0">
      <text>
        <t>Sample value — not market advice</t>
      </text>
    </comment>
    <comment ref="E248" authorId="0" shapeId="0">
      <text>
        <t>Sample value — not market advice</t>
      </text>
    </comment>
    <comment ref="F248" authorId="0" shapeId="0">
      <text>
        <t>Sample value — not market advice</t>
      </text>
    </comment>
    <comment ref="G248" authorId="0" shapeId="0">
      <text>
        <t>Sample value — not market advice</t>
      </text>
    </comment>
    <comment ref="E249" authorId="0" shapeId="0">
      <text>
        <t>Sample value — not market advice</t>
      </text>
    </comment>
    <comment ref="F249" authorId="0" shapeId="0">
      <text>
        <t>Sample value — not market advice</t>
      </text>
    </comment>
    <comment ref="G249" authorId="0" shapeId="0">
      <text>
        <t>Sample value — not market advice</t>
      </text>
    </comment>
    <comment ref="E252" authorId="0" shapeId="0">
      <text>
        <t>Sample value — not market advice</t>
      </text>
    </comment>
    <comment ref="E253" authorId="0" shapeId="0">
      <text>
        <t>Sample value — not market advice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176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4176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14</row>
      <rowOff>0</rowOff>
    </from>
    <ext cx="4176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28</row>
      <rowOff>0</rowOff>
    </from>
    <ext cx="4176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28</row>
      <rowOff>0</rowOff>
    </from>
    <ext cx="4176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28</row>
      <rowOff>0</rowOff>
    </from>
    <ext cx="4176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15</row>
      <rowOff>0</rowOff>
    </from>
    <ext cx="3456000" cy="223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29</row>
      <rowOff>0</rowOff>
    </from>
    <ext cx="3456000" cy="151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M59"/>
  <sheetViews>
    <sheetView showGridLines="0"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0" customWidth="1" min="4" max="4"/>
    <col width="4" customWidth="1" min="5" max="5"/>
    <col width="30" customWidth="1" min="6" max="6"/>
    <col width="22" customWidth="1" min="7" max="7"/>
    <col width="4" customWidth="1" min="8" max="8"/>
    <col width="30" customWidth="1" min="9" max="9"/>
    <col width="20" customWidth="1" min="10" max="10"/>
    <col width="3" customWidth="1" min="11" max="11"/>
  </cols>
  <sheetData>
    <row r="1" ht="30" customHeight="1">
      <c r="A1" s="1" t="n"/>
      <c r="B1" s="2" t="inlineStr">
        <is>
          <t>Rapha Development Profitability Model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3" t="str">
        <f>HYPERLINK("#'00_Start'!A1","◂ Start")</f>
        <v>◂ Start</v>
      </c>
    </row>
    <row r="2" ht="20" customHeight="1">
      <c r="A2" s="1" t="n"/>
      <c r="B2" s="4" t="inlineStr">
        <is>
          <t>የራፋ የግንባታ ፕሮጀክት ትርፋማነት ሞዴል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C5" s="7" t="inlineStr">
        <is>
          <t>Does my project make money?  ·  ፕሮጀክቴ ያተርፋል?</t>
        </is>
      </c>
    </row>
    <row r="6">
      <c r="C6" s="8" t="inlineStr">
        <is>
          <t>One workbook, two uses: a quick cost estimate for your own house (Mode 0) or full profitability, IFRS statements and a loan schedule for a commercial project (Modes 1–3).</t>
        </is>
      </c>
    </row>
    <row r="8">
      <c r="B8" s="9" t="n"/>
      <c r="C8" s="10" t="inlineStr">
        <is>
          <t>SET UP  ·  ማዘጋጀት</t>
        </is>
      </c>
      <c r="D8" s="11" t="n"/>
      <c r="E8" s="11" t="n"/>
      <c r="F8" s="11" t="n"/>
      <c r="G8" s="12" t="n"/>
      <c r="I8" s="13" t="inlineStr">
        <is>
          <t>STATUS  ·  ሁኔታ</t>
        </is>
      </c>
      <c r="J8" s="12" t="n"/>
    </row>
    <row r="9">
      <c r="B9" s="14" t="n"/>
      <c r="C9" s="15" t="n"/>
      <c r="D9" s="15" t="n"/>
      <c r="E9" s="15" t="n"/>
      <c r="F9" s="15" t="n"/>
      <c r="G9" s="16" t="inlineStr">
        <is>
          <t>code</t>
        </is>
      </c>
      <c r="I9" s="14" t="n"/>
      <c r="J9" s="17" t="n"/>
      <c r="M9" s="18" t="inlineStr">
        <is>
          <t>helper labels</t>
        </is>
      </c>
    </row>
    <row r="10">
      <c r="B10" s="14" t="n"/>
      <c r="C10" s="19" t="inlineStr">
        <is>
          <t>1. What are you building?</t>
        </is>
      </c>
      <c r="D10" s="20" t="inlineStr">
        <is>
          <t>3 – Mixed (sell part, rent part) · ቅይጥ (ከፊል ሽያጭ፣ ከፊል ኪራይ)</t>
        </is>
      </c>
      <c r="E10" s="21" t="n"/>
      <c r="F10" s="21" t="n"/>
      <c r="G10" s="22">
        <f>IFERROR(MATCH(D10,L_MODE,0)-1,0)</f>
        <v>3</v>
      </c>
      <c r="I10" s="23" t="inlineStr">
        <is>
          <t>Checks passed</t>
        </is>
      </c>
      <c r="J10" s="24" t="str">
        <f>CHK_PASS&amp;" / "&amp;CHK_TOTAL</f>
        <v>23 / 23</v>
      </c>
      <c r="M10" s="18" t="str">
        <f>CHOOSE(PROJECT_MODE+1,"0 Personal residence","1 Build-to-Sell","2 Build-to-Rent","3 Mixed")</f>
        <v>3 Mixed</v>
      </c>
    </row>
    <row r="11">
      <c r="B11" s="14" t="n"/>
      <c r="C11" s="25" t="inlineStr">
        <is>
          <t>ምን እየገነቡ ነው?</t>
        </is>
      </c>
      <c r="D11" s="15" t="n"/>
      <c r="E11" s="15" t="n"/>
      <c r="F11" s="15" t="n"/>
      <c r="G11" s="17" t="n"/>
      <c r="I11" s="23" t="inlineStr">
        <is>
          <t>Model status</t>
        </is>
      </c>
      <c r="J11" s="24" t="str">
        <f>CHK_STATUS</f>
        <v>ALL CHECKS PASS</v>
      </c>
    </row>
    <row r="12">
      <c r="B12" s="14" t="n"/>
      <c r="C12" s="19" t="inlineStr">
        <is>
          <t>2. Which data?</t>
        </is>
      </c>
      <c r="D12" s="20" t="inlineStr">
        <is>
          <t>3 – SAMPLE B: B+G+8 mixed-use · ምሳሌ ለ</t>
        </is>
      </c>
      <c r="E12" s="21" t="n"/>
      <c r="F12" s="21" t="n"/>
      <c r="G12" s="22">
        <f>IFERROR(MATCH(D12,L_DATASET,0),1)</f>
        <v>3</v>
      </c>
      <c r="I12" s="14" t="n"/>
      <c r="J12" s="17" t="n"/>
    </row>
    <row r="13">
      <c r="B13" s="14" t="n"/>
      <c r="C13" s="25" t="inlineStr">
        <is>
          <t>የትኛውን መረጃ?</t>
        </is>
      </c>
      <c r="D13" s="15" t="n"/>
      <c r="E13" s="15" t="n"/>
      <c r="F13" s="15" t="n"/>
      <c r="G13" s="17" t="n"/>
      <c r="I13" s="23" t="inlineStr">
        <is>
          <t>Verdict</t>
        </is>
      </c>
      <c r="J13" s="24" t="str">
        <f>VERDICT</f>
        <v>VIABLE</v>
      </c>
    </row>
    <row r="14">
      <c r="B14" s="14" t="n"/>
      <c r="C14" s="19" t="inlineStr">
        <is>
          <t>3. Scenario</t>
        </is>
      </c>
      <c r="D14" s="20" t="inlineStr">
        <is>
          <t>1 – Base · መሠረታዊ</t>
        </is>
      </c>
      <c r="E14" s="21" t="n"/>
      <c r="F14" s="21" t="n"/>
      <c r="G14" s="22">
        <f>IFERROR(MATCH(D14,L_SCEN,0),1)</f>
        <v>1</v>
      </c>
      <c r="I14" s="23" t="inlineStr">
        <is>
          <t>ውሳኔ</t>
        </is>
      </c>
      <c r="J14" s="24" t="str">
        <f>VERDICT_AM</f>
        <v>አዋጭ</v>
      </c>
      <c r="M14" s="18" t="str">
        <f>CHOOSE(SCEN,"Base","Upside","Downside","Lender")</f>
        <v>Base</v>
      </c>
    </row>
    <row r="15">
      <c r="B15" s="14" t="n"/>
      <c r="C15" s="25" t="inlineStr">
        <is>
          <t>ሁኔታ</t>
        </is>
      </c>
      <c r="D15" s="15" t="n"/>
      <c r="E15" s="15" t="n"/>
      <c r="F15" s="15" t="n"/>
      <c r="G15" s="17" t="n"/>
      <c r="I15" s="14" t="n"/>
      <c r="J15" s="17" t="n"/>
    </row>
    <row r="16">
      <c r="B16" s="14" t="n"/>
      <c r="C16" s="19" t="inlineStr">
        <is>
          <t>4. Show statements in</t>
        </is>
      </c>
      <c r="D16" s="20" t="inlineStr">
        <is>
          <t>ETB '000</t>
        </is>
      </c>
      <c r="E16" s="21" t="n"/>
      <c r="F16" s="21" t="n"/>
      <c r="G16" s="22">
        <f>IFERROR(MATCH(D16,L_UNITS,0),2)</f>
        <v>2</v>
      </c>
      <c r="I16" s="23" t="inlineStr">
        <is>
          <t>Total development cost (ETB)</t>
        </is>
      </c>
      <c r="J16" s="26">
        <f>TDC</f>
        <v>550660431.329137</v>
      </c>
      <c r="M16" s="18" t="str">
        <f>CHOOSE(UNIT_SEL,"ETB","ETB '000","ETB m")</f>
        <v>ETB '000</v>
      </c>
    </row>
    <row r="17">
      <c r="B17" s="14" t="n"/>
      <c r="C17" s="25" t="inlineStr">
        <is>
          <t>የመግለጫ መለኪያ</t>
        </is>
      </c>
      <c r="D17" s="15" t="n"/>
      <c r="E17" s="15" t="n"/>
      <c r="F17" s="15" t="n"/>
      <c r="G17" s="17" t="n"/>
      <c r="I17" s="23" t="str">
        <f>IF(PROJECT_MODE=0,"Monthly loan instalment (ETB)","Equity IRR")</f>
        <v>Equity IRR</v>
      </c>
      <c r="J17" s="27">
        <f>IF(PROJECT_MODE=0,LN_INSTAL_M,EIRR)</f>
        <v>0.275726230589801</v>
      </c>
    </row>
    <row r="18">
      <c r="B18" s="14" t="n"/>
      <c r="C18" s="28" t="str">
        <f>IF(AND(DATA_SET=2,PROJECT_MODE&lt;&gt;0),"Tip: Sample A is a personal house – choose mode 0.",IF(AND(DATA_SET=3,PROJECT_MODE&lt;&gt;3),"Tip: Sample B is a mixed-use building – choose mode 3.",IF(PROJECT_MODE=0,"Home view: open the Home Estimate page.","Commercial view: open the Dashboard.")))</f>
        <v>Commercial view: open the Dashboard.</v>
      </c>
      <c r="D18" s="15" t="n"/>
      <c r="E18" s="15" t="n"/>
      <c r="F18" s="15" t="n"/>
      <c r="G18" s="17" t="n"/>
      <c r="I18" s="14" t="n"/>
      <c r="J18" s="17" t="n"/>
    </row>
    <row r="19">
      <c r="B19" s="29" t="n"/>
      <c r="C19" s="30" t="n"/>
      <c r="D19" s="30" t="n"/>
      <c r="E19" s="30" t="n"/>
      <c r="F19" s="30" t="n"/>
      <c r="G19" s="31" t="n"/>
      <c r="I19" s="29" t="n"/>
      <c r="J19" s="31" t="n"/>
    </row>
    <row r="21">
      <c r="C21" s="32" t="inlineStr">
        <is>
          <t>NAVIGATE  ·  መሄጃ</t>
        </is>
      </c>
      <c r="F21" s="32" t="inlineStr">
        <is>
          <t>ALL SHEETS</t>
        </is>
      </c>
    </row>
    <row r="22">
      <c r="C22" s="33" t="str">
        <f>HYPERLINK(IF(PROJECT_MODE=0,"#'02_Home'!A1","#'01_Dashboard'!A1"),IF(PROJECT_MODE=0,"▸ Home Estimate (one page) · የቤት ወጪ ግምት","▸ Dashboard · ዳሽቦርድ"))</f>
        <v>▸ Dashboard · ዳሽቦርድ</v>
      </c>
      <c r="F22" s="34" t="str">
        <f>HYPERLINK("#'01_Dashboard'!A1","01 Dashboard")</f>
        <v>01 Dashboard</v>
      </c>
      <c r="G22" s="34" t="str">
        <f>HYPERLINK("#'28_Tax'!A1","28 Tax")</f>
        <v>28 Tax</v>
      </c>
    </row>
    <row r="23">
      <c r="C23" s="33" t="str">
        <f>HYPERLINK(IF(PROJECT_MODE=0,"#'10_Inputs'!A1","#'10_Inputs'!A1"),IF(PROJECT_MODE=0,"▸ Inputs – block 2 home card · ግብዓቶች","▸ Inputs · ግብዓቶች"))</f>
        <v>▸ Inputs · ግብዓቶች</v>
      </c>
      <c r="F23" s="34" t="str">
        <f>HYPERLINK("#'02_Home'!A1","02 Home")</f>
        <v>02 Home</v>
      </c>
      <c r="G23" s="34" t="str">
        <f>HYPERLINK("#'29_VAT'!A1","29 VAT")</f>
        <v>29 VAT</v>
      </c>
    </row>
    <row r="24">
      <c r="C24" s="33" t="str">
        <f>HYPERLINK(IF(PROJECT_MODE=0,"#'22_Capex'!A1","#'11_Scenarios'!A1"),IF(PROJECT_MODE=0,"▸ Cost breakdown · የወጪ ዝርዝር","▸ Scenarios · ሁኔታዎች"))</f>
        <v>▸ Scenarios · ሁኔታዎች</v>
      </c>
      <c r="F24" s="34" t="str">
        <f>HYPERLINK("#'10_Inputs'!A1","10 Inputs")</f>
        <v>10 Inputs</v>
      </c>
      <c r="G24" s="34" t="str">
        <f>HYPERLINK("#'30_WorkingCap'!A1","30 WorkingCap")</f>
        <v>30 WorkingCap</v>
      </c>
    </row>
    <row r="25">
      <c r="C25" s="33" t="str">
        <f>HYPERLINK(IF(PROJECT_MODE=0,"#'23_Construction'!A1","#'40_PL'!A1"),IF(PROJECT_MODE=0,"▸ Monthly cash needed · ወርሃዊ ወጪ","▸ Profit &amp; loss · ትርፍና ኪሳራ"))</f>
        <v>▸ Profit &amp; loss · ትርፍና ኪሳራ</v>
      </c>
      <c r="F25" s="34" t="str">
        <f>HYPERLINK("#'11_Scenarios'!A1","11 Scenarios")</f>
        <v>11 Scenarios</v>
      </c>
      <c r="G25" s="34" t="str">
        <f>HYPERLINK("#'40_PL'!A1","40 PL")</f>
        <v>40 PL</v>
      </c>
    </row>
    <row r="26">
      <c r="C26" s="33" t="str">
        <f>HYPERLINK(IF(PROJECT_MODE=0,"#'27_Loan'!A1","#'41_BS'!A1"),IF(PROJECT_MODE=0,"▸ Home-loan schedule · የብድር ሰንጠረዥ","▸ Balance sheet · ሀብትና ዕዳ"))</f>
        <v>▸ Balance sheet · ሀብትና ዕዳ</v>
      </c>
      <c r="F26" s="34" t="str">
        <f>HYPERLINK("#'12_TaxLaw'!A1","12 TaxLaw")</f>
        <v>12 TaxLaw</v>
      </c>
      <c r="G26" s="34" t="str">
        <f>HYPERLINK("#'41_BS'!A1","41 BS")</f>
        <v>41 BS</v>
      </c>
    </row>
    <row r="27">
      <c r="C27" s="33" t="str">
        <f>HYPERLINK(IF(PROJECT_MODE=0,"#'11_Scenarios'!A1","#'42_CF'!A1"),IF(PROJECT_MODE=0,"▸ Scenarios · ሁኔታዎች","▸ Cash flow · የገንዘብ ፍሰት"))</f>
        <v>▸ Cash flow · የገንዘብ ፍሰት</v>
      </c>
      <c r="F27" s="34" t="str">
        <f>HYPERLINK("#'20_Timeline'!A1","20 Timeline")</f>
        <v>20 Timeline</v>
      </c>
      <c r="G27" s="34" t="str">
        <f>HYPERLINK("#'42_CF'!A1","42 CF")</f>
        <v>42 CF</v>
      </c>
    </row>
    <row r="28">
      <c r="C28" s="33" t="str">
        <f>HYPERLINK(IF(PROJECT_MODE=0,"#'60_Checks'!A1","#'27_Loan'!A1"),IF(PROJECT_MODE=0,"▸ Checks · ማረጋገጫዎች","▸ Loan schedule · የብድር ሰንጠረዥ"))</f>
        <v>▸ Loan schedule · የብድር ሰንጠረዥ</v>
      </c>
      <c r="F28" s="34" t="str">
        <f>HYPERLINK("#'21_Area'!A1","21 Area")</f>
        <v>21 Area</v>
      </c>
      <c r="G28" s="34" t="str">
        <f>HYPERLINK("#'43_Ratios'!A1","43 Ratios")</f>
        <v>43 Ratios</v>
      </c>
    </row>
    <row r="29">
      <c r="C29" s="33" t="str">
        <f>HYPERLINK(IF(PROJECT_MODE=0,"#'61_Glossary'!A1","#'50_Returns'!A1"),IF(PROJECT_MODE=0,"▸ Glossary · መዝገበ ቃላት","▸ Returns · ተመላሽ"))</f>
        <v>▸ Returns · ተመላሽ</v>
      </c>
      <c r="F29" s="34" t="str">
        <f>HYPERLINK("#'22_Capex'!A1","22 Capex")</f>
        <v>22 Capex</v>
      </c>
      <c r="G29" s="34" t="str">
        <f>HYPERLINK("#'50_Returns'!A1","50 Returns")</f>
        <v>50 Returns</v>
      </c>
    </row>
    <row r="30">
      <c r="C30" s="33" t="str">
        <f>HYPERLINK(IF(PROJECT_MODE=0,"#'00_Start'!A1","#'52_Sensitivity'!A1"),IF(PROJECT_MODE=0,"","▸ Sensitivity &amp; break-even · የስጋት ትንተና"))</f>
        <v>▸ Sensitivity &amp; break-even · የስጋት ትንተና</v>
      </c>
      <c r="F30" s="34" t="str">
        <f>HYPERLINK("#'23_Construction'!A1","23 Construction")</f>
        <v>23 Construction</v>
      </c>
      <c r="G30" s="34" t="str">
        <f>HYPERLINK("#'51_Payback'!A1","51 Payback")</f>
        <v>51 Payback</v>
      </c>
    </row>
    <row r="31">
      <c r="C31" s="33" t="str">
        <f>HYPERLINK(IF(PROJECT_MODE=0,"#'00_Start'!A1","#'60_Checks'!A1"),IF(PROJECT_MODE=0,"","▸ Checks · ማረጋገጫዎች"))</f>
        <v>▸ Checks · ማረጋገጫዎች</v>
      </c>
      <c r="F31" s="34" t="str">
        <f>HYPERLINK("#'24_Revenue'!A1","24 Revenue")</f>
        <v>24 Revenue</v>
      </c>
      <c r="G31" s="34" t="str">
        <f>HYPERLINK("#'52_Sensitivity'!A1","52 Sensitivity")</f>
        <v>52 Sensitivity</v>
      </c>
    </row>
    <row r="32">
      <c r="F32" s="34" t="str">
        <f>HYPERLINK("#'25_Opex'!A1","25 Opex")</f>
        <v>25 Opex</v>
      </c>
      <c r="G32" s="34" t="str">
        <f>HYPERLINK("#'60_Checks'!A1","60 Checks")</f>
        <v>60 Checks</v>
      </c>
    </row>
    <row r="33">
      <c r="F33" s="34" t="str">
        <f>HYPERLINK("#'26_Assets'!A1","26 Assets")</f>
        <v>26 Assets</v>
      </c>
      <c r="G33" s="34" t="str">
        <f>HYPERLINK("#'61_Glossary'!A1","61 Glossary")</f>
        <v>61 Glossary</v>
      </c>
    </row>
    <row r="34">
      <c r="F34" s="34" t="str">
        <f>HYPERLINK("#'27_Loan'!A1","27 Loan")</f>
        <v>27 Loan</v>
      </c>
    </row>
    <row r="37">
      <c r="C37" s="32" t="inlineStr">
        <is>
          <t>HOW TO USE  ·  አጠቃቀም</t>
        </is>
      </c>
    </row>
    <row r="38">
      <c r="B38" s="35" t="inlineStr">
        <is>
          <t>1</t>
        </is>
      </c>
      <c r="C38" s="36" t="inlineStr">
        <is>
          <t>Answer question 1. Personal house → 0. Selling, renting or both → 1, 2 or 3.</t>
        </is>
      </c>
    </row>
    <row r="39">
      <c r="C39" s="37" t="inlineStr">
        <is>
          <t>ጥያቄ 1ን ይመልሱ፡ የግል ቤት → 0፤ ለሽያጭ፣ ለኪራይ ወይም ለሁለቱም → 1፣ 2 ወይም 3።</t>
        </is>
      </c>
    </row>
    <row r="40">
      <c r="B40" s="35" t="inlineStr">
        <is>
          <t>2</t>
        </is>
      </c>
      <c r="C40" s="36" t="inlineStr">
        <is>
          <t>Choose 'My project' in question 2 and type your values in column E of sheet 10 Inputs (blue cells only).</t>
        </is>
      </c>
    </row>
    <row r="41">
      <c r="C41" s="37" t="inlineStr">
        <is>
          <t>በጥያቄ 2 'የእኔ ፕሮጀክት'ን ይምረጡና በገጽ 10 ዓምድ E ሰማያዊ ሕዋሶች ላይ ብቻ ይጻፉ።</t>
        </is>
      </c>
    </row>
    <row r="42">
      <c r="B42" s="35" t="inlineStr">
        <is>
          <t>3</t>
        </is>
      </c>
      <c r="C42" s="36" t="inlineStr">
        <is>
          <t>Check the status box: all checks must pass. Then read the Home Estimate (Mode 0) or the Dashboard.</t>
        </is>
      </c>
    </row>
    <row r="43">
      <c r="C43" s="37" t="inlineStr">
        <is>
          <t>የማረጋገጫ ሳጥኑን ይመልከቱ፤ ከዚያ የቤት ግምቱን ወይም ዳሽቦርዱን ያንብቡ።</t>
        </is>
      </c>
    </row>
    <row r="44">
      <c r="B44" s="35" t="inlineStr">
        <is>
          <t>4</t>
        </is>
      </c>
      <c r="C44" s="36" t="inlineStr">
        <is>
          <t>Stress-test: switch scenarios (question 3) and use the flex cells on sheet 52.</t>
        </is>
      </c>
    </row>
    <row r="45">
      <c r="C45" s="37" t="inlineStr">
        <is>
          <t>ሁኔታዎችን ይቀያይሩና በገጽ 52 የማስተካከያ ሕዋሶችን ይጠቀሙ።</t>
        </is>
      </c>
    </row>
    <row r="47">
      <c r="C47" s="32" t="inlineStr">
        <is>
          <t>COLOUR CODE  ·  የቀለም ኮድ</t>
        </is>
      </c>
    </row>
    <row r="48">
      <c r="C48" s="38" t="inlineStr">
        <is>
          <t>Input – type here</t>
        </is>
      </c>
      <c r="D48" s="37" t="inlineStr">
        <is>
          <t>ግብዓት – እዚህ ይጻፉ</t>
        </is>
      </c>
    </row>
    <row r="49">
      <c r="C49" s="39" t="inlineStr">
        <is>
          <t>Formula – do not overwrite</t>
        </is>
      </c>
      <c r="D49" s="37" t="inlineStr">
        <is>
          <t>ቀመር – አይጻፉበት</t>
        </is>
      </c>
    </row>
    <row r="50">
      <c r="C50" s="40" t="inlineStr">
        <is>
          <t>Link from another sheet</t>
        </is>
      </c>
      <c r="D50" s="37" t="inlineStr">
        <is>
          <t>ከሌላ ገጽ ማገናኛ</t>
        </is>
      </c>
    </row>
    <row r="51">
      <c r="C51" s="41" t="inlineStr">
        <is>
          <t>Key output / check</t>
        </is>
      </c>
      <c r="D51" s="37" t="inlineStr">
        <is>
          <t>ቁልፍ ውጤት / ማረጋገጫ</t>
        </is>
      </c>
    </row>
    <row r="53">
      <c r="C53" s="32" t="inlineStr">
        <is>
          <t>METHOD NOTES</t>
        </is>
      </c>
    </row>
    <row r="54">
      <c r="C54" s="8" t="inlineStr">
        <is>
          <t>No circularity: interest during construction (IDC) is built month by month on the opening balance plus draws; the arrangement fee is charged on a facility base that excludes IDC; undistributed-profits tax uses a closed form.</t>
        </is>
      </c>
    </row>
    <row r="55">
      <c r="C55" s="8" t="inlineStr">
        <is>
          <t>Timeline: construction is modelled monthly (up to 48 months) and rolled up to C1–C4; operations run O1–O10 annually. Returns use dated cash flows (XIRR).</t>
        </is>
      </c>
    </row>
    <row r="56">
      <c r="C56" s="8" t="inlineStr">
        <is>
          <t>IFRS: IAS 2 units for sale, IAS 40 let space (cost model), IAS 16 owner-occupied, IAS 23 capitalised borrowing cost, IFRS 15 sales, IFRS 16 rent, IAS 12 tax, IAS 36 impairment test, IAS 7 indirect cash flow.</t>
        </is>
      </c>
    </row>
    <row r="57">
      <c r="C57" s="8" t="inlineStr">
        <is>
          <t>Sensitivity tables are Excel Data Tables. If Excel is set to 'Automatic except data tables', press F9.</t>
        </is>
      </c>
    </row>
    <row r="58">
      <c r="C58" s="8" t="inlineStr">
        <is>
          <t>Disclaimer: a planning tool only – not investment, tax or legal advice. Confirm tax rates (sheet 12) before use.</t>
        </is>
      </c>
    </row>
    <row r="59">
      <c r="C59" s="42" t="inlineStr">
        <is>
          <t>ማሳሰቢያ፡ ይህ የዕቅድ መሣሪያ ብቻ ነው፤ የኢንቨስትመንት፣ የግብር ወይም የሕግ ምክር አይደለም።</t>
        </is>
      </c>
    </row>
  </sheetData>
  <mergeCells count="4">
    <mergeCell ref="D12:F12"/>
    <mergeCell ref="D14:F14"/>
    <mergeCell ref="D16:F16"/>
    <mergeCell ref="D10:F10"/>
  </mergeCells>
  <conditionalFormatting sqref="J11">
    <cfRule type="expression" priority="1" dxfId="0">
      <formula>CHK_FAIL&gt;0</formula>
    </cfRule>
    <cfRule type="expression" priority="2" dxfId="1">
      <formula>CHK_FAIL=0</formula>
    </cfRule>
  </conditionalFormatting>
  <conditionalFormatting sqref="J13">
    <cfRule type="expression" priority="3" dxfId="1">
      <formula>VERDICT="VIABLE"</formula>
    </cfRule>
    <cfRule type="expression" priority="4" dxfId="2">
      <formula>VERDICT="MARGINAL"</formula>
    </cfRule>
    <cfRule type="expression" priority="5" dxfId="0">
      <formula>VERDICT="NOT VIABLE"</formula>
    </cfRule>
  </conditionalFormatting>
  <dataValidations count="4">
    <dataValidation sqref="D10" showDropDown="0" showInputMessage="0" showErrorMessage="0" allowBlank="0" type="list">
      <formula1>=L_MODE</formula1>
    </dataValidation>
    <dataValidation sqref="D12" showDropDown="0" showInputMessage="0" showErrorMessage="0" allowBlank="0" type="list">
      <formula1>=L_DATASET</formula1>
    </dataValidation>
    <dataValidation sqref="D14" showDropDown="0" showInputMessage="0" showErrorMessage="0" allowBlank="0" type="list">
      <formula1>=L_SCEN</formula1>
    </dataValidation>
    <dataValidation sqref="D16" showDropDown="0" showInputMessage="0" showErrorMessage="0" allowBlank="0" type="list">
      <formula1>=L_UNITS</formula1>
    </dataValidation>
  </dataValidations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S71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3" customWidth="1" min="4" max="4"/>
    <col width="15" customWidth="1" min="5" max="5"/>
    <col width="15" customWidth="1" min="6" max="6"/>
    <col width="3" customWidth="1" min="7" max="7"/>
    <col width="15" customWidth="1" min="8" max="8"/>
    <col width="15" customWidth="1" min="9" max="9"/>
    <col width="3" customWidth="1" min="10" max="10"/>
    <col width="15" customWidth="1" min="11" max="11"/>
    <col width="15" customWidth="1" min="12" max="12"/>
    <col width="3" customWidth="1" min="13" max="13"/>
    <col width="15" customWidth="1" min="14" max="14"/>
    <col width="15" customWidth="1" min="15" max="15"/>
    <col width="3" customWidth="1" min="16" max="16"/>
    <col width="15" customWidth="1" min="17" max="17"/>
    <col width="15" customWidth="1" min="18" max="18"/>
    <col width="2" customWidth="1" min="19" max="19"/>
  </cols>
  <sheetData>
    <row r="1" ht="30" customHeight="1">
      <c r="A1" s="1" t="n"/>
      <c r="B1" s="2" t="inlineStr">
        <is>
          <t>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3" t="str">
        <f>HYPERLINK("#'00_Start'!A1","◂ Start")</f>
        <v>◂ Start</v>
      </c>
    </row>
    <row r="2" ht="20" customHeight="1">
      <c r="A2" s="1" t="n"/>
      <c r="B2" s="4" t="inlineStr">
        <is>
          <t>ዳሽቦርድ – ፕሮጀክቴ ያተርፋል?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>
      <c r="B5" s="43" t="inlineStr">
        <is>
          <t>Scenario</t>
        </is>
      </c>
      <c r="C5" s="44" t="str">
        <f>SCEN_NAME</f>
        <v>Base</v>
      </c>
      <c r="D5" s="45" t="n"/>
      <c r="E5" s="46" t="inlineStr">
        <is>
          <t>Checks</t>
        </is>
      </c>
      <c r="F5" s="44" t="str">
        <f>CHK_PASS&amp;" / "&amp;CHK_TOTAL&amp;" pass"</f>
        <v>23 / 23 pass</v>
      </c>
      <c r="G5" s="45" t="n"/>
      <c r="H5" s="46" t="inlineStr">
        <is>
          <t>Mode</t>
        </is>
      </c>
      <c r="I5" s="44" t="str">
        <f>MODE_NAME</f>
        <v>3 Mixed</v>
      </c>
      <c r="J5" s="45" t="n"/>
      <c r="K5" s="46" t="inlineStr">
        <is>
          <t>Verdict · ውሳኔ</t>
        </is>
      </c>
      <c r="L5" s="47" t="str">
        <f>VERDICT&amp;"  ·  "&amp;VERDICT_AM</f>
        <v>VIABLE  ·  አዋጭ</v>
      </c>
      <c r="M5" s="48" t="n"/>
      <c r="N5" s="48" t="n"/>
      <c r="O5" s="48" t="n"/>
      <c r="P5" s="45" t="n"/>
      <c r="Q5" s="46" t="inlineStr">
        <is>
          <t>Equity IRR hurdle</t>
        </is>
      </c>
      <c r="R5" s="49">
        <f>HURDLE</f>
        <v>0.2</v>
      </c>
    </row>
    <row r="6">
      <c r="B6" s="50" t="str">
        <f>IF(PROJECT_MODE=0,"Home view – tiles show the cost estimate; open the Home Estimate page for the full picture.","Commercial view – ETB; IRR on dated cash flows (XIRR); verdict = equity IRR vs hurdle, profit on cost and DSCR covenant.")</f>
        <v>Commercial view – ETB; IRR on dated cash flows (XIRR); verdict = equity IRR vs hurdle, profit on cost and DSCR covenant.</v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2" t="n"/>
    </row>
    <row r="8">
      <c r="B8" s="53" t="str">
        <f>IF(PROJECT_MODE=0,"TOTAL PROJECT COST","TOTAL DEVELOPMENT COST")</f>
        <v>TOTAL DEVELOPMENT COST</v>
      </c>
      <c r="C8" s="54" t="n"/>
      <c r="E8" s="55" t="str">
        <f>IF(PROJECT_MODE=0,"COST PER m²","GROSS DEVELOPMENT VALUE")</f>
        <v>GROSS DEVELOPMENT VALUE</v>
      </c>
      <c r="F8" s="56" t="n"/>
      <c r="H8" s="57" t="str">
        <f>IF(PROJECT_MODE=0,"MONTHLY INSTALMENT","PROFIT ON COST")</f>
        <v>PROFIT ON COST</v>
      </c>
      <c r="I8" s="58" t="n"/>
      <c r="K8" s="59" t="str">
        <f>IF(PROJECT_MODE=0,"FUNDING GAP","EQUITY IRR")</f>
        <v>EQUITY IRR</v>
      </c>
      <c r="L8" s="60" t="n"/>
      <c r="N8" s="61" t="str">
        <f>IF(PROJECT_MODE=0,"LOAN DRAWN","PEAK DEBT")</f>
        <v>PEAK DEBT</v>
      </c>
      <c r="O8" s="62" t="n"/>
      <c r="Q8" s="63" t="str">
        <f>IF(PROJECT_MODE=0,"AFFORDABILITY","MIN DSCR")</f>
        <v>MIN DSCR</v>
      </c>
      <c r="R8" s="64" t="n"/>
    </row>
    <row r="9">
      <c r="B9" s="14" t="n"/>
      <c r="C9" s="17" t="n"/>
      <c r="E9" s="14" t="n"/>
      <c r="F9" s="17" t="n"/>
      <c r="H9" s="14" t="n"/>
      <c r="I9" s="17" t="n"/>
      <c r="K9" s="14" t="n"/>
      <c r="L9" s="17" t="n"/>
      <c r="N9" s="14" t="n"/>
      <c r="O9" s="17" t="n"/>
      <c r="Q9" s="14" t="n"/>
      <c r="R9" s="17" t="n"/>
    </row>
    <row r="10" ht="28" customHeight="1">
      <c r="B10" s="65">
        <f>TDC</f>
        <v>550660431.329137</v>
      </c>
      <c r="C10" s="66" t="n"/>
      <c r="E10" s="65">
        <f>IF(PROJECT_MODE=0,TEXT(CC_M2,"#,##0"),GDV)</f>
        <v>836811393.821043</v>
      </c>
      <c r="F10" s="66" t="n"/>
      <c r="H10" s="67">
        <f>IF(PROJECT_MODE=0,TEXT(LN_INSTAL_M,"#,##0"),POC)</f>
        <v>0.519650489143043</v>
      </c>
      <c r="I10" s="66" t="n"/>
      <c r="K10" s="67">
        <f>IF(PROJECT_MODE=0,TEXT(FUND_GAP,"#,##0"),EIRR)</f>
        <v>0.275726230589801</v>
      </c>
      <c r="L10" s="66" t="n"/>
      <c r="N10" s="65">
        <f>IF(PROJECT_MODE=0,DEBT_DRAWN,PEAK_DEBT)</f>
        <v>133149894.104201</v>
      </c>
      <c r="O10" s="66" t="n"/>
      <c r="Q10" s="68">
        <f>IF(PROJECT_MODE=0,TEXT(AFFORD_PCT,"0%"),MIN_DSCR)</f>
        <v>1.7426163135394</v>
      </c>
      <c r="R10" s="66" t="n"/>
    </row>
    <row r="11">
      <c r="B11" s="14" t="n"/>
      <c r="C11" s="17" t="n"/>
      <c r="E11" s="14" t="n"/>
      <c r="F11" s="17" t="n"/>
      <c r="H11" s="14" t="n"/>
      <c r="I11" s="17" t="n"/>
      <c r="K11" s="14" t="n"/>
      <c r="L11" s="17" t="n"/>
      <c r="N11" s="14" t="n"/>
      <c r="O11" s="17" t="n"/>
      <c r="Q11" s="14" t="n"/>
      <c r="R11" s="17" t="n"/>
    </row>
    <row r="12">
      <c r="B12" s="69" t="str">
        <f>"ETB  ·  "&amp;TEXT(TDC_M2G,"#,##0")&amp;" per m² gross"</f>
        <v>ETB  ·  86,041 per m² gross</v>
      </c>
      <c r="C12" s="70" t="n"/>
      <c r="E12" s="69" t="str">
        <f>IF(PROJECT_MODE=0,"construction cost per m²","GDV ÷ TDC = "&amp;TEXT(GDV_TDC,"0.00")&amp;"x")</f>
        <v>GDV ÷ TDC = 1.52x</v>
      </c>
      <c r="F12" s="70" t="n"/>
      <c r="H12" s="69" t="str">
        <f>IF(PROJECT_MODE=0,"home loan","margin on GDV "&amp;TEXT(DEV_MARGIN,"0.0%"))</f>
        <v>margin on GDV 34.2%</v>
      </c>
      <c r="I12" s="70" t="n"/>
      <c r="K12" s="69" t="str">
        <f>IF(PROJECT_MODE=0,IF(FUND_GAP&gt;0.5,"to be found","fully funded"),"hurdle "&amp;TEXT(HURDLE,"0.0%")&amp;IF(EIRR&gt;=HURDLE,"  ✓ above","  ✗ below"))</f>
        <v>hurdle 20.0%  ✓ above</v>
      </c>
      <c r="L12" s="70" t="n"/>
      <c r="N12" s="69" t="str">
        <f>"incl. capitalised IDC "&amp;TEXT(IDC_TOT/1000000,"#,##0.0")&amp;" m"</f>
        <v>incl. capitalised IDC 17.5 m</v>
      </c>
      <c r="O12" s="70" t="n"/>
      <c r="Q12" s="69" t="str">
        <f>IF(PROJECT_MODE=0,AFFORD_TXT,"covenant "&amp;TEXT(DSCR_COV,"0.00")&amp;"x"&amp;IF(DSCR_OK=1,"  ✓ met","  ✗ breached"))</f>
        <v>covenant 1.30x  ✓ met</v>
      </c>
      <c r="R12" s="70" t="n"/>
    </row>
    <row r="14">
      <c r="B14" s="71" t="inlineStr">
        <is>
          <t>(a) Project cash flow and cumulative · ETB m</t>
        </is>
      </c>
      <c r="H14" s="71" t="inlineStr">
        <is>
          <t>(b) Loan balance at period end · ETB m</t>
        </is>
      </c>
      <c r="N14" s="71" t="inlineStr">
        <is>
          <t>(b) DSCR by year vs covenant · x (capped at 10)</t>
        </is>
      </c>
    </row>
    <row r="28">
      <c r="B28" s="71" t="inlineStr">
        <is>
          <t>(c) Revenue mix · ETB m</t>
        </is>
      </c>
      <c r="H28" s="71" t="inlineStr">
        <is>
          <t>(d) Development cost breakdown · ETB m</t>
        </is>
      </c>
      <c r="N28" s="71" t="inlineStr">
        <is>
          <t>Tornado – Equity IRR swing (±20%, delay +6 mo)</t>
        </is>
      </c>
    </row>
    <row r="42">
      <c r="B42" s="32" t="inlineStr">
        <is>
          <t>SOURCES &amp; USES – construction period (ETB)</t>
        </is>
      </c>
      <c r="K42" s="32" t="inlineStr">
        <is>
          <t>ALERTS · ማስጠንቀቂያዎች</t>
        </is>
      </c>
    </row>
    <row r="43">
      <c r="B43" s="72" t="inlineStr">
        <is>
          <t>Uses</t>
        </is>
      </c>
      <c r="C43" s="1" t="n"/>
      <c r="E43" s="72" t="inlineStr">
        <is>
          <t>Sources</t>
        </is>
      </c>
      <c r="F43" s="1" t="n"/>
      <c r="K43" s="73" t="str">
        <f>IF(CHK_FAIL&gt;0,"✗ "&amp;CHK_FAIL&amp;" model check(s) failing – see sheet 60","✓ All model checks pass")</f>
        <v>✓ All model checks pass</v>
      </c>
    </row>
    <row r="44">
      <c r="B44" s="73" t="inlineStr">
        <is>
          <t>TDC</t>
        </is>
      </c>
      <c r="C44" s="74">
        <f>TDC</f>
        <v>550660431.329137</v>
      </c>
      <c r="E44" s="73" t="inlineStr">
        <is>
          <t>Equity committed</t>
        </is>
      </c>
      <c r="F44" s="74">
        <f>EQ_DRAWN</f>
        <v>176878493.455735</v>
      </c>
      <c r="K44" s="73" t="str">
        <f>IF(PROJECT_MODE=0,"–",IF(N_BREACH&gt;0,"✗ DSCR below covenant in "&amp;N_BREACH&amp;" year(s)","✓ DSCR covenant met"))</f>
        <v>✓ DSCR covenant met</v>
      </c>
    </row>
    <row r="45">
      <c r="B45" s="73" t="inlineStr">
        <is>
          <t>Capex VAT (refundable)</t>
        </is>
      </c>
      <c r="C45" s="74">
        <f>SUM('23_Construction'!$E$36:$AZ$36)</f>
        <v>39251693.9935956</v>
      </c>
      <c r="E45" s="73" t="inlineStr">
        <is>
          <t>Top-up / gap</t>
        </is>
      </c>
      <c r="F45" s="74">
        <f>FUND_GAP</f>
        <v>0</v>
      </c>
      <c r="K45" s="73" t="str">
        <f>IF(FUND_GAP&gt;0.5,"✗ Funding gap of "&amp;TEXT(FUND_GAP,"#,##0")&amp;" ETB","✓ Funding fully covered")</f>
        <v>✓ Funding fully covered</v>
      </c>
    </row>
    <row r="46">
      <c r="B46" s="73" t="inlineStr">
        <is>
          <t>Lease paid in build</t>
        </is>
      </c>
      <c r="C46" s="74">
        <f>SUM('23_Construction'!$E$37:$AZ$38)</f>
        <v>27585000</v>
      </c>
      <c r="E46" s="73" t="inlineStr">
        <is>
          <t>Bank debt drawn</t>
        </is>
      </c>
      <c r="F46" s="74">
        <f>DEBT_DRAWN</f>
        <v>115614212.233574</v>
      </c>
      <c r="K46" s="73" t="str">
        <f>IF(PROJECT_MODE=0,"–",IF(N_LOWCASH&gt;0,"! Cash below minimum in "&amp;N_LOWCASH&amp;" year(s)","✓ Cash above minimum"))</f>
        <v>✓ Cash above minimum</v>
      </c>
    </row>
    <row r="47">
      <c r="E47" s="73" t="inlineStr">
        <is>
          <t>Presale cash used</t>
        </is>
      </c>
      <c r="F47" s="74">
        <f>PS_USED</f>
        <v>156502620.326677</v>
      </c>
      <c r="K47" s="73" t="str">
        <f>IF(PROJECT_MODE=0,"–",IF(N_IMPAIR&gt;0,"! IAS 36 impairment indicator in "&amp;N_IMPAIR&amp;" year(s)","✓ No impairment indicator"))</f>
        <v>✓ No impairment indicator</v>
      </c>
    </row>
    <row r="48">
      <c r="E48" s="73" t="inlineStr">
        <is>
          <t>IDC capitalised</t>
        </is>
      </c>
      <c r="F48" s="74">
        <f>IDC_TOT</f>
        <v>17535681.8706267</v>
      </c>
      <c r="K48" s="73" t="str">
        <f>IF(AND(FAR&gt;0,FAR_ACT&gt;FAR),"! FAR "&amp;TEXT(FAR_ACT,"0.00")&amp;" exceeds permitted "&amp;TEXT(FAR,"0.00"),"✓ FAR within limit")</f>
        <v>✓ FAR within limit</v>
      </c>
    </row>
    <row r="49">
      <c r="E49" s="73" t="inlineStr">
        <is>
          <t>Land non-cash</t>
        </is>
      </c>
      <c r="F49" s="74">
        <f>LAND_TOT-LANDCASH_TOT</f>
        <v>135000000</v>
      </c>
      <c r="K49" s="73" t="str">
        <f>IF(PROJECT_MODE=0,"–",IF(EIRR&lt;HURDLE,"! Equity IRR below hurdle","✓ Equity IRR above hurdle"))</f>
        <v>✓ Equity IRR above hurdle</v>
      </c>
    </row>
    <row r="50">
      <c r="E50" s="73" t="inlineStr">
        <is>
          <t>Retention held</t>
        </is>
      </c>
      <c r="F50" s="74">
        <f>RET_TOT</f>
        <v>15966117.4361199</v>
      </c>
      <c r="K50" s="73" t="str">
        <f>"! Tax rates must be verified (sheet 12) · የግብር መጣኔዎችን ያረጋግጡ"</f>
        <v>! Tax rates must be verified (sheet 12) · የግብር መጣኔዎችን ያረጋግጡ</v>
      </c>
    </row>
    <row r="51">
      <c r="B51" s="75" t="inlineStr">
        <is>
          <t>Total uses</t>
        </is>
      </c>
      <c r="C51" s="76">
        <f>SUM(C44:C50)</f>
        <v>617497125.322733</v>
      </c>
      <c r="E51" s="75" t="inlineStr">
        <is>
          <t>Total sources</t>
        </is>
      </c>
      <c r="F51" s="76">
        <f>SUM(F44:F50)</f>
        <v>617497125.322733</v>
      </c>
    </row>
    <row r="52">
      <c r="E52" s="8" t="inlineStr">
        <is>
          <t>Check (= 0)</t>
        </is>
      </c>
      <c r="F52" s="77">
        <f>ROUND(F51-C51,0)</f>
        <v>0</v>
      </c>
    </row>
    <row r="62">
      <c r="B62" s="78" t="inlineStr">
        <is>
          <t>Chart data (linked – do not edit)</t>
        </is>
      </c>
    </row>
    <row r="63">
      <c r="B63" s="18" t="inlineStr">
        <is>
          <t>Period</t>
        </is>
      </c>
      <c r="C63" s="79" t="str">
        <f>'20_Timeline'!E12</f>
        <v>C1</v>
      </c>
      <c r="D63" s="79" t="str">
        <f>'20_Timeline'!F12</f>
        <v>C2</v>
      </c>
      <c r="E63" s="79" t="str">
        <f>'20_Timeline'!G12</f>
        <v>C3</v>
      </c>
      <c r="F63" s="79" t="str">
        <f>'20_Timeline'!H12</f>
        <v>C4</v>
      </c>
      <c r="G63" s="79" t="str">
        <f>'20_Timeline'!I12</f>
        <v>O1</v>
      </c>
      <c r="H63" s="79" t="str">
        <f>'20_Timeline'!J12</f>
        <v>O2</v>
      </c>
      <c r="I63" s="79" t="str">
        <f>'20_Timeline'!K12</f>
        <v>O3</v>
      </c>
      <c r="J63" s="79" t="str">
        <f>'20_Timeline'!L12</f>
        <v>O4</v>
      </c>
      <c r="K63" s="79" t="str">
        <f>'20_Timeline'!M12</f>
        <v>O5</v>
      </c>
      <c r="L63" s="79" t="str">
        <f>'20_Timeline'!N12</f>
        <v>O6</v>
      </c>
      <c r="M63" s="79" t="str">
        <f>'20_Timeline'!O12</f>
        <v>O7</v>
      </c>
      <c r="N63" s="79" t="str">
        <f>'20_Timeline'!P12</f>
        <v>O8</v>
      </c>
      <c r="O63" s="79" t="str">
        <f>'20_Timeline'!Q12</f>
        <v>O9</v>
      </c>
      <c r="P63" s="79" t="str">
        <f>'20_Timeline'!R12</f>
        <v>O10</v>
      </c>
    </row>
    <row r="64">
      <c r="B64" s="18" t="inlineStr">
        <is>
          <t>Project cash flow</t>
        </is>
      </c>
      <c r="C64" s="80">
        <f>'50_Returns'!E22/1000000</f>
        <v>-89.6310420621827</v>
      </c>
      <c r="D64" s="80">
        <f>'50_Returns'!F22/1000000</f>
        <v>-144.81592245696</v>
      </c>
      <c r="E64" s="80">
        <f>'50_Returns'!G22/1000000</f>
        <v>145.973774685087</v>
      </c>
      <c r="F64" s="80">
        <f>'50_Returns'!H22/1000000</f>
        <v>-0.201277235256292</v>
      </c>
      <c r="G64" s="80">
        <f>'50_Returns'!I22/1000000</f>
        <v>90.4583319847596</v>
      </c>
      <c r="H64" s="80">
        <f>'50_Returns'!J22/1000000</f>
        <v>77.2632084681378</v>
      </c>
      <c r="I64" s="80">
        <f>'50_Returns'!K22/1000000</f>
        <v>8.44579864286046</v>
      </c>
      <c r="J64" s="80">
        <f>'50_Returns'!L22/1000000</f>
        <v>14.2408714443476</v>
      </c>
      <c r="K64" s="80">
        <f>'50_Returns'!M22/1000000</f>
        <v>15.8173054873868</v>
      </c>
      <c r="L64" s="80">
        <f>'50_Returns'!N22/1000000</f>
        <v>17.5539489477666</v>
      </c>
      <c r="M64" s="80">
        <f>'50_Returns'!O22/1000000</f>
        <v>20.0900018418851</v>
      </c>
      <c r="N64" s="80">
        <f>'50_Returns'!P22/1000000</f>
        <v>22.1472604475371</v>
      </c>
      <c r="O64" s="80">
        <f>'50_Returns'!Q22/1000000</f>
        <v>24.3622035824876</v>
      </c>
      <c r="P64" s="80">
        <f>'50_Returns'!R22/1000000</f>
        <v>640.00114535293</v>
      </c>
    </row>
    <row r="65">
      <c r="B65" s="18" t="inlineStr">
        <is>
          <t>Cumulative</t>
        </is>
      </c>
      <c r="C65" s="80">
        <f>'51_Payback'!E12/1000000</f>
        <v>-89.6310420621827</v>
      </c>
      <c r="D65" s="80">
        <f>'51_Payback'!F12/1000000</f>
        <v>-234.446964519142</v>
      </c>
      <c r="E65" s="80">
        <f>'51_Payback'!G12/1000000</f>
        <v>-88.4731898340553</v>
      </c>
      <c r="F65" s="80">
        <f>'51_Payback'!H12/1000000</f>
        <v>-88.6744670693116</v>
      </c>
      <c r="G65" s="80">
        <f>'51_Payback'!I12/1000000</f>
        <v>1.78386491544801</v>
      </c>
      <c r="H65" s="80">
        <f>'51_Payback'!J12/1000000</f>
        <v>79.0470733835858</v>
      </c>
      <c r="I65" s="80">
        <f>'51_Payback'!K12/1000000</f>
        <v>87.4928720264463</v>
      </c>
      <c r="J65" s="80">
        <f>'51_Payback'!L12/1000000</f>
        <v>101.733743470794</v>
      </c>
      <c r="K65" s="80">
        <f>'51_Payback'!M12/1000000</f>
        <v>117.551048958181</v>
      </c>
      <c r="L65" s="80">
        <f>'51_Payback'!N12/1000000</f>
        <v>135.104997905947</v>
      </c>
      <c r="M65" s="80">
        <f>'51_Payback'!O12/1000000</f>
        <v>155.194999747832</v>
      </c>
      <c r="N65" s="80">
        <f>'51_Payback'!P12/1000000</f>
        <v>177.342260195369</v>
      </c>
      <c r="O65" s="80">
        <f>'51_Payback'!Q12/1000000</f>
        <v>201.704463777857</v>
      </c>
      <c r="P65" s="80">
        <f>'51_Payback'!R12/1000000</f>
        <v>841.705609130787</v>
      </c>
    </row>
    <row r="66">
      <c r="B66" s="18" t="inlineStr">
        <is>
          <t>Loan balance</t>
        </is>
      </c>
      <c r="C66" s="80">
        <f>'27_Loan'!E20/1000000</f>
        <v>0</v>
      </c>
      <c r="D66" s="80">
        <f>'27_Loan'!F20/1000000</f>
        <v>111.770848284784</v>
      </c>
      <c r="E66" s="80">
        <f>'27_Loan'!G20/1000000</f>
        <v>133.149894104201</v>
      </c>
      <c r="F66" s="80">
        <f>'27_Loan'!H20/1000000</f>
        <v>133.149894104201</v>
      </c>
      <c r="G66" s="80">
        <f>'27_Loan'!I20/1000000</f>
        <v>54.4129001125821</v>
      </c>
      <c r="H66" s="80">
        <f>'27_Loan'!J20/1000000</f>
        <v>22.3629692190811</v>
      </c>
      <c r="I66" s="80">
        <f>'27_Loan'!K20/1000000</f>
        <v>20.7847420007675</v>
      </c>
      <c r="J66" s="80">
        <f>'27_Loan'!L20/1000000</f>
        <v>18.9561283792425</v>
      </c>
      <c r="K66" s="80">
        <f>'27_Loan'!M20/1000000</f>
        <v>16.8374044477165</v>
      </c>
      <c r="L66" s="80">
        <f>'27_Loan'!N20/1000000</f>
        <v>14.3825440851008</v>
      </c>
      <c r="M66" s="80">
        <f>'27_Loan'!O20/1000000</f>
        <v>11.538219107093</v>
      </c>
      <c r="N66" s="80">
        <f>'27_Loan'!P20/1000000</f>
        <v>8.24264079081839</v>
      </c>
      <c r="O66" s="80">
        <f>'27_Loan'!Q20/1000000</f>
        <v>4.42421760687305</v>
      </c>
      <c r="P66" s="80">
        <f>'27_Loan'!R20/1000000</f>
        <v>0</v>
      </c>
    </row>
    <row r="67">
      <c r="B67" s="18" t="inlineStr">
        <is>
          <t>DSCR</t>
        </is>
      </c>
      <c r="C67" s="80">
        <f>IF(ISNUMBER('43_Ratios'!E12),MIN(10,'43_Ratios'!E12),0)</f>
        <v>0</v>
      </c>
      <c r="D67" s="80">
        <f>IF(ISNUMBER('43_Ratios'!F12),MIN(10,'43_Ratios'!F12),0)</f>
        <v>0</v>
      </c>
      <c r="E67" s="80">
        <f>IF(ISNUMBER('43_Ratios'!G12),MIN(10,'43_Ratios'!G12),0)</f>
        <v>0</v>
      </c>
      <c r="F67" s="80">
        <f>IF(ISNUMBER('43_Ratios'!H12),MIN(10,'43_Ratios'!H12),0)</f>
        <v>0</v>
      </c>
      <c r="G67" s="80">
        <f>IF(ISNUMBER('43_Ratios'!I12),MIN(10,'43_Ratios'!I12),0)</f>
        <v>6.20863591453689</v>
      </c>
      <c r="H67" s="80">
        <f>IF(ISNUMBER('43_Ratios'!J12),MIN(10,'43_Ratios'!J12),0)</f>
        <v>6.95088128995641</v>
      </c>
      <c r="I67" s="80">
        <f>IF(ISNUMBER('43_Ratios'!K12),MIN(10,'43_Ratios'!K12),0)</f>
        <v>1.7426163135394</v>
      </c>
      <c r="J67" s="80">
        <f>IF(ISNUMBER('43_Ratios'!L12),MIN(10,'43_Ratios'!L12),0)</f>
        <v>2.93831003405647</v>
      </c>
      <c r="K67" s="80">
        <f>IF(ISNUMBER('43_Ratios'!M12),MIN(10,'43_Ratios'!M12),0)</f>
        <v>3.26357467708005</v>
      </c>
      <c r="L67" s="80">
        <f>IF(ISNUMBER('43_Ratios'!N12),MIN(10,'43_Ratios'!N12),0)</f>
        <v>3.62189522825937</v>
      </c>
      <c r="M67" s="80">
        <f>IF(ISNUMBER('43_Ratios'!O12),MIN(10,'43_Ratios'!O12),0)</f>
        <v>4.14515742431298</v>
      </c>
      <c r="N67" s="80">
        <f>IF(ISNUMBER('43_Ratios'!P12),MIN(10,'43_Ratios'!P12),0)</f>
        <v>4.56963029644439</v>
      </c>
      <c r="O67" s="80">
        <f>IF(ISNUMBER('43_Ratios'!Q12),MIN(10,'43_Ratios'!Q12),0)</f>
        <v>5.02663811817237</v>
      </c>
      <c r="P67" s="80">
        <f>IF(ISNUMBER('43_Ratios'!R12),MIN(10,'43_Ratios'!R12),0)</f>
        <v>5.51997325011508</v>
      </c>
    </row>
    <row r="68">
      <c r="B68" s="18" t="inlineStr">
        <is>
          <t>Covenant</t>
        </is>
      </c>
      <c r="C68" s="80">
        <f>DSCR_COV</f>
        <v>1.3</v>
      </c>
      <c r="D68" s="80">
        <f>DSCR_COV</f>
        <v>1.3</v>
      </c>
      <c r="E68" s="80">
        <f>DSCR_COV</f>
        <v>1.3</v>
      </c>
      <c r="F68" s="80">
        <f>DSCR_COV</f>
        <v>1.3</v>
      </c>
      <c r="G68" s="80">
        <f>DSCR_COV</f>
        <v>1.3</v>
      </c>
      <c r="H68" s="80">
        <f>DSCR_COV</f>
        <v>1.3</v>
      </c>
      <c r="I68" s="80">
        <f>DSCR_COV</f>
        <v>1.3</v>
      </c>
      <c r="J68" s="80">
        <f>DSCR_COV</f>
        <v>1.3</v>
      </c>
      <c r="K68" s="80">
        <f>DSCR_COV</f>
        <v>1.3</v>
      </c>
      <c r="L68" s="80">
        <f>DSCR_COV</f>
        <v>1.3</v>
      </c>
      <c r="M68" s="80">
        <f>DSCR_COV</f>
        <v>1.3</v>
      </c>
      <c r="N68" s="80">
        <f>DSCR_COV</f>
        <v>1.3</v>
      </c>
      <c r="O68" s="80">
        <f>DSCR_COV</f>
        <v>1.3</v>
      </c>
      <c r="P68" s="80">
        <f>DSCR_COV</f>
        <v>1.3</v>
      </c>
    </row>
    <row r="69">
      <c r="B69" s="18" t="inlineStr">
        <is>
          <t>Sales</t>
        </is>
      </c>
      <c r="C69" s="80">
        <f>'24_Revenue'!E40/1000000</f>
        <v>0</v>
      </c>
      <c r="D69" s="80">
        <f>'24_Revenue'!F40/1000000</f>
        <v>0</v>
      </c>
      <c r="E69" s="80">
        <f>'24_Revenue'!G40/1000000</f>
        <v>327.437856596824</v>
      </c>
      <c r="F69" s="80">
        <f>'24_Revenue'!H40/1000000</f>
        <v>0</v>
      </c>
      <c r="G69" s="80">
        <f>'24_Revenue'!I40/1000000</f>
        <v>98.6111280000001</v>
      </c>
      <c r="H69" s="80">
        <f>'24_Revenue'!J40/1000000</f>
        <v>72.3148272</v>
      </c>
      <c r="I69" s="80">
        <f>'24_Revenue'!K40/1000000</f>
        <v>0</v>
      </c>
      <c r="J69" s="80">
        <f>'24_Revenue'!L40/1000000</f>
        <v>0</v>
      </c>
      <c r="K69" s="80">
        <f>'24_Revenue'!M40/1000000</f>
        <v>0</v>
      </c>
      <c r="L69" s="80">
        <f>'24_Revenue'!N40/1000000</f>
        <v>0</v>
      </c>
      <c r="M69" s="80">
        <f>'24_Revenue'!O40/1000000</f>
        <v>0</v>
      </c>
      <c r="N69" s="80">
        <f>'24_Revenue'!P40/1000000</f>
        <v>0</v>
      </c>
      <c r="O69" s="80">
        <f>'24_Revenue'!Q40/1000000</f>
        <v>0</v>
      </c>
      <c r="P69" s="80">
        <f>'24_Revenue'!R40/1000000</f>
        <v>0</v>
      </c>
    </row>
    <row r="70">
      <c r="B70" s="18" t="inlineStr">
        <is>
          <t>Rent</t>
        </is>
      </c>
      <c r="C70" s="80">
        <f>'24_Revenue'!E55/1000000</f>
        <v>0</v>
      </c>
      <c r="D70" s="80">
        <f>'24_Revenue'!F55/1000000</f>
        <v>0</v>
      </c>
      <c r="E70" s="80">
        <f>'24_Revenue'!G55/1000000</f>
        <v>0</v>
      </c>
      <c r="F70" s="80">
        <f>'24_Revenue'!H55/1000000</f>
        <v>0</v>
      </c>
      <c r="G70" s="80">
        <f>'24_Revenue'!I55/1000000</f>
        <v>19.2878650522332</v>
      </c>
      <c r="H70" s="80">
        <f>'24_Revenue'!J55/1000000</f>
        <v>27.7745256752158</v>
      </c>
      <c r="I70" s="80">
        <f>'24_Revenue'!K55/1000000</f>
        <v>34.495960888618</v>
      </c>
      <c r="J70" s="80">
        <f>'24_Revenue'!L55/1000000</f>
        <v>37.2556377597074</v>
      </c>
      <c r="K70" s="80">
        <f>'24_Revenue'!M55/1000000</f>
        <v>40.236088780484</v>
      </c>
      <c r="L70" s="80">
        <f>'24_Revenue'!N55/1000000</f>
        <v>43.4549758829228</v>
      </c>
      <c r="M70" s="80">
        <f>'24_Revenue'!O55/1000000</f>
        <v>46.9313739535566</v>
      </c>
      <c r="N70" s="80">
        <f>'24_Revenue'!P55/1000000</f>
        <v>50.6858838698411</v>
      </c>
      <c r="O70" s="80">
        <f>'24_Revenue'!Q55/1000000</f>
        <v>54.7407545794284</v>
      </c>
      <c r="P70" s="80">
        <f>'24_Revenue'!R55/1000000</f>
        <v>59.1200149457827</v>
      </c>
    </row>
    <row r="71">
      <c r="B71" s="18" t="inlineStr">
        <is>
          <t>Other</t>
        </is>
      </c>
      <c r="C71" s="80">
        <f>('24_Revenue'!E57+'24_Revenue'!E59+'24_Revenue'!E60)/1000000</f>
        <v>0</v>
      </c>
      <c r="D71" s="80">
        <f>('24_Revenue'!F57+'24_Revenue'!F59+'24_Revenue'!F60)/1000000</f>
        <v>0</v>
      </c>
      <c r="E71" s="80">
        <f>('24_Revenue'!G57+'24_Revenue'!G59+'24_Revenue'!G60)/1000000</f>
        <v>0</v>
      </c>
      <c r="F71" s="80">
        <f>('24_Revenue'!H57+'24_Revenue'!H59+'24_Revenue'!H60)/1000000</f>
        <v>0</v>
      </c>
      <c r="G71" s="80">
        <f>('24_Revenue'!I57+'24_Revenue'!I59+'24_Revenue'!I60)/1000000</f>
        <v>4.2646943599243</v>
      </c>
      <c r="H71" s="80">
        <f>('24_Revenue'!J57+'24_Revenue'!J59+'24_Revenue'!J60)/1000000</f>
        <v>5.08849381599274</v>
      </c>
      <c r="I71" s="80">
        <f>('24_Revenue'!K57+'24_Revenue'!K59+'24_Revenue'!K60)/1000000</f>
        <v>5.75942298519894</v>
      </c>
      <c r="J71" s="80">
        <f>('24_Revenue'!L57+'24_Revenue'!L59+'24_Revenue'!L60)/1000000</f>
        <v>6.08039390359699</v>
      </c>
      <c r="K71" s="80">
        <f>('24_Revenue'!M57+'24_Revenue'!M59+'24_Revenue'!M60)/1000000</f>
        <v>6.42849449546688</v>
      </c>
      <c r="L71" s="80">
        <f>('24_Revenue'!N57+'24_Revenue'!N59+'24_Revenue'!N60)/1000000</f>
        <v>4.87725382946305</v>
      </c>
      <c r="M71" s="80">
        <f>('24_Revenue'!O57+'24_Revenue'!O59+'24_Revenue'!O60)/1000000</f>
        <v>5.2867602558201</v>
      </c>
      <c r="N71" s="80">
        <f>('24_Revenue'!P57+'24_Revenue'!P59+'24_Revenue'!P60)/1000000</f>
        <v>5.7309598082857</v>
      </c>
      <c r="O71" s="80">
        <f>('24_Revenue'!Q57+'24_Revenue'!Q59+'24_Revenue'!Q60)/1000000</f>
        <v>6.21282119814856</v>
      </c>
      <c r="P71" s="80">
        <f>('24_Revenue'!R57+'24_Revenue'!R59+'24_Revenue'!R60)/1000000</f>
        <v>6.73556995972044</v>
      </c>
    </row>
  </sheetData>
  <mergeCells count="19">
    <mergeCell ref="E12:F12"/>
    <mergeCell ref="Q12:R12"/>
    <mergeCell ref="H10:I10"/>
    <mergeCell ref="E8:F8"/>
    <mergeCell ref="Q8:R8"/>
    <mergeCell ref="B12:C12"/>
    <mergeCell ref="N12:O12"/>
    <mergeCell ref="E10:F10"/>
    <mergeCell ref="Q10:R10"/>
    <mergeCell ref="B8:C8"/>
    <mergeCell ref="N8:O8"/>
    <mergeCell ref="K12:L12"/>
    <mergeCell ref="K8:L8"/>
    <mergeCell ref="B10:C10"/>
    <mergeCell ref="N10:O10"/>
    <mergeCell ref="L5:O5"/>
    <mergeCell ref="H12:I12"/>
    <mergeCell ref="K10:L10"/>
    <mergeCell ref="H8:I8"/>
  </mergeCells>
  <conditionalFormatting sqref="L5:O5">
    <cfRule type="expression" priority="1" dxfId="1">
      <formula>VERDICT="VIABLE"</formula>
    </cfRule>
    <cfRule type="expression" priority="2" dxfId="2">
      <formula>VERDICT="MARGINAL"</formula>
    </cfRule>
    <cfRule type="expression" priority="3" dxfId="0">
      <formula>VERDICT="NOT VIABLE"</formula>
    </cfRule>
  </conditionalFormatting>
  <conditionalFormatting sqref="F5">
    <cfRule type="expression" priority="4" dxfId="3">
      <formula>CHK_FAIL&gt;0</formula>
    </cfRule>
  </conditionalFormatting>
  <conditionalFormatting sqref="K10:L10">
    <cfRule type="expression" priority="5" dxfId="3">
      <formula>AND(PROJECT_MODE&lt;&gt;0,EIRR&lt;HURDLE)</formula>
    </cfRule>
  </conditionalFormatting>
  <conditionalFormatting sqref="Q10:R10">
    <cfRule type="expression" priority="6" dxfId="3">
      <formula>AND(PROJECT_MODE&lt;&gt;0,DSCR_OK=0)</formula>
    </cfRule>
  </conditionalFormatting>
  <conditionalFormatting sqref="K43:K50">
    <cfRule type="expression" priority="7" dxfId="3">
      <formula>LEFT(K43,1)="✗"</formula>
    </cfRule>
    <cfRule type="expression" priority="8" dxfId="4">
      <formula>LEFT(K43,1)="!"</formula>
    </cfRule>
    <cfRule type="expression" priority="9" dxfId="5">
      <formula>LEFT(K43,1)="✓"</formula>
    </cfRule>
  </conditionalFormatting>
  <printOptions horizontalCentered="1"/>
  <pageMargins left="0.4" right="0.4" top="0.6" bottom="0.6" header="0.5" footer="0.5"/>
  <pageSetup orientation="landscape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J64"/>
  <sheetViews>
    <sheetView showGridLines="0" tabSelected="0" workbookViewId="0">
      <selection pane="bottomLeft" activeCell="A1" sqref="A1"/>
    </sheetView>
  </sheetViews>
  <sheetFormatPr baseColWidth="8" defaultRowHeight="15"/>
  <cols>
    <col width="2" customWidth="1" min="1" max="1"/>
    <col width="27" customWidth="1" min="2" max="2"/>
    <col width="14" customWidth="1" min="3" max="3"/>
    <col width="10" customWidth="1" min="4" max="4"/>
    <col width="9" customWidth="1" min="5" max="5"/>
    <col width="2" customWidth="1" min="6" max="6"/>
    <col width="9" customWidth="1" min="7" max="7"/>
    <col width="13" customWidth="1" min="8" max="8"/>
    <col width="13" customWidth="1" min="9" max="9"/>
    <col width="13" customWidth="1" min="10" max="10"/>
    <col width="2" customWidth="1" min="11" max="11"/>
  </cols>
  <sheetData>
    <row r="1" ht="30" customHeight="1">
      <c r="A1" s="1" t="n"/>
      <c r="B1" s="2" t="inlineStr">
        <is>
          <t>Home Estimate</t>
        </is>
      </c>
      <c r="C1" s="1" t="n"/>
      <c r="D1" s="1" t="n"/>
      <c r="E1" s="1" t="n"/>
      <c r="F1" s="1" t="n"/>
      <c r="G1" s="1" t="n"/>
      <c r="H1" s="1" t="n"/>
      <c r="I1" s="3" t="str">
        <f>HYPERLINK("#'00_Start'!A1","◂ Start")</f>
        <v>◂ Start</v>
      </c>
    </row>
    <row r="2" ht="20" customHeight="1">
      <c r="A2" s="1" t="n"/>
      <c r="B2" s="4" t="inlineStr">
        <is>
          <t>የቤት ግንባታ ወጪ ግምት</t>
        </is>
      </c>
      <c r="C2" s="1" t="n"/>
      <c r="D2" s="1" t="n"/>
      <c r="E2" s="1" t="n"/>
      <c r="F2" s="1" t="n"/>
      <c r="G2" s="1" t="n"/>
      <c r="H2" s="1" t="n"/>
      <c r="I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B5" s="81" t="str">
        <f>IF(PROJECT_MODE&lt;&gt;0,"Commercial mode is on – this page still shows the cost estimate for the same inputs.  ·  ይህ ገጽ ለተመሳሳይ ግብዓቶች የወጪ ግምቱን ያሳያል።","")</f>
        <v>Commercial mode is on – this page still shows the cost estimate for the same inputs.  ·  ይህ ገጽ ለተመሳሳይ ግብዓቶች የወጪ ግምቱን ያሳያል።</v>
      </c>
    </row>
    <row r="6">
      <c r="B6" s="78" t="inlineStr">
        <is>
          <t>Project · ፕሮጀክት</t>
        </is>
      </c>
      <c r="C6" s="71" t="str">
        <f>PROJ_NAME</f>
        <v>SAMPLE B — B+G+8 mixed-use building, Addis Ababa</v>
      </c>
    </row>
    <row r="7">
      <c r="B7" s="78" t="inlineStr">
        <is>
          <t>Building · ሕንፃ</t>
        </is>
      </c>
      <c r="C7" s="71" t="str">
        <f>BTYPE_CALC&amp;"  ·  "&amp;TEXT(GFA,"#,##0")&amp;" m² gross  ·  "&amp;INDEX(L_FINISH,FIN_IX)&amp;" finish"</f>
        <v>B1+G+8  ·  6,400 m² gross  ·  Standard finish</v>
      </c>
    </row>
    <row r="8">
      <c r="B8" s="78" t="inlineStr">
        <is>
          <t>Where &amp; how long · ቦታና ጊዜ</t>
        </is>
      </c>
      <c r="C8" s="71" t="str">
        <f>INDEX(L_LOC,LOC_TYPE)&amp;"  ·  "&amp;CONSTR_EFF&amp;" months of construction"</f>
        <v>Addis Ababa  ·  30 months of construction</v>
      </c>
    </row>
    <row r="10">
      <c r="B10" s="82" t="inlineStr">
        <is>
          <t>CONSTRUCTION COST · የግንባታ ወጪ</t>
        </is>
      </c>
      <c r="C10" s="83" t="inlineStr">
        <is>
          <t>COST PER m² · ዋጋ በካሬ ሜትር</t>
        </is>
      </c>
      <c r="D10" s="56" t="n"/>
      <c r="E10" s="56" t="n"/>
      <c r="G10" s="84" t="inlineStr">
        <is>
          <t>MONTHLY INSTALMENT · ወርሃዊ ክፍያ</t>
        </is>
      </c>
      <c r="H10" s="58" t="n"/>
      <c r="I10" s="85" t="inlineStr">
        <is>
          <t>FUNDING GAP · የገንዘብ ክፍተት</t>
        </is>
      </c>
      <c r="J10" s="60" t="n"/>
    </row>
    <row r="11" ht="24" customHeight="1">
      <c r="B11" s="86">
        <f>CONSTR_COST</f>
        <v>376325657.081863</v>
      </c>
      <c r="C11" s="86">
        <f>CC_M2</f>
        <v>58800.8839190411</v>
      </c>
      <c r="E11" s="66" t="n"/>
      <c r="G11" s="86">
        <f>LN_INSTAL_M</f>
        <v>472859.074630902</v>
      </c>
      <c r="H11" s="66" t="n"/>
      <c r="I11" s="86">
        <f>FUND_GAP</f>
        <v>0</v>
      </c>
      <c r="J11" s="66" t="n"/>
    </row>
    <row r="12">
      <c r="B12" s="87" t="n"/>
      <c r="C12" s="88" t="n"/>
      <c r="D12" s="89" t="n"/>
      <c r="E12" s="90" t="n"/>
      <c r="G12" s="88" t="n"/>
      <c r="H12" s="90" t="n"/>
      <c r="I12" s="88" t="n"/>
      <c r="J12" s="90" t="n"/>
    </row>
    <row r="13">
      <c r="B13" s="91" t="str">
        <f>"Range "&amp;TEXT(CONSTR_COST*(1+EST_LOW)/1000000,"#,##0.0")&amp;" – "&amp;TEXT(CONSTR_COST*(1+EST_HIGH)/1000000,"#,##0.0")&amp;" m"</f>
        <v>Range 338.7 – 432.8 m</v>
      </c>
      <c r="C13" s="91" t="str">
        <f>"All-in incl. land &amp; finance: "&amp;TEXT(TDC_M2G,"#,##0")</f>
        <v>All-in incl. land &amp; finance: 86,041</v>
      </c>
      <c r="D13" s="92" t="n"/>
      <c r="E13" s="70" t="n"/>
      <c r="G13" s="91" t="str">
        <f>IF(HH_INCOME&gt;0,TEXT(AFFORD_PCT,"0%")&amp;" of income · "&amp;AFFORD_TXT,"enter income")</f>
        <v>enter income</v>
      </c>
      <c r="H13" s="70" t="n"/>
      <c r="I13" s="91" t="str">
        <f>IF(FUND_GAP&gt;0.5,"find more funds","covered · በቂ ነው")</f>
        <v>covered · በቂ ነው</v>
      </c>
      <c r="J13" s="70" t="n"/>
    </row>
    <row r="15">
      <c r="B15" s="32" t="inlineStr">
        <is>
          <t>COST BREAKDOWN · የወጪ ክፍፍል</t>
        </is>
      </c>
      <c r="G15" s="32" t="inlineStr">
        <is>
          <t>WHERE THE MONEY GOES</t>
        </is>
      </c>
    </row>
    <row r="16">
      <c r="B16" s="93" t="inlineStr">
        <is>
          <t>Item</t>
        </is>
      </c>
      <c r="C16" s="94" t="inlineStr">
        <is>
          <t>ETB</t>
        </is>
      </c>
      <c r="D16" s="94" t="inlineStr">
        <is>
          <t>% total</t>
        </is>
      </c>
    </row>
    <row r="17">
      <c r="B17" s="73" t="str">
        <f>'22_Capex'!B74</f>
        <v>Substructure &amp; basement</v>
      </c>
      <c r="C17" s="74">
        <f>'22_Capex'!D74</f>
        <v>35120000</v>
      </c>
      <c r="D17" s="95">
        <f>IF(HOME_TOTAL&gt;0,C17/HOME_TOTAL,0)</f>
        <v>0.0637779618833885</v>
      </c>
      <c r="E17" s="96" t="inlineStr">
        <is>
          <t>መሠረትና ምድር ቤት</t>
        </is>
      </c>
    </row>
    <row r="18">
      <c r="B18" s="73" t="str">
        <f>'22_Capex'!B75</f>
        <v>Frame &amp; envelope</v>
      </c>
      <c r="C18" s="74">
        <f>'22_Capex'!D75</f>
        <v>85632000</v>
      </c>
      <c r="D18" s="95">
        <f>IF(HOME_TOTAL&gt;0,C18/HOME_TOTAL,0)</f>
        <v>0.155507814122959</v>
      </c>
      <c r="E18" s="96" t="inlineStr">
        <is>
          <t>ፍሬምና ግድግዳ</t>
        </is>
      </c>
    </row>
    <row r="19">
      <c r="B19" s="73" t="str">
        <f>'22_Capex'!B76</f>
        <v>Internal works &amp; finishes</v>
      </c>
      <c r="C19" s="74">
        <f>'22_Capex'!D76</f>
        <v>51200000</v>
      </c>
      <c r="D19" s="95">
        <f>IF(HOME_TOTAL&gt;0,C19/HOME_TOTAL,0)</f>
        <v>0.0929792610600653</v>
      </c>
      <c r="E19" s="96" t="inlineStr">
        <is>
          <t>የውስጥና ማጠናቀቂያ</t>
        </is>
      </c>
    </row>
    <row r="20">
      <c r="B20" s="73" t="str">
        <f>'22_Capex'!B77</f>
        <v>MEP &amp; specialist systems</v>
      </c>
      <c r="C20" s="74">
        <f>'22_Capex'!D77</f>
        <v>73160000</v>
      </c>
      <c r="D20" s="95">
        <f>IF(HOME_TOTAL&gt;0,C20/HOME_TOTAL,0)</f>
        <v>0.132858647249109</v>
      </c>
      <c r="E20" s="96" t="inlineStr">
        <is>
          <t>ኤሌክትሪክ፣ ቧንቧ፣ ሲስተሞች</t>
        </is>
      </c>
    </row>
    <row r="21">
      <c r="B21" s="73" t="str">
        <f>'22_Capex'!B78</f>
        <v>Preliminaries &amp; external works</v>
      </c>
      <c r="C21" s="74">
        <f>'22_Capex'!D78</f>
        <v>22445000</v>
      </c>
      <c r="D21" s="95">
        <f>IF(HOME_TOTAL&gt;0,C21/HOME_TOTAL,0)</f>
        <v>0.0407601467674446</v>
      </c>
      <c r="E21" s="96" t="inlineStr">
        <is>
          <t>ቅድመ-ሥራና የውጭ ሥራ</t>
        </is>
      </c>
    </row>
    <row r="22">
      <c r="B22" s="73" t="str">
        <f>'22_Capex'!B79</f>
        <v>Escalation &amp; contingency</v>
      </c>
      <c r="C22" s="74">
        <f>'22_Capex'!D79</f>
        <v>77311136.6201908</v>
      </c>
      <c r="D22" s="95">
        <f>IF(HOME_TOTAL&gt;0,C22/HOME_TOTAL,0)</f>
        <v>0.140397116301935</v>
      </c>
      <c r="E22" s="96" t="inlineStr">
        <is>
          <t>የዋጋ ጭማሪና መጠባበቂያ</t>
        </is>
      </c>
    </row>
    <row r="23">
      <c r="B23" s="73" t="str">
        <f>'22_Capex'!B80</f>
        <v>Fees &amp; permits</v>
      </c>
      <c r="C23" s="74">
        <f>'22_Capex'!D80</f>
        <v>25457520.461672</v>
      </c>
      <c r="D23" s="95">
        <f>IF(HOME_TOTAL&gt;0,C23/HOME_TOTAL,0)</f>
        <v>0.0462308875185108</v>
      </c>
      <c r="E23" s="96" t="inlineStr">
        <is>
          <t>ክፍያዎችና ፈቃድ</t>
        </is>
      </c>
    </row>
    <row r="24">
      <c r="B24" s="73" t="str">
        <f>'22_Capex'!B81</f>
        <v>Furniture &amp; FF&amp;E</v>
      </c>
      <c r="C24" s="74">
        <f>'22_Capex'!D81</f>
        <v>6000000</v>
      </c>
      <c r="D24" s="95">
        <f>IF(HOME_TOTAL&gt;0,C24/HOME_TOTAL,0)</f>
        <v>0.0108960071554764</v>
      </c>
      <c r="E24" s="96" t="inlineStr">
        <is>
          <t>የቤት ዕቃዎች</t>
        </is>
      </c>
    </row>
    <row r="25">
      <c r="B25" s="73" t="str">
        <f>'22_Capex'!B82</f>
        <v>Land</v>
      </c>
      <c r="C25" s="74">
        <f>'22_Capex'!D82</f>
        <v>150000000</v>
      </c>
      <c r="D25" s="95">
        <f>IF(HOME_TOTAL&gt;0,C25/HOME_TOTAL,0)</f>
        <v>0.27240017888691</v>
      </c>
      <c r="E25" s="96" t="inlineStr">
        <is>
          <t>መሬት</t>
        </is>
      </c>
    </row>
    <row r="26">
      <c r="B26" s="73" t="str">
        <f>'22_Capex'!B83</f>
        <v>Finance costs (fees + IDC)</v>
      </c>
      <c r="C26" s="74">
        <f>'22_Capex'!D83</f>
        <v>24334774.2472746</v>
      </c>
      <c r="D26" s="95">
        <f>IF(HOME_TOTAL&gt;0,C26/HOME_TOTAL,0)</f>
        <v>0.0441919790542011</v>
      </c>
      <c r="E26" s="96" t="inlineStr">
        <is>
          <t>የብድር ወጪ</t>
        </is>
      </c>
    </row>
    <row r="27">
      <c r="B27" s="97" t="inlineStr">
        <is>
          <t>TOTAL PROJECT COST · ጠቅላላ</t>
        </is>
      </c>
      <c r="C27" s="98">
        <f>SUM(C17:C26)</f>
        <v>550660431.329137</v>
      </c>
      <c r="D27" s="99" t="n"/>
      <c r="E27" s="99" t="n"/>
    </row>
    <row r="29">
      <c r="B29" s="32" t="inlineStr">
        <is>
          <t>PAYING THE CONTRACTOR · ለኮንትራክተር ክፍያ</t>
        </is>
      </c>
      <c r="G29" s="32" t="inlineStr">
        <is>
          <t>CASH NEEDED EACH MONTH (S-curve)</t>
        </is>
      </c>
    </row>
    <row r="30">
      <c r="B30" s="93" t="inlineStr">
        <is>
          <t>Stage</t>
        </is>
      </c>
      <c r="C30" s="94" t="inlineStr">
        <is>
          <t>ETB</t>
        </is>
      </c>
      <c r="D30" s="94" t="inlineStr">
        <is>
          <t>Cum. %</t>
        </is>
      </c>
      <c r="E30" s="94" t="inlineStr">
        <is>
          <t>≈ month</t>
        </is>
      </c>
    </row>
    <row r="31">
      <c r="B31" s="73" t="str">
        <f>'22_Capex'!B87</f>
        <v>1 Mobilisation &amp; site set-up</v>
      </c>
      <c r="C31" s="74">
        <f>'22_Capex'!D87</f>
        <v>13198868.7232655</v>
      </c>
      <c r="D31" s="95">
        <f>IF(STAGE_TOT&gt;0,SUM($C$31:C31)/STAGE_TOT,0)</f>
        <v>0.0382722186300489</v>
      </c>
      <c r="E31" s="100">
        <f>MIN(CONSTR_EFF,COUNTIF('23_Construction'!$E$16:$AZ$16,"&lt;"&amp;(D31-0.0001))+1)</f>
        <v>5</v>
      </c>
    </row>
    <row r="32">
      <c r="B32" s="73" t="str">
        <f>'22_Capex'!B88</f>
        <v>2 Foundation / substructure</v>
      </c>
      <c r="C32" s="74">
        <f>'22_Capex'!D88</f>
        <v>45267995.0743247</v>
      </c>
      <c r="D32" s="95">
        <f>IF(STAGE_TOT&gt;0,SUM($C$31:C32)/STAGE_TOT,0)</f>
        <v>0.169533968462795</v>
      </c>
      <c r="E32" s="100">
        <f>MIN(CONSTR_EFF,COUNTIF('23_Construction'!$E$16:$AZ$16,"&lt;"&amp;(D32-0.0001))+1)</f>
        <v>10</v>
      </c>
    </row>
    <row r="33">
      <c r="B33" s="73" t="str">
        <f>'22_Capex'!B89</f>
        <v>3 Frame (columns, beams, slabs)</v>
      </c>
      <c r="C33" s="74">
        <f>'22_Capex'!D89</f>
        <v>70778933.5285114</v>
      </c>
      <c r="D33" s="95">
        <f>IF(STAGE_TOT&gt;0,SUM($C$31:C33)/STAGE_TOT,0)</f>
        <v>0.374768740866432</v>
      </c>
      <c r="E33" s="100">
        <f>MIN(CONSTR_EFF,COUNTIF('23_Construction'!$E$16:$AZ$16,"&lt;"&amp;(D33-0.0001))+1)</f>
        <v>14</v>
      </c>
    </row>
    <row r="34">
      <c r="B34" s="73" t="str">
        <f>'22_Capex'!B90</f>
        <v>4 Walls, windows &amp; roof</v>
      </c>
      <c r="C34" s="74">
        <f>'22_Capex'!D90</f>
        <v>39596606.1697966</v>
      </c>
      <c r="D34" s="95">
        <f>IF(STAGE_TOT&gt;0,SUM($C$31:C34)/STAGE_TOT,0)</f>
        <v>0.489585396756579</v>
      </c>
      <c r="E34" s="100">
        <f>MIN(CONSTR_EFF,COUNTIF('23_Construction'!$E$16:$AZ$16,"&lt;"&amp;(D34-0.0001))+1)</f>
        <v>15</v>
      </c>
    </row>
    <row r="35">
      <c r="B35" s="73" t="str">
        <f>'22_Capex'!B91</f>
        <v>5 MEP &amp; internal works</v>
      </c>
      <c r="C35" s="74">
        <f>'22_Capex'!D91</f>
        <v>114098033.142916</v>
      </c>
      <c r="D35" s="95">
        <f>IF(STAGE_TOT&gt;0,SUM($C$31:C35)/STAGE_TOT,0)</f>
        <v>0.820430786710869</v>
      </c>
      <c r="E35" s="100">
        <f>MIN(CONSTR_EFF,COUNTIF('23_Construction'!$E$16:$AZ$16,"&lt;"&amp;(D35-0.0001))+1)</f>
        <v>21</v>
      </c>
    </row>
    <row r="36">
      <c r="B36" s="73" t="str">
        <f>'22_Capex'!B92</f>
        <v>6 Finishes &amp; external works</v>
      </c>
      <c r="C36" s="74">
        <f>'22_Capex'!D92</f>
        <v>61927699.9813762</v>
      </c>
      <c r="D36" s="95">
        <f>IF(STAGE_TOT&gt;0,SUM($C$31:C36)/STAGE_TOT,0)</f>
        <v>1</v>
      </c>
      <c r="E36" s="100">
        <f>MIN(CONSTR_EFF,COUNTIF('23_Construction'!$E$16:$AZ$16,"&lt;"&amp;(D36-0.0001))+1)</f>
        <v>30</v>
      </c>
    </row>
    <row r="37">
      <c r="B37" s="8" t="inlineStr">
        <is>
          <t>Retention released after completion</t>
        </is>
      </c>
      <c r="C37" s="74">
        <f>RET_TOT</f>
        <v>15966117.4361199</v>
      </c>
      <c r="E37" s="100">
        <f>CONSTR_EFF+RET_REL_M</f>
        <v>42</v>
      </c>
    </row>
    <row r="39">
      <c r="B39" s="32" t="inlineStr">
        <is>
          <t>FUNDING &amp; HOME LOAN · ገንዘብና ብድር</t>
        </is>
      </c>
      <c r="G39" s="32" t="inlineStr">
        <is>
          <t>HOME-LOAN SCHEDULE · የብድር ሰንጠረዥ</t>
        </is>
      </c>
    </row>
    <row r="40">
      <c r="B40" s="73" t="inlineStr">
        <is>
          <t>Own savings · ቁጠባ</t>
        </is>
      </c>
      <c r="C40" s="101">
        <f>SAVINGS</f>
        <v>0</v>
      </c>
      <c r="G40" s="93" t="inlineStr">
        <is>
          <t>Year</t>
        </is>
      </c>
      <c r="H40" s="94" t="inlineStr">
        <is>
          <t>Interest</t>
        </is>
      </c>
      <c r="I40" s="94" t="inlineStr">
        <is>
          <t>Principal</t>
        </is>
      </c>
      <c r="J40" s="94" t="inlineStr">
        <is>
          <t>Closing</t>
        </is>
      </c>
    </row>
    <row r="41">
      <c r="B41" s="73" t="inlineStr">
        <is>
          <t>Family / diaspora · ቤተሰብ</t>
        </is>
      </c>
      <c r="C41" s="101">
        <f>FAMILY</f>
        <v>0</v>
      </c>
      <c r="G41" s="102" t="inlineStr">
        <is>
          <t>Build</t>
        </is>
      </c>
      <c r="H41" s="103">
        <f>SUMIFS('27_Loan'!$E$65:$KF$65,'27_Loan'!$E$56:$KF$56,0)</f>
        <v>17535681.8706267</v>
      </c>
      <c r="J41" s="103">
        <f>SUMIFS('27_Loan'!$E$75:$KF$75,'27_Loan'!$E$55:$KF$55,0)</f>
        <v>133149894.104201</v>
      </c>
    </row>
    <row r="42">
      <c r="B42" s="73" t="inlineStr">
        <is>
          <t>Home loan drawn · የወጣ ብድር</t>
        </is>
      </c>
      <c r="C42" s="101">
        <f>DEBT_DRAWN</f>
        <v>115614212.233574</v>
      </c>
      <c r="G42" s="104" t="n">
        <v>1</v>
      </c>
      <c r="H42" s="103">
        <f>SUMIFS('27_Loan'!$E$65:$KF$65,'27_Loan'!$E$56:$KF$56,$G42)</f>
        <v>14569759.4817826</v>
      </c>
      <c r="I42" s="103">
        <f>SUMIFS('27_Loan'!$E$72:$KF$72,'27_Loan'!$E$56:$KF$56,$G42)+SUMIFS('27_Loan'!$E$74:$KF$74,'27_Loan'!$E$56:$KF$56,$G42)</f>
        <v>78736993.9916189</v>
      </c>
      <c r="J42" s="103">
        <f>SUMIFS('27_Loan'!$E$75:$KF$75,'27_Loan'!$E$55:$KF$55,12*$G42)</f>
        <v>54412900.1125821</v>
      </c>
    </row>
    <row r="43">
      <c r="B43" s="73" t="inlineStr">
        <is>
          <t>Funding gap · ክፍተት</t>
        </is>
      </c>
      <c r="C43" s="101">
        <f>FUND_GAP</f>
        <v>0</v>
      </c>
      <c r="G43" s="104" t="n">
        <v>2</v>
      </c>
      <c r="H43" s="103">
        <f>SUMIFS('27_Loan'!$E$65:$KF$65,'27_Loan'!$E$56:$KF$56,$G43)</f>
        <v>7991598.89332806</v>
      </c>
      <c r="I43" s="103">
        <f>SUMIFS('27_Loan'!$E$72:$KF$72,'27_Loan'!$E$56:$KF$56,$G43)+SUMIFS('27_Loan'!$E$74:$KF$74,'27_Loan'!$E$56:$KF$56,$G43)</f>
        <v>32049930.893501</v>
      </c>
      <c r="J43" s="103">
        <f>SUMIFS('27_Loan'!$E$75:$KF$75,'27_Loan'!$E$55:$KF$55,12*$G43)</f>
        <v>22362969.2190811</v>
      </c>
    </row>
    <row r="44">
      <c r="B44" s="73" t="inlineStr">
        <is>
          <t>Interest rate · ወለድ</t>
        </is>
      </c>
      <c r="C44" s="105">
        <f>RATE_EFF</f>
        <v>0.15</v>
      </c>
      <c r="G44" s="104" t="n">
        <v>3</v>
      </c>
      <c r="H44" s="103">
        <f>SUMIFS('27_Loan'!$E$65:$KF$65,'27_Loan'!$E$56:$KF$56,$G44)</f>
        <v>3268392.53225351</v>
      </c>
      <c r="I44" s="103">
        <f>SUMIFS('27_Loan'!$E$72:$KF$72,'27_Loan'!$E$56:$KF$56,$G44)+SUMIFS('27_Loan'!$E$74:$KF$74,'27_Loan'!$E$56:$KF$56,$G44)</f>
        <v>1578227.21831358</v>
      </c>
      <c r="J44" s="103">
        <f>SUMIFS('27_Loan'!$E$75:$KF$75,'27_Loan'!$E$55:$KF$55,12*$G44)</f>
        <v>20784742.0007675</v>
      </c>
    </row>
    <row r="45">
      <c r="B45" s="73" t="inlineStr">
        <is>
          <t>Tenor after completion (yrs)</t>
        </is>
      </c>
      <c r="C45" s="106">
        <f>TENOR_Y</f>
        <v>10</v>
      </c>
      <c r="G45" s="104" t="n">
        <v>4</v>
      </c>
      <c r="H45" s="103">
        <f>SUMIFS('27_Loan'!$E$65:$KF$65,'27_Loan'!$E$56:$KF$56,$G45)</f>
        <v>3018006.12904212</v>
      </c>
      <c r="I45" s="103">
        <f>SUMIFS('27_Loan'!$E$72:$KF$72,'27_Loan'!$E$56:$KF$56,$G45)+SUMIFS('27_Loan'!$E$74:$KF$74,'27_Loan'!$E$56:$KF$56,$G45)</f>
        <v>1828613.62152498</v>
      </c>
      <c r="J45" s="103">
        <f>SUMIFS('27_Loan'!$E$75:$KF$75,'27_Loan'!$E$55:$KF$55,12*$G45)</f>
        <v>18956128.3792425</v>
      </c>
    </row>
    <row r="46">
      <c r="B46" s="73" t="inlineStr">
        <is>
          <t>Monthly instalment · ወርሃዊ ክፍያ</t>
        </is>
      </c>
      <c r="C46" s="101">
        <f>LN_INSTAL_M</f>
        <v>472859.074630902</v>
      </c>
      <c r="G46" s="104" t="n">
        <v>5</v>
      </c>
      <c r="H46" s="103">
        <f>SUMIFS('27_Loan'!$E$65:$KF$65,'27_Loan'!$E$56:$KF$56,$G46)</f>
        <v>2727895.81904109</v>
      </c>
      <c r="I46" s="103">
        <f>SUMIFS('27_Loan'!$E$72:$KF$72,'27_Loan'!$E$56:$KF$56,$G46)+SUMIFS('27_Loan'!$E$74:$KF$74,'27_Loan'!$E$56:$KF$56,$G46)</f>
        <v>2118723.931526</v>
      </c>
      <c r="J46" s="103">
        <f>SUMIFS('27_Loan'!$E$75:$KF$75,'27_Loan'!$E$55:$KF$55,12*$G46)</f>
        <v>16837404.4477165</v>
      </c>
    </row>
    <row r="47">
      <c r="B47" s="73" t="inlineStr">
        <is>
          <t>Total interest · ጠቅላላ ወለድ</t>
        </is>
      </c>
      <c r="C47" s="101">
        <f>LN_INT_TOT</f>
        <v>56507029.031193</v>
      </c>
      <c r="G47" s="104" t="n">
        <v>6</v>
      </c>
      <c r="H47" s="103">
        <f>SUMIFS('27_Loan'!$E$65:$KF$65,'27_Loan'!$E$56:$KF$56,$G47)</f>
        <v>2391759.3879513</v>
      </c>
      <c r="I47" s="103">
        <f>SUMIFS('27_Loan'!$E$72:$KF$72,'27_Loan'!$E$56:$KF$56,$G47)+SUMIFS('27_Loan'!$E$74:$KF$74,'27_Loan'!$E$56:$KF$56,$G47)</f>
        <v>2454860.3626158</v>
      </c>
      <c r="J47" s="103">
        <f>SUMIFS('27_Loan'!$E$75:$KF$75,'27_Loan'!$E$55:$KF$55,12*$G47)</f>
        <v>14382544.0851008</v>
      </c>
    </row>
    <row r="48">
      <c r="B48" s="73" t="inlineStr">
        <is>
          <t>Loan repaid by · የሚያልቅበት</t>
        </is>
      </c>
      <c r="C48" s="107">
        <f>LN_FINAL_DATE</f>
        <v>50951.0</v>
      </c>
      <c r="G48" s="104" t="n">
        <v>7</v>
      </c>
      <c r="H48" s="103">
        <f>SUMIFS('27_Loan'!$E$65:$KF$65,'27_Loan'!$E$56:$KF$56,$G48)</f>
        <v>2002294.77255936</v>
      </c>
      <c r="I48" s="103">
        <f>SUMIFS('27_Loan'!$E$72:$KF$72,'27_Loan'!$E$56:$KF$56,$G48)+SUMIFS('27_Loan'!$E$74:$KF$74,'27_Loan'!$E$56:$KF$56,$G48)</f>
        <v>2844324.97800773</v>
      </c>
      <c r="J48" s="103">
        <f>SUMIFS('27_Loan'!$E$75:$KF$75,'27_Loan'!$E$55:$KF$55,12*$G48)</f>
        <v>11538219.107093</v>
      </c>
    </row>
    <row r="49">
      <c r="B49" s="73" t="inlineStr">
        <is>
          <t>Instalment ÷ income · ከገቢ ድርሻ</t>
        </is>
      </c>
      <c r="C49" s="105">
        <f>IF(HH_INCOME&gt;0,LN_INSTAL_M/HH_INCOME,0)</f>
        <v>0</v>
      </c>
      <c r="G49" s="104" t="n">
        <v>8</v>
      </c>
      <c r="H49" s="103">
        <f>SUMIFS('27_Loan'!$E$65:$KF$65,'27_Loan'!$E$56:$KF$56,$G49)</f>
        <v>1551041.43429246</v>
      </c>
      <c r="I49" s="103">
        <f>SUMIFS('27_Loan'!$E$72:$KF$72,'27_Loan'!$E$56:$KF$56,$G49)+SUMIFS('27_Loan'!$E$74:$KF$74,'27_Loan'!$E$56:$KF$56,$G49)</f>
        <v>3295578.31627463</v>
      </c>
      <c r="J49" s="103">
        <f>SUMIFS('27_Loan'!$E$75:$KF$75,'27_Loan'!$E$55:$KF$55,12*$G49)</f>
        <v>8242640.79081838</v>
      </c>
    </row>
    <row r="50">
      <c r="B50" s="73" t="inlineStr">
        <is>
          <t>Affordability · የመክፈል አቅም</t>
        </is>
      </c>
      <c r="C50" s="108" t="str">
        <f>IF(HH_INCOME&lt;=0,"n/a",IF(AFFORD_PCT&lt;=AFFORD_MAX,"Affordable · ይቻላል",IF(AFFORD_PCT&lt;=AFFORD_MAX*1.25,"Stretch · ከባድ","Not affordable · አይቻልም")))</f>
        <v>n/a</v>
      </c>
      <c r="G50" s="104" t="n">
        <v>9</v>
      </c>
      <c r="H50" s="103">
        <f>SUMIFS('27_Loan'!$E$65:$KF$65,'27_Loan'!$E$56:$KF$56,$G50)</f>
        <v>1028196.56662176</v>
      </c>
      <c r="I50" s="103">
        <f>SUMIFS('27_Loan'!$E$72:$KF$72,'27_Loan'!$E$56:$KF$56,$G50)+SUMIFS('27_Loan'!$E$74:$KF$74,'27_Loan'!$E$56:$KF$56,$G50)</f>
        <v>3818423.18394534</v>
      </c>
      <c r="J50" s="103">
        <f>SUMIFS('27_Loan'!$E$75:$KF$75,'27_Loan'!$E$55:$KF$55,12*$G50)</f>
        <v>4424217.60687305</v>
      </c>
    </row>
    <row r="51">
      <c r="G51" s="104" t="n">
        <v>10</v>
      </c>
      <c r="H51" s="103">
        <f>SUMIFS('27_Loan'!$E$65:$KF$65,'27_Loan'!$E$56:$KF$56,$G51)</f>
        <v>422402.14369405</v>
      </c>
      <c r="I51" s="103">
        <f>SUMIFS('27_Loan'!$E$72:$KF$72,'27_Loan'!$E$56:$KF$56,$G51)+SUMIFS('27_Loan'!$E$74:$KF$74,'27_Loan'!$E$56:$KF$56,$G51)</f>
        <v>4424217.60687305</v>
      </c>
      <c r="J51" s="103">
        <f>SUMIFS('27_Loan'!$E$75:$KF$75,'27_Loan'!$E$55:$KF$55,12*$G51)</f>
        <v>0</v>
      </c>
    </row>
    <row r="52">
      <c r="B52" s="32" t="inlineStr">
        <is>
          <t>OPTIONAL: RENT OUT PART · ከፊሉን ማከራየት</t>
        </is>
      </c>
      <c r="G52" s="104" t="n">
        <v>11</v>
      </c>
      <c r="H52" s="103">
        <f>SUMIFS('27_Loan'!$E$65:$KF$65,'27_Loan'!$E$56:$KF$56,$G52)</f>
        <v>0</v>
      </c>
      <c r="I52" s="103">
        <f>SUMIFS('27_Loan'!$E$72:$KF$72,'27_Loan'!$E$56:$KF$56,$G52)+SUMIFS('27_Loan'!$E$74:$KF$74,'27_Loan'!$E$56:$KF$56,$G52)</f>
        <v>0</v>
      </c>
      <c r="J52" s="103">
        <f>SUMIFS('27_Loan'!$E$75:$KF$75,'27_Loan'!$E$55:$KF$55,12*$G52)</f>
        <v>0</v>
      </c>
    </row>
    <row r="53">
      <c r="B53" s="73" t="inlineStr">
        <is>
          <t>Switched on? (Inputs block 2)</t>
        </is>
      </c>
      <c r="C53" s="108" t="str">
        <f>IF(RENT_HOME_F=1,"Yes · አዎ","No · አይ")</f>
        <v>No · አይ</v>
      </c>
      <c r="G53" s="104" t="n">
        <v>12</v>
      </c>
      <c r="H53" s="103">
        <f>SUMIFS('27_Loan'!$E$65:$KF$65,'27_Loan'!$E$56:$KF$56,$G53)</f>
        <v>0</v>
      </c>
      <c r="I53" s="103">
        <f>SUMIFS('27_Loan'!$E$72:$KF$72,'27_Loan'!$E$56:$KF$56,$G53)+SUMIFS('27_Loan'!$E$74:$KF$74,'27_Loan'!$E$56:$KF$56,$G53)</f>
        <v>0</v>
      </c>
      <c r="J53" s="103">
        <f>SUMIFS('27_Loan'!$E$75:$KF$75,'27_Loan'!$E$55:$KF$55,12*$G53)</f>
        <v>0</v>
      </c>
    </row>
    <row r="54">
      <c r="B54" s="73" t="inlineStr">
        <is>
          <t>Rent income, first year · ኪራይ</t>
        </is>
      </c>
      <c r="C54" s="101">
        <f>IF(RENT_HOME_F=1,'24_Revenue'!$I$55,0)</f>
        <v>0</v>
      </c>
      <c r="G54" s="104" t="n">
        <v>13</v>
      </c>
      <c r="H54" s="103">
        <f>SUMIFS('27_Loan'!$E$65:$KF$65,'27_Loan'!$E$56:$KF$56,$G54)</f>
        <v>0</v>
      </c>
      <c r="I54" s="103">
        <f>SUMIFS('27_Loan'!$E$72:$KF$72,'27_Loan'!$E$56:$KF$56,$G54)+SUMIFS('27_Loan'!$E$74:$KF$74,'27_Loan'!$E$56:$KF$56,$G54)</f>
        <v>0</v>
      </c>
      <c r="J54" s="103">
        <f>SUMIFS('27_Loan'!$E$75:$KF$75,'27_Loan'!$E$55:$KF$55,12*$G54)</f>
        <v>0</v>
      </c>
    </row>
    <row r="55">
      <c r="B55" s="73" t="inlineStr">
        <is>
          <t>Gross yield on total cost · ገቢ ከወጪ</t>
        </is>
      </c>
      <c r="C55" s="105">
        <f>IF(AND(RENT_HOME_F=1,HOME_TOTAL&gt;0),'24_Revenue'!$K$55/HOME_TOTAL,0)</f>
        <v>0</v>
      </c>
      <c r="G55" s="104" t="n">
        <v>14</v>
      </c>
      <c r="H55" s="103">
        <f>SUMIFS('27_Loan'!$E$65:$KF$65,'27_Loan'!$E$56:$KF$56,$G55)</f>
        <v>0</v>
      </c>
      <c r="I55" s="103">
        <f>SUMIFS('27_Loan'!$E$72:$KF$72,'27_Loan'!$E$56:$KF$56,$G55)+SUMIFS('27_Loan'!$E$74:$KF$74,'27_Loan'!$E$56:$KF$56,$G55)</f>
        <v>0</v>
      </c>
      <c r="J55" s="103">
        <f>SUMIFS('27_Loan'!$E$75:$KF$75,'27_Loan'!$E$55:$KF$55,12*$G55)</f>
        <v>0</v>
      </c>
    </row>
    <row r="56">
      <c r="B56" s="73" t="inlineStr">
        <is>
          <t>Simple payback (years) · የመመለሻ ጊዜ</t>
        </is>
      </c>
      <c r="C56" s="109">
        <f>IF(AND(RENT_HOME_F=1,'24_Revenue'!$K$55&gt;0),HOME_TOTAL/'24_Revenue'!$K$55,0)</f>
        <v>0</v>
      </c>
      <c r="G56" s="104" t="n">
        <v>15</v>
      </c>
      <c r="H56" s="103">
        <f>SUMIFS('27_Loan'!$E$65:$KF$65,'27_Loan'!$E$56:$KF$56,$G56)</f>
        <v>0</v>
      </c>
      <c r="I56" s="103">
        <f>SUMIFS('27_Loan'!$E$72:$KF$72,'27_Loan'!$E$56:$KF$56,$G56)+SUMIFS('27_Loan'!$E$74:$KF$74,'27_Loan'!$E$56:$KF$56,$G56)</f>
        <v>0</v>
      </c>
      <c r="J56" s="103">
        <f>SUMIFS('27_Loan'!$E$75:$KF$75,'27_Loan'!$E$55:$KF$55,12*$G56)</f>
        <v>0</v>
      </c>
    </row>
    <row r="57">
      <c r="B57" s="73" t="inlineStr">
        <is>
          <t>Rent ÷ monthly instalment · የሚሸፍነው</t>
        </is>
      </c>
      <c r="C57" s="105">
        <f>IF(AND(RENT_HOME_F=1,LN_INSTAL_M&gt;0),'24_Revenue'!$I$55/12/LN_INSTAL_M,0)</f>
        <v>0</v>
      </c>
      <c r="G57" s="104" t="n">
        <v>16</v>
      </c>
      <c r="H57" s="103">
        <f>SUMIFS('27_Loan'!$E$65:$KF$65,'27_Loan'!$E$56:$KF$56,$G57)</f>
        <v>0</v>
      </c>
      <c r="I57" s="103">
        <f>SUMIFS('27_Loan'!$E$72:$KF$72,'27_Loan'!$E$56:$KF$56,$G57)+SUMIFS('27_Loan'!$E$74:$KF$74,'27_Loan'!$E$56:$KF$56,$G57)</f>
        <v>0</v>
      </c>
      <c r="J57" s="103">
        <f>SUMIFS('27_Loan'!$E$75:$KF$75,'27_Loan'!$E$55:$KF$55,12*$G57)</f>
        <v>0</v>
      </c>
    </row>
    <row r="58">
      <c r="G58" s="104" t="n">
        <v>17</v>
      </c>
      <c r="H58" s="103">
        <f>SUMIFS('27_Loan'!$E$65:$KF$65,'27_Loan'!$E$56:$KF$56,$G58)</f>
        <v>0</v>
      </c>
      <c r="I58" s="103">
        <f>SUMIFS('27_Loan'!$E$72:$KF$72,'27_Loan'!$E$56:$KF$56,$G58)+SUMIFS('27_Loan'!$E$74:$KF$74,'27_Loan'!$E$56:$KF$56,$G58)</f>
        <v>0</v>
      </c>
      <c r="J58" s="103">
        <f>SUMIFS('27_Loan'!$E$75:$KF$75,'27_Loan'!$E$55:$KF$55,12*$G58)</f>
        <v>0</v>
      </c>
    </row>
    <row r="59">
      <c r="G59" s="104" t="n">
        <v>18</v>
      </c>
      <c r="H59" s="103">
        <f>SUMIFS('27_Loan'!$E$65:$KF$65,'27_Loan'!$E$56:$KF$56,$G59)</f>
        <v>0</v>
      </c>
      <c r="I59" s="103">
        <f>SUMIFS('27_Loan'!$E$72:$KF$72,'27_Loan'!$E$56:$KF$56,$G59)+SUMIFS('27_Loan'!$E$74:$KF$74,'27_Loan'!$E$56:$KF$56,$G59)</f>
        <v>0</v>
      </c>
      <c r="J59" s="103">
        <f>SUMIFS('27_Loan'!$E$75:$KF$75,'27_Loan'!$E$55:$KF$55,12*$G59)</f>
        <v>0</v>
      </c>
    </row>
    <row r="60">
      <c r="G60" s="104" t="n">
        <v>19</v>
      </c>
      <c r="H60" s="103">
        <f>SUMIFS('27_Loan'!$E$65:$KF$65,'27_Loan'!$E$56:$KF$56,$G60)</f>
        <v>0</v>
      </c>
      <c r="I60" s="103">
        <f>SUMIFS('27_Loan'!$E$72:$KF$72,'27_Loan'!$E$56:$KF$56,$G60)+SUMIFS('27_Loan'!$E$74:$KF$74,'27_Loan'!$E$56:$KF$56,$G60)</f>
        <v>0</v>
      </c>
      <c r="J60" s="103">
        <f>SUMIFS('27_Loan'!$E$75:$KF$75,'27_Loan'!$E$55:$KF$55,12*$G60)</f>
        <v>0</v>
      </c>
    </row>
    <row r="61">
      <c r="G61" s="104" t="n">
        <v>20</v>
      </c>
      <c r="H61" s="103">
        <f>SUMIFS('27_Loan'!$E$65:$KF$65,'27_Loan'!$E$56:$KF$56,$G61)</f>
        <v>0</v>
      </c>
      <c r="I61" s="103">
        <f>SUMIFS('27_Loan'!$E$72:$KF$72,'27_Loan'!$E$56:$KF$56,$G61)+SUMIFS('27_Loan'!$E$74:$KF$74,'27_Loan'!$E$56:$KF$56,$G61)</f>
        <v>0</v>
      </c>
      <c r="J61" s="103">
        <f>SUMIFS('27_Loan'!$E$75:$KF$75,'27_Loan'!$E$55:$KF$55,12*$G61)</f>
        <v>0</v>
      </c>
    </row>
    <row r="63">
      <c r="B63" s="8" t="inlineStr">
        <is>
          <t>Planning estimate only – get a priced BOQ from a licensed quantity surveyor before signing a contract.</t>
        </is>
      </c>
    </row>
    <row r="64">
      <c r="B64" s="42" t="inlineStr">
        <is>
          <t>ይህ ግምት ብቻ ነው፤ ውል ከመፈረምዎ በፊት ፈቃድ ካለው ባለሙያ የተዘጋጀ የሥራ መጠን ዝርዝር (BOQ) ያግኙ።</t>
        </is>
      </c>
    </row>
  </sheetData>
  <mergeCells count="25">
    <mergeCell ref="C54:E54"/>
    <mergeCell ref="C50:E50"/>
    <mergeCell ref="C44:E44"/>
    <mergeCell ref="C41:E41"/>
    <mergeCell ref="C55:E55"/>
    <mergeCell ref="G11:H11"/>
    <mergeCell ref="C40:E40"/>
    <mergeCell ref="I11:J11"/>
    <mergeCell ref="C56:E56"/>
    <mergeCell ref="C43:E43"/>
    <mergeCell ref="C46:E46"/>
    <mergeCell ref="C11:E11"/>
    <mergeCell ref="G10:H10"/>
    <mergeCell ref="C48:E48"/>
    <mergeCell ref="G13:H13"/>
    <mergeCell ref="C13:E13"/>
    <mergeCell ref="C57:E57"/>
    <mergeCell ref="C53:E53"/>
    <mergeCell ref="C49:E49"/>
    <mergeCell ref="C42:E42"/>
    <mergeCell ref="C10:E10"/>
    <mergeCell ref="I10:J10"/>
    <mergeCell ref="C45:E45"/>
    <mergeCell ref="I13:J13"/>
    <mergeCell ref="C47:E47"/>
  </mergeCells>
  <conditionalFormatting sqref="C50:E50">
    <cfRule type="expression" priority="1" dxfId="1">
      <formula>AND(HH_INCOME&gt;0,AFFORD_PCT&lt;=AFFORD_MAX)</formula>
    </cfRule>
    <cfRule type="expression" priority="2" dxfId="0">
      <formula>AND(HH_INCOME&gt;0,AFFORD_PCT&gt;AFFORD_MAX)</formula>
    </cfRule>
  </conditionalFormatting>
  <conditionalFormatting sqref="C43:E43">
    <cfRule type="expression" priority="3" dxfId="0">
      <formula>FUND_GAP&gt;0.5</formula>
    </cfRule>
  </conditionalFormatting>
  <printOptions horizontalCentered="1"/>
  <pageMargins left="0.4" right="0.4" top="0.6" bottom="0.6" header="0.5" footer="0.5"/>
  <pageSetup orientation="portrait" paperSize="9" fitToHeight="1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253"/>
  <sheetViews>
    <sheetView showGridLines="0" tabSelected="0" workbookViewId="0">
      <pane ySplit="5" topLeftCell="A6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" customWidth="1" min="1" max="1"/>
    <col width="52" customWidth="1" min="2" max="2"/>
    <col width="30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50" customWidth="1" min="10" max="10"/>
  </cols>
  <sheetData>
    <row r="1" ht="30" customHeight="1">
      <c r="A1" s="1" t="n"/>
      <c r="B1" s="2" t="inlineStr">
        <is>
          <t>10 · Inputs – all assumptions</t>
        </is>
      </c>
      <c r="C1" s="1" t="n"/>
      <c r="D1" s="1" t="n"/>
      <c r="E1" s="1" t="n"/>
      <c r="F1" s="1" t="n"/>
      <c r="G1" s="1" t="n"/>
      <c r="H1" s="1" t="n"/>
      <c r="I1" s="1" t="n"/>
      <c r="J1" s="3" t="str">
        <f>HYPERLINK("#'00_Start'!A1","◂ Start")</f>
        <v>◂ Start</v>
      </c>
    </row>
    <row r="2" ht="20" customHeight="1">
      <c r="A2" s="1" t="n"/>
      <c r="B2" s="4" t="inlineStr">
        <is>
          <t>ግብዓቶች – ሁሉም ግምቶች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6" ht="30" customHeight="1">
      <c r="B6" s="110" t="inlineStr">
        <is>
          <t>Input</t>
        </is>
      </c>
      <c r="C6" s="110" t="inlineStr">
        <is>
          <t>ግብዓት</t>
        </is>
      </c>
      <c r="D6" s="110" t="inlineStr">
        <is>
          <t>Unit</t>
        </is>
      </c>
      <c r="E6" s="111" t="inlineStr">
        <is>
          <t>MY PROJECT
(your values)</t>
        </is>
      </c>
      <c r="F6" s="112" t="inlineStr">
        <is>
          <t>SAMPLE A
G+1 house</t>
        </is>
      </c>
      <c r="G6" s="112" t="inlineStr">
        <is>
          <t>SAMPLE B
B+G+8 mixed</t>
        </is>
      </c>
      <c r="H6" s="112" t="inlineStr">
        <is>
          <t>ACTIVE
(used by model)</t>
        </is>
      </c>
      <c r="I6" s="110" t="inlineStr">
        <is>
          <t>Range name</t>
        </is>
      </c>
      <c r="J6" s="110" t="inlineStr">
        <is>
          <t>Notes / source</t>
        </is>
      </c>
    </row>
    <row r="7">
      <c r="B7" s="8" t="inlineStr">
        <is>
          <t>Blue cells on amber are inputs. Column H picks the data set chosen on the Start sheet (1 = My project, 2 = Sample A, 3 = Sample B). Sample columns are examples – "Sample value — not market advice".</t>
        </is>
      </c>
    </row>
    <row r="9" ht="20" customHeight="1">
      <c r="B9" s="113" t="inlineStr">
        <is>
          <t>1. Project</t>
        </is>
      </c>
      <c r="C9" s="114" t="inlineStr">
        <is>
          <t>1. ፕሮጀክት</t>
        </is>
      </c>
      <c r="D9" s="115" t="n"/>
      <c r="E9" s="115" t="n"/>
      <c r="F9" s="115" t="n"/>
      <c r="G9" s="115" t="n"/>
      <c r="H9" s="115" t="n"/>
      <c r="I9" s="115" t="n"/>
      <c r="J9" s="115" t="n"/>
    </row>
    <row r="10">
      <c r="B10" s="36" t="inlineStr">
        <is>
          <t>Project name</t>
        </is>
      </c>
      <c r="C10" s="116" t="inlineStr">
        <is>
          <t>የፕሮጀክት ስም</t>
        </is>
      </c>
      <c r="D10" s="117" t="inlineStr">
        <is>
          <t>text</t>
        </is>
      </c>
      <c r="E10" s="118" t="inlineStr">
        <is>
          <t>My project</t>
        </is>
      </c>
      <c r="F10" s="118" t="inlineStr">
        <is>
          <t>SAMPLE A — G+1 family house, Addis Ababa</t>
        </is>
      </c>
      <c r="G10" s="118" t="inlineStr">
        <is>
          <t>SAMPLE B — B+G+8 mixed-use building, Addis Ababa</t>
        </is>
      </c>
      <c r="H10" s="119" t="str">
        <f>CHOOSE(DATA_SET,E10,F10,G10)</f>
        <v>SAMPLE B — B+G+8 mixed-use building, Addis Ababa</v>
      </c>
      <c r="I10" s="18" t="inlineStr">
        <is>
          <t>PROJ_NAME</t>
        </is>
      </c>
      <c r="J10" s="8" t="inlineStr">
        <is>
          <t>Shown in every sheet header</t>
        </is>
      </c>
    </row>
    <row r="11">
      <c r="B11" s="36" t="inlineStr">
        <is>
          <t>Location (sub-city / town)</t>
        </is>
      </c>
      <c r="C11" s="116" t="inlineStr">
        <is>
          <t>አካባቢ (ክ/ከተማ / ከተማ)</t>
        </is>
      </c>
      <c r="D11" s="117" t="inlineStr">
        <is>
          <t>text</t>
        </is>
      </c>
      <c r="E11" s="118" t="inlineStr"/>
      <c r="F11" s="118" t="inlineStr">
        <is>
          <t>Addis Ababa – Bole sub-city</t>
        </is>
      </c>
      <c r="G11" s="118" t="inlineStr">
        <is>
          <t>Addis Ababa – Kirkos sub-city</t>
        </is>
      </c>
      <c r="H11" s="119" t="str">
        <f>CHOOSE(DATA_SET,E11,F11,G11)</f>
        <v>Addis Ababa – Kirkos sub-city</v>
      </c>
      <c r="I11" s="18" t="inlineStr">
        <is>
          <t>LOCATION</t>
        </is>
      </c>
      <c r="J11" s="8" t="inlineStr">
        <is>
          <t>Free text</t>
        </is>
      </c>
    </row>
    <row r="12">
      <c r="B12" s="36" t="inlineStr">
        <is>
          <t>Location class for cost factor</t>
        </is>
      </c>
      <c r="C12" s="116" t="inlineStr">
        <is>
          <t>የቦታ ዓይነት (ለወጪ ማስተካከያ)</t>
        </is>
      </c>
      <c r="D12" s="117" t="inlineStr">
        <is>
          <t>list</t>
        </is>
      </c>
      <c r="E12" s="120" t="inlineStr">
        <is>
          <t>Addis Ababa</t>
        </is>
      </c>
      <c r="F12" s="120" t="inlineStr">
        <is>
          <t>Addis Ababa</t>
        </is>
      </c>
      <c r="G12" s="120" t="inlineStr">
        <is>
          <t>Addis Ababa</t>
        </is>
      </c>
      <c r="H12" s="121">
        <f>IFERROR(MATCH(CHOOSE(DATA_SET,E12,F12,G12),L_LOC,0),1)</f>
        <v>1</v>
      </c>
      <c r="I12" s="18" t="inlineStr">
        <is>
          <t>LOC_TYPE</t>
        </is>
      </c>
      <c r="J12" s="8" t="inlineStr">
        <is>
          <t>Regional towns use the regional location factor</t>
        </is>
      </c>
    </row>
    <row r="13">
      <c r="B13" s="36" t="inlineStr">
        <is>
          <t>Plot area</t>
        </is>
      </c>
      <c r="C13" s="116" t="inlineStr">
        <is>
          <t>የቦታ ስፋት</t>
        </is>
      </c>
      <c r="D13" s="117" t="inlineStr">
        <is>
          <t>m²</t>
        </is>
      </c>
      <c r="E13" s="122" t="n">
        <v>0</v>
      </c>
      <c r="F13" s="122" t="n">
        <v>300</v>
      </c>
      <c r="G13" s="122" t="n">
        <v>1000</v>
      </c>
      <c r="H13" s="123">
        <f>CHOOSE(DATA_SET,E13,F13,G13)</f>
        <v>1000</v>
      </c>
      <c r="I13" s="18" t="inlineStr">
        <is>
          <t>PLOT_AREA</t>
        </is>
      </c>
      <c r="J13" s="8" t="inlineStr">
        <is>
          <t>From title deed / lease contract</t>
        </is>
      </c>
    </row>
    <row r="14">
      <c r="B14" s="36" t="inlineStr">
        <is>
          <t>Max floor-area ratio (FAR) permitted</t>
        </is>
      </c>
      <c r="C14" s="116" t="inlineStr">
        <is>
          <t>የተፈቀደ የወለል ስፋት ጥምርታ</t>
        </is>
      </c>
      <c r="D14" s="117" t="inlineStr">
        <is>
          <t>x</t>
        </is>
      </c>
      <c r="E14" s="124" t="n">
        <v>0</v>
      </c>
      <c r="F14" s="124" t="n">
        <v>1.5</v>
      </c>
      <c r="G14" s="124" t="n">
        <v>8</v>
      </c>
      <c r="H14" s="125">
        <f>CHOOSE(DATA_SET,E14,F14,G14)</f>
        <v>8</v>
      </c>
      <c r="I14" s="18" t="inlineStr">
        <is>
          <t>FAR</t>
        </is>
      </c>
      <c r="J14" s="8" t="inlineStr">
        <is>
          <t>From the city master plan / building permit; 0 = not checked</t>
        </is>
      </c>
    </row>
    <row r="15">
      <c r="B15" s="36" t="inlineStr">
        <is>
          <t>Construction start date</t>
        </is>
      </c>
      <c r="C15" s="116" t="inlineStr">
        <is>
          <t>የግንባታ መጀመሪያ ቀን</t>
        </is>
      </c>
      <c r="D15" s="117" t="inlineStr">
        <is>
          <t>date</t>
        </is>
      </c>
      <c r="E15" s="126" t="n">
        <v>46388</v>
      </c>
      <c r="F15" s="126" t="n">
        <v>46388</v>
      </c>
      <c r="G15" s="126" t="n">
        <v>46388</v>
      </c>
      <c r="H15" s="127">
        <f>CHOOSE(DATA_SET,E15,F15,G15)</f>
        <v>46388.0</v>
      </c>
      <c r="I15" s="18" t="inlineStr">
        <is>
          <t>START_DATE</t>
        </is>
      </c>
      <c r="J15" s="8" t="inlineStr">
        <is>
          <t>First month of construction (budget date for prices)</t>
        </is>
      </c>
    </row>
    <row r="16">
      <c r="B16" s="36" t="inlineStr">
        <is>
          <t>Construction period</t>
        </is>
      </c>
      <c r="C16" s="116" t="inlineStr">
        <is>
          <t>የግንባታ ጊዜ</t>
        </is>
      </c>
      <c r="D16" s="117" t="inlineStr">
        <is>
          <t>months</t>
        </is>
      </c>
      <c r="E16" s="128" t="n">
        <v>12</v>
      </c>
      <c r="F16" s="128" t="n">
        <v>14</v>
      </c>
      <c r="G16" s="128" t="n">
        <v>30</v>
      </c>
      <c r="H16" s="121">
        <f>CHOOSE(DATA_SET,E16,F16,G16)</f>
        <v>30</v>
      </c>
      <c r="I16" s="18" t="inlineStr">
        <is>
          <t>CONSTR_M</t>
        </is>
      </c>
      <c r="J16" s="8" t="inlineStr">
        <is>
          <t>1–48 months; scenario delay months are added</t>
        </is>
      </c>
    </row>
    <row r="17">
      <c r="B17" s="36" t="inlineStr">
        <is>
          <t>Memo: ETB per USD</t>
        </is>
      </c>
      <c r="C17" s="116" t="inlineStr">
        <is>
          <t>ብር በአንድ ዶላር (ማስታወሻ)</t>
        </is>
      </c>
      <c r="D17" s="117" t="inlineStr">
        <is>
          <t>ETB/USD</t>
        </is>
      </c>
      <c r="E17" s="129" t="n">
        <v>155</v>
      </c>
      <c r="F17" s="129" t="n">
        <v>155</v>
      </c>
      <c r="G17" s="129" t="n">
        <v>155</v>
      </c>
      <c r="H17" s="130">
        <f>CHOOSE(DATA_SET,E17,F17,G17)</f>
        <v>155</v>
      </c>
      <c r="I17" s="18" t="inlineStr">
        <is>
          <t>FX_USD</t>
        </is>
      </c>
      <c r="J17" s="8" t="inlineStr">
        <is>
          <t>Memo only – the model runs in ETB. Verify current NBE rate</t>
        </is>
      </c>
    </row>
    <row r="18" ht="20" customHeight="1">
      <c r="B18" s="113" t="inlineStr">
        <is>
          <t>2. Home estimate card (Mode 0)</t>
        </is>
      </c>
      <c r="C18" s="114" t="inlineStr">
        <is>
          <t>2. የቤት ወጪ ግምት መረጃ (ዓይነት 0)</t>
        </is>
      </c>
      <c r="D18" s="115" t="n"/>
      <c r="E18" s="115" t="n"/>
      <c r="F18" s="115" t="n"/>
      <c r="G18" s="115" t="n"/>
      <c r="H18" s="115" t="n"/>
      <c r="I18" s="115" t="n"/>
      <c r="J18" s="115" t="n"/>
    </row>
    <row r="19">
      <c r="B19" s="36" t="inlineStr">
        <is>
          <t>Building type</t>
        </is>
      </c>
      <c r="C19" s="116" t="inlineStr">
        <is>
          <t>የሕንፃው ዓይነት</t>
        </is>
      </c>
      <c r="D19" s="117" t="inlineStr">
        <is>
          <t>list</t>
        </is>
      </c>
      <c r="E19" s="120" t="inlineStr">
        <is>
          <t>G+1</t>
        </is>
      </c>
      <c r="F19" s="120" t="inlineStr">
        <is>
          <t>G+1</t>
        </is>
      </c>
      <c r="G19" s="120" t="inlineStr">
        <is>
          <t>Other / commercial</t>
        </is>
      </c>
      <c r="H19" s="121">
        <f>IFERROR(MATCH(CHOOSE(DATA_SET,E19,F19,G19),L_BTYPE,0),1)</f>
        <v>5</v>
      </c>
      <c r="I19" s="18" t="inlineStr">
        <is>
          <t>BLDG_TYPE</t>
        </is>
      </c>
      <c r="J19" s="8" t="inlineStr">
        <is>
          <t>Checked against the floors entered in block 3</t>
        </is>
      </c>
    </row>
    <row r="20">
      <c r="B20" s="36" t="inlineStr">
        <is>
          <t>Basement?</t>
        </is>
      </c>
      <c r="C20" s="116" t="inlineStr">
        <is>
          <t>ምድር ቤት አለው?</t>
        </is>
      </c>
      <c r="D20" s="117" t="inlineStr">
        <is>
          <t>Y/N</t>
        </is>
      </c>
      <c r="E20" s="120" t="inlineStr">
        <is>
          <t>No</t>
        </is>
      </c>
      <c r="F20" s="120" t="inlineStr">
        <is>
          <t>No</t>
        </is>
      </c>
      <c r="G20" s="120" t="inlineStr">
        <is>
          <t>Yes</t>
        </is>
      </c>
      <c r="H20" s="121">
        <f>IF(CHOOSE(DATA_SET,E20,F20,G20)="Yes",1,0)</f>
        <v>1</v>
      </c>
      <c r="I20" s="18" t="inlineStr">
        <is>
          <t>BASEMENT_YN</t>
        </is>
      </c>
      <c r="J20" s="8" t="inlineStr">
        <is>
          <t>Checked against block 3</t>
        </is>
      </c>
    </row>
    <row r="21">
      <c r="B21" s="36" t="inlineStr">
        <is>
          <t>Finish level</t>
        </is>
      </c>
      <c r="C21" s="116" t="inlineStr">
        <is>
          <t>የማጠናቀቂያ ደረጃ</t>
        </is>
      </c>
      <c r="D21" s="117" t="inlineStr">
        <is>
          <t>list</t>
        </is>
      </c>
      <c r="E21" s="120" t="inlineStr">
        <is>
          <t>Standard</t>
        </is>
      </c>
      <c r="F21" s="120" t="inlineStr">
        <is>
          <t>Standard</t>
        </is>
      </c>
      <c r="G21" s="120" t="inlineStr">
        <is>
          <t>Standard</t>
        </is>
      </c>
      <c r="H21" s="121">
        <f>IFERROR(MATCH(CHOOSE(DATA_SET,E21,F21,G21),L_FINISH,0),1)</f>
        <v>2</v>
      </c>
      <c r="I21" s="18" t="inlineStr">
        <is>
          <t>FINISH</t>
        </is>
      </c>
      <c r="J21" s="8" t="inlineStr">
        <is>
          <t>Selects the column of the cost library (block 4)</t>
        </is>
      </c>
    </row>
    <row r="22">
      <c r="B22" s="36" t="inlineStr">
        <is>
          <t>Household monthly income (for affordability)</t>
        </is>
      </c>
      <c r="C22" s="116" t="inlineStr">
        <is>
          <t>የቤተሰብ ወርሃዊ ገቢ</t>
        </is>
      </c>
      <c r="D22" s="117" t="inlineStr">
        <is>
          <t>ETB/month</t>
        </is>
      </c>
      <c r="E22" s="122" t="n">
        <v>0</v>
      </c>
      <c r="F22" s="122" t="n">
        <v>300000</v>
      </c>
      <c r="G22" s="122" t="n">
        <v>0</v>
      </c>
      <c r="H22" s="123">
        <f>CHOOSE(DATA_SET,E22,F22,G22)</f>
        <v>0</v>
      </c>
      <c r="I22" s="18" t="inlineStr">
        <is>
          <t>HH_INCOME</t>
        </is>
      </c>
      <c r="J22" s="8" t="inlineStr">
        <is>
          <t>Net income of all earners</t>
        </is>
      </c>
    </row>
    <row r="23">
      <c r="B23" s="36" t="inlineStr">
        <is>
          <t>Max instalment as % of income</t>
        </is>
      </c>
      <c r="C23" s="116" t="inlineStr">
        <is>
          <t>ከገቢ ከፍተኛ የክፍያ ድርሻ</t>
        </is>
      </c>
      <c r="D23" s="117" t="inlineStr">
        <is>
          <t>%</t>
        </is>
      </c>
      <c r="E23" s="131" t="n">
        <v>0.35</v>
      </c>
      <c r="F23" s="131" t="n">
        <v>0.35</v>
      </c>
      <c r="G23" s="131" t="n">
        <v>0.35</v>
      </c>
      <c r="H23" s="132">
        <f>CHOOSE(DATA_SET,E23,F23,G23)</f>
        <v>0.35</v>
      </c>
      <c r="I23" s="18" t="inlineStr">
        <is>
          <t>AFFORD_MAX</t>
        </is>
      </c>
      <c r="J23" s="8" t="inlineStr">
        <is>
          <t>Typical bank rule of thumb 30–40%</t>
        </is>
      </c>
    </row>
    <row r="24">
      <c r="B24" s="36" t="inlineStr">
        <is>
          <t>Estimate range – low side</t>
        </is>
      </c>
      <c r="C24" s="116" t="inlineStr">
        <is>
          <t>የግምት ዝቅተኛ ወሰን</t>
        </is>
      </c>
      <c r="D24" s="117" t="inlineStr">
        <is>
          <t>%</t>
        </is>
      </c>
      <c r="E24" s="131" t="n">
        <v>-0.1</v>
      </c>
      <c r="F24" s="131" t="n">
        <v>-0.1</v>
      </c>
      <c r="G24" s="131" t="n">
        <v>-0.1</v>
      </c>
      <c r="H24" s="132">
        <f>CHOOSE(DATA_SET,E24,F24,G24)</f>
        <v>-0.1</v>
      </c>
      <c r="I24" s="18" t="inlineStr">
        <is>
          <t>EST_LOW</t>
        </is>
      </c>
      <c r="J24" s="8" t="inlineStr">
        <is>
          <t>Applied to construction cost for the low estimate</t>
        </is>
      </c>
    </row>
    <row r="25">
      <c r="B25" s="36" t="inlineStr">
        <is>
          <t>Estimate range – high side</t>
        </is>
      </c>
      <c r="C25" s="116" t="inlineStr">
        <is>
          <t>የግምት ከፍተኛ ወሰን</t>
        </is>
      </c>
      <c r="D25" s="117" t="inlineStr">
        <is>
          <t>%</t>
        </is>
      </c>
      <c r="E25" s="131" t="n">
        <v>0.15</v>
      </c>
      <c r="F25" s="131" t="n">
        <v>0.15</v>
      </c>
      <c r="G25" s="131" t="n">
        <v>0.15</v>
      </c>
      <c r="H25" s="132">
        <f>CHOOSE(DATA_SET,E25,F25,G25)</f>
        <v>0.15</v>
      </c>
      <c r="I25" s="18" t="inlineStr">
        <is>
          <t>EST_HIGH</t>
        </is>
      </c>
      <c r="J25" s="8" t="inlineStr">
        <is>
          <t>Applied to construction cost for the high estimate</t>
        </is>
      </c>
    </row>
    <row r="26">
      <c r="B26" s="36" t="inlineStr">
        <is>
          <t>Own savings available</t>
        </is>
      </c>
      <c r="C26" s="116" t="inlineStr">
        <is>
          <t>የራስ ቁጠባ</t>
        </is>
      </c>
      <c r="D26" s="117" t="inlineStr">
        <is>
          <t>ETB</t>
        </is>
      </c>
      <c r="E26" s="122" t="n">
        <v>0</v>
      </c>
      <c r="F26" s="122" t="n">
        <v>5000000</v>
      </c>
      <c r="G26" s="122" t="n">
        <v>0</v>
      </c>
      <c r="H26" s="123">
        <f>CHOOSE(DATA_SET,E26,F26,G26)</f>
        <v>0</v>
      </c>
      <c r="I26" s="18" t="inlineStr">
        <is>
          <t>SAVINGS</t>
        </is>
      </c>
      <c r="J26" s="8" t="inlineStr">
        <is>
          <t>Mode 0 funding, drawn first</t>
        </is>
      </c>
    </row>
    <row r="27">
      <c r="B27" s="36" t="inlineStr">
        <is>
          <t>Family / diaspora contributions</t>
        </is>
      </c>
      <c r="C27" s="116" t="inlineStr">
        <is>
          <t>የቤተሰብ / ዳያስፖራ መዋጮ</t>
        </is>
      </c>
      <c r="D27" s="117" t="inlineStr">
        <is>
          <t>ETB</t>
        </is>
      </c>
      <c r="E27" s="122" t="n">
        <v>0</v>
      </c>
      <c r="F27" s="122" t="n">
        <v>2500000</v>
      </c>
      <c r="G27" s="122" t="n">
        <v>0</v>
      </c>
      <c r="H27" s="123">
        <f>CHOOSE(DATA_SET,E27,F27,G27)</f>
        <v>0</v>
      </c>
      <c r="I27" s="18" t="inlineStr">
        <is>
          <t>FAMILY</t>
        </is>
      </c>
      <c r="J27" s="8" t="inlineStr">
        <is>
          <t>Mode 0 funding, drawn after savings</t>
        </is>
      </c>
    </row>
    <row r="28">
      <c r="B28" s="36" t="inlineStr">
        <is>
          <t>Home loan amount (maximum)</t>
        </is>
      </c>
      <c r="C28" s="116" t="inlineStr">
        <is>
          <t>የቤት ብድር መጠን</t>
        </is>
      </c>
      <c r="D28" s="117" t="inlineStr">
        <is>
          <t>ETB</t>
        </is>
      </c>
      <c r="E28" s="122" t="n">
        <v>0</v>
      </c>
      <c r="F28" s="122" t="n">
        <v>7000000</v>
      </c>
      <c r="G28" s="122" t="n">
        <v>0</v>
      </c>
      <c r="H28" s="123">
        <f>CHOOSE(DATA_SET,E28,F28,G28)</f>
        <v>0</v>
      </c>
      <c r="I28" s="18" t="inlineStr">
        <is>
          <t>HOME_LOAN</t>
        </is>
      </c>
      <c r="J28" s="8" t="inlineStr">
        <is>
          <t>Mode 0: bank home-loan limit. Uses the loan terms in block 9</t>
        </is>
      </c>
    </row>
    <row r="29">
      <c r="B29" s="36" t="inlineStr">
        <is>
          <t>I may rent out part of the house</t>
        </is>
      </c>
      <c r="C29" s="116" t="inlineStr">
        <is>
          <t>የቤቱን ከፊል ለማከራየት እችላለሁ</t>
        </is>
      </c>
      <c r="D29" s="117" t="inlineStr">
        <is>
          <t>Y/N</t>
        </is>
      </c>
      <c r="E29" s="120" t="inlineStr">
        <is>
          <t>No</t>
        </is>
      </c>
      <c r="F29" s="120" t="inlineStr">
        <is>
          <t>No</t>
        </is>
      </c>
      <c r="G29" s="120" t="inlineStr">
        <is>
          <t>No</t>
        </is>
      </c>
      <c r="H29" s="121">
        <f>IF(CHOOSE(DATA_SET,E29,F29,G29)="Yes",1,0)</f>
        <v>0</v>
      </c>
      <c r="I29" s="18" t="inlineStr">
        <is>
          <t>RENT_HOME_F</t>
        </is>
      </c>
      <c r="J29" s="8" t="inlineStr">
        <is>
          <t>Upgrade path inside Mode 0: adds rent, payback and yield</t>
        </is>
      </c>
    </row>
    <row r="30">
      <c r="B30" s="36" t="inlineStr">
        <is>
          <t>Area rented out</t>
        </is>
      </c>
      <c r="C30" s="116" t="inlineStr">
        <is>
          <t>የሚከራየው ስፋት</t>
        </is>
      </c>
      <c r="D30" s="117" t="inlineStr">
        <is>
          <t>m²</t>
        </is>
      </c>
      <c r="E30" s="122" t="n">
        <v>0</v>
      </c>
      <c r="F30" s="122" t="n">
        <v>60</v>
      </c>
      <c r="G30" s="122" t="n">
        <v>0</v>
      </c>
      <c r="H30" s="123">
        <f>CHOOSE(DATA_SET,E30,F30,G30)</f>
        <v>0</v>
      </c>
      <c r="I30" s="18" t="inlineStr">
        <is>
          <t>RENT_HOME_AREA</t>
        </is>
      </c>
      <c r="J30" s="8" t="inlineStr">
        <is>
          <t>e.g. ground-floor unit or service quarter</t>
        </is>
      </c>
    </row>
    <row r="31">
      <c r="B31" s="36" t="inlineStr">
        <is>
          <t>Expected rent for that part (today's prices)</t>
        </is>
      </c>
      <c r="C31" s="116" t="inlineStr">
        <is>
          <t>የሚጠበቅ ወርሃዊ ኪራይ</t>
        </is>
      </c>
      <c r="D31" s="117" t="inlineStr">
        <is>
          <t>ETB/month</t>
        </is>
      </c>
      <c r="E31" s="122" t="n">
        <v>0</v>
      </c>
      <c r="F31" s="122" t="n">
        <v>25000</v>
      </c>
      <c r="G31" s="122" t="n">
        <v>0</v>
      </c>
      <c r="H31" s="123">
        <f>CHOOSE(DATA_SET,E31,F31,G31)</f>
        <v>0</v>
      </c>
      <c r="I31" s="18" t="inlineStr">
        <is>
          <t>RENT_HOME_MONTHLY</t>
        </is>
      </c>
      <c r="J31" s="8" t="inlineStr">
        <is>
          <t>Escalated with rent escalation (block 7)</t>
        </is>
      </c>
    </row>
    <row r="32" ht="20" customHeight="1">
      <c r="B32" s="113" t="inlineStr">
        <is>
          <t>3. Area programme – gross floor area by floor</t>
        </is>
      </c>
      <c r="C32" s="114" t="inlineStr">
        <is>
          <t>3. የወለል ስፋት በፎቅ</t>
        </is>
      </c>
      <c r="D32" s="115" t="n"/>
      <c r="E32" s="115" t="n"/>
      <c r="F32" s="115" t="n"/>
      <c r="G32" s="115" t="n"/>
      <c r="H32" s="115" t="n"/>
      <c r="I32" s="115" t="n"/>
      <c r="J32" s="115" t="n"/>
    </row>
    <row r="33">
      <c r="B33" s="36" t="inlineStr">
        <is>
          <t>Basement 2 – gross area</t>
        </is>
      </c>
      <c r="C33" s="116" t="inlineStr">
        <is>
          <t>ምድር ቤት 2 – ጠቅላላ ስፋት</t>
        </is>
      </c>
      <c r="D33" s="117" t="inlineStr">
        <is>
          <t>m²</t>
        </is>
      </c>
      <c r="E33" s="122" t="n">
        <v>0</v>
      </c>
      <c r="F33" s="122" t="n">
        <v>0</v>
      </c>
      <c r="G33" s="122" t="n">
        <v>0</v>
      </c>
      <c r="H33" s="123">
        <f>CHOOSE(DATA_SET,E33,F33,G33)</f>
        <v>0</v>
      </c>
      <c r="I33" s="18" t="inlineStr">
        <is>
          <t>FL_A1</t>
        </is>
      </c>
      <c r="J33" s="8" t="inlineStr">
        <is>
          <t>Gross floor area incl. walls &amp; common areas</t>
        </is>
      </c>
    </row>
    <row r="34">
      <c r="B34" s="36" t="inlineStr">
        <is>
          <t>Basement 1 – gross area</t>
        </is>
      </c>
      <c r="C34" s="116" t="inlineStr">
        <is>
          <t>ምድር ቤት 1 – ጠቅላላ ስፋት</t>
        </is>
      </c>
      <c r="D34" s="117" t="inlineStr">
        <is>
          <t>m²</t>
        </is>
      </c>
      <c r="E34" s="122" t="n">
        <v>0</v>
      </c>
      <c r="F34" s="122" t="n">
        <v>0</v>
      </c>
      <c r="G34" s="122" t="n">
        <v>900</v>
      </c>
      <c r="H34" s="123">
        <f>CHOOSE(DATA_SET,E34,F34,G34)</f>
        <v>900</v>
      </c>
      <c r="I34" s="18" t="inlineStr">
        <is>
          <t>FL_A2</t>
        </is>
      </c>
      <c r="J34" s="8" t="inlineStr">
        <is>
          <t>Gross floor area incl. walls &amp; common areas</t>
        </is>
      </c>
    </row>
    <row r="35">
      <c r="B35" s="36" t="inlineStr">
        <is>
          <t>Ground floor – gross area</t>
        </is>
      </c>
      <c r="C35" s="116" t="inlineStr">
        <is>
          <t>ምድር ወለል – ጠቅላላ ስፋት</t>
        </is>
      </c>
      <c r="D35" s="117" t="inlineStr">
        <is>
          <t>m²</t>
        </is>
      </c>
      <c r="E35" s="122" t="n">
        <v>0</v>
      </c>
      <c r="F35" s="122" t="n">
        <v>130</v>
      </c>
      <c r="G35" s="122" t="n">
        <v>650</v>
      </c>
      <c r="H35" s="123">
        <f>CHOOSE(DATA_SET,E35,F35,G35)</f>
        <v>650</v>
      </c>
      <c r="I35" s="18" t="inlineStr">
        <is>
          <t>FL_A3</t>
        </is>
      </c>
      <c r="J35" s="8" t="inlineStr">
        <is>
          <t>Gross floor area incl. walls &amp; common areas</t>
        </is>
      </c>
    </row>
    <row r="36">
      <c r="B36" s="36" t="inlineStr">
        <is>
          <t>Floor 1 – gross area</t>
        </is>
      </c>
      <c r="C36" s="116" t="inlineStr">
        <is>
          <t>1ኛ ፎቅ – ጠቅላላ ስፋት</t>
        </is>
      </c>
      <c r="D36" s="117" t="inlineStr">
        <is>
          <t>m²</t>
        </is>
      </c>
      <c r="E36" s="122" t="n">
        <v>0</v>
      </c>
      <c r="F36" s="122" t="n">
        <v>120</v>
      </c>
      <c r="G36" s="122" t="n">
        <v>650</v>
      </c>
      <c r="H36" s="123">
        <f>CHOOSE(DATA_SET,E36,F36,G36)</f>
        <v>650</v>
      </c>
      <c r="I36" s="18" t="inlineStr">
        <is>
          <t>FL_A4</t>
        </is>
      </c>
      <c r="J36" s="8" t="inlineStr">
        <is>
          <t>Gross floor area incl. walls &amp; common areas</t>
        </is>
      </c>
    </row>
    <row r="37">
      <c r="B37" s="36" t="inlineStr">
        <is>
          <t>Floor 2 – gross area</t>
        </is>
      </c>
      <c r="C37" s="116" t="inlineStr">
        <is>
          <t>2ኛ ፎቅ – ጠቅላላ ስፋት</t>
        </is>
      </c>
      <c r="D37" s="117" t="inlineStr">
        <is>
          <t>m²</t>
        </is>
      </c>
      <c r="E37" s="122" t="n">
        <v>0</v>
      </c>
      <c r="F37" s="122" t="n">
        <v>0</v>
      </c>
      <c r="G37" s="122" t="n">
        <v>600</v>
      </c>
      <c r="H37" s="123">
        <f>CHOOSE(DATA_SET,E37,F37,G37)</f>
        <v>600</v>
      </c>
      <c r="I37" s="18" t="inlineStr">
        <is>
          <t>FL_A5</t>
        </is>
      </c>
      <c r="J37" s="8" t="inlineStr">
        <is>
          <t>Gross floor area incl. walls &amp; common areas</t>
        </is>
      </c>
    </row>
    <row r="38">
      <c r="B38" s="36" t="inlineStr">
        <is>
          <t>Floor 3 – gross area</t>
        </is>
      </c>
      <c r="C38" s="116" t="inlineStr">
        <is>
          <t>3ኛ ፎቅ – ጠቅላላ ስፋት</t>
        </is>
      </c>
      <c r="D38" s="117" t="inlineStr">
        <is>
          <t>m²</t>
        </is>
      </c>
      <c r="E38" s="122" t="n">
        <v>0</v>
      </c>
      <c r="F38" s="122" t="n">
        <v>0</v>
      </c>
      <c r="G38" s="122" t="n">
        <v>600</v>
      </c>
      <c r="H38" s="123">
        <f>CHOOSE(DATA_SET,E38,F38,G38)</f>
        <v>600</v>
      </c>
      <c r="I38" s="18" t="inlineStr">
        <is>
          <t>FL_A6</t>
        </is>
      </c>
      <c r="J38" s="8" t="inlineStr">
        <is>
          <t>Gross floor area incl. walls &amp; common areas</t>
        </is>
      </c>
    </row>
    <row r="39">
      <c r="B39" s="36" t="inlineStr">
        <is>
          <t>Floor 4 – gross area</t>
        </is>
      </c>
      <c r="C39" s="116" t="inlineStr">
        <is>
          <t>4ኛ ፎቅ – ጠቅላላ ስፋት</t>
        </is>
      </c>
      <c r="D39" s="117" t="inlineStr">
        <is>
          <t>m²</t>
        </is>
      </c>
      <c r="E39" s="122" t="n">
        <v>0</v>
      </c>
      <c r="F39" s="122" t="n">
        <v>0</v>
      </c>
      <c r="G39" s="122" t="n">
        <v>600</v>
      </c>
      <c r="H39" s="123">
        <f>CHOOSE(DATA_SET,E39,F39,G39)</f>
        <v>600</v>
      </c>
      <c r="I39" s="18" t="inlineStr">
        <is>
          <t>FL_A7</t>
        </is>
      </c>
      <c r="J39" s="8" t="inlineStr">
        <is>
          <t>Gross floor area incl. walls &amp; common areas</t>
        </is>
      </c>
    </row>
    <row r="40">
      <c r="B40" s="36" t="inlineStr">
        <is>
          <t>Floor 5 – gross area</t>
        </is>
      </c>
      <c r="C40" s="116" t="inlineStr">
        <is>
          <t>5ኛ ፎቅ – ጠቅላላ ስፋት</t>
        </is>
      </c>
      <c r="D40" s="117" t="inlineStr">
        <is>
          <t>m²</t>
        </is>
      </c>
      <c r="E40" s="122" t="n">
        <v>0</v>
      </c>
      <c r="F40" s="122" t="n">
        <v>0</v>
      </c>
      <c r="G40" s="122" t="n">
        <v>600</v>
      </c>
      <c r="H40" s="123">
        <f>CHOOSE(DATA_SET,E40,F40,G40)</f>
        <v>600</v>
      </c>
      <c r="I40" s="18" t="inlineStr">
        <is>
          <t>FL_A8</t>
        </is>
      </c>
      <c r="J40" s="8" t="inlineStr">
        <is>
          <t>Gross floor area incl. walls &amp; common areas</t>
        </is>
      </c>
    </row>
    <row r="41">
      <c r="B41" s="36" t="inlineStr">
        <is>
          <t>Floor 6 – gross area</t>
        </is>
      </c>
      <c r="C41" s="116" t="inlineStr">
        <is>
          <t>6ኛ ፎቅ – ጠቅላላ ስፋት</t>
        </is>
      </c>
      <c r="D41" s="117" t="inlineStr">
        <is>
          <t>m²</t>
        </is>
      </c>
      <c r="E41" s="122" t="n">
        <v>0</v>
      </c>
      <c r="F41" s="122" t="n">
        <v>0</v>
      </c>
      <c r="G41" s="122" t="n">
        <v>600</v>
      </c>
      <c r="H41" s="123">
        <f>CHOOSE(DATA_SET,E41,F41,G41)</f>
        <v>600</v>
      </c>
      <c r="I41" s="18" t="inlineStr">
        <is>
          <t>FL_A9</t>
        </is>
      </c>
      <c r="J41" s="8" t="inlineStr">
        <is>
          <t>Gross floor area incl. walls &amp; common areas</t>
        </is>
      </c>
    </row>
    <row r="42">
      <c r="B42" s="36" t="inlineStr">
        <is>
          <t>Floor 7 – gross area</t>
        </is>
      </c>
      <c r="C42" s="116" t="inlineStr">
        <is>
          <t>7ኛ ፎቅ – ጠቅላላ ስፋት</t>
        </is>
      </c>
      <c r="D42" s="117" t="inlineStr">
        <is>
          <t>m²</t>
        </is>
      </c>
      <c r="E42" s="122" t="n">
        <v>0</v>
      </c>
      <c r="F42" s="122" t="n">
        <v>0</v>
      </c>
      <c r="G42" s="122" t="n">
        <v>600</v>
      </c>
      <c r="H42" s="123">
        <f>CHOOSE(DATA_SET,E42,F42,G42)</f>
        <v>600</v>
      </c>
      <c r="I42" s="18" t="inlineStr">
        <is>
          <t>FL_A10</t>
        </is>
      </c>
      <c r="J42" s="8" t="inlineStr">
        <is>
          <t>Gross floor area incl. walls &amp; common areas</t>
        </is>
      </c>
    </row>
    <row r="43">
      <c r="B43" s="36" t="inlineStr">
        <is>
          <t>Floor 8 – gross area</t>
        </is>
      </c>
      <c r="C43" s="116" t="inlineStr">
        <is>
          <t>8ኛ ፎቅ – ጠቅላላ ስፋት</t>
        </is>
      </c>
      <c r="D43" s="117" t="inlineStr">
        <is>
          <t>m²</t>
        </is>
      </c>
      <c r="E43" s="122" t="n">
        <v>0</v>
      </c>
      <c r="F43" s="122" t="n">
        <v>0</v>
      </c>
      <c r="G43" s="122" t="n">
        <v>600</v>
      </c>
      <c r="H43" s="123">
        <f>CHOOSE(DATA_SET,E43,F43,G43)</f>
        <v>600</v>
      </c>
      <c r="I43" s="18" t="inlineStr">
        <is>
          <t>FL_A11</t>
        </is>
      </c>
      <c r="J43" s="8" t="inlineStr">
        <is>
          <t>Gross floor area incl. walls &amp; common areas</t>
        </is>
      </c>
    </row>
    <row r="44">
      <c r="B44" s="36" t="inlineStr">
        <is>
          <t>Floor 9 – gross area</t>
        </is>
      </c>
      <c r="C44" s="116" t="inlineStr">
        <is>
          <t>9ኛ ፎቅ – ጠቅላላ ስፋት</t>
        </is>
      </c>
      <c r="D44" s="117" t="inlineStr">
        <is>
          <t>m²</t>
        </is>
      </c>
      <c r="E44" s="122" t="n">
        <v>0</v>
      </c>
      <c r="F44" s="122" t="n">
        <v>0</v>
      </c>
      <c r="G44" s="122" t="n">
        <v>0</v>
      </c>
      <c r="H44" s="123">
        <f>CHOOSE(DATA_SET,E44,F44,G44)</f>
        <v>0</v>
      </c>
      <c r="I44" s="18" t="inlineStr">
        <is>
          <t>FL_A12</t>
        </is>
      </c>
      <c r="J44" s="8" t="inlineStr">
        <is>
          <t>Gross floor area incl. walls &amp; common areas</t>
        </is>
      </c>
    </row>
    <row r="45">
      <c r="B45" s="36" t="inlineStr">
        <is>
          <t>Floor 10 – gross area</t>
        </is>
      </c>
      <c r="C45" s="116" t="inlineStr">
        <is>
          <t>10ኛ ፎቅ – ጠቅላላ ስፋት</t>
        </is>
      </c>
      <c r="D45" s="117" t="inlineStr">
        <is>
          <t>m²</t>
        </is>
      </c>
      <c r="E45" s="122" t="n">
        <v>0</v>
      </c>
      <c r="F45" s="122" t="n">
        <v>0</v>
      </c>
      <c r="G45" s="122" t="n">
        <v>0</v>
      </c>
      <c r="H45" s="123">
        <f>CHOOSE(DATA_SET,E45,F45,G45)</f>
        <v>0</v>
      </c>
      <c r="I45" s="18" t="inlineStr">
        <is>
          <t>FL_A13</t>
        </is>
      </c>
      <c r="J45" s="8" t="inlineStr">
        <is>
          <t>Gross floor area incl. walls &amp; common areas</t>
        </is>
      </c>
    </row>
    <row r="46">
      <c r="B46" s="36" t="inlineStr">
        <is>
          <t>Floor 11 – gross area</t>
        </is>
      </c>
      <c r="C46" s="116" t="inlineStr">
        <is>
          <t>11ኛ ፎቅ – ጠቅላላ ስፋት</t>
        </is>
      </c>
      <c r="D46" s="117" t="inlineStr">
        <is>
          <t>m²</t>
        </is>
      </c>
      <c r="E46" s="122" t="n">
        <v>0</v>
      </c>
      <c r="F46" s="122" t="n">
        <v>0</v>
      </c>
      <c r="G46" s="122" t="n">
        <v>0</v>
      </c>
      <c r="H46" s="123">
        <f>CHOOSE(DATA_SET,E46,F46,G46)</f>
        <v>0</v>
      </c>
      <c r="I46" s="18" t="inlineStr">
        <is>
          <t>FL_A14</t>
        </is>
      </c>
      <c r="J46" s="8" t="inlineStr">
        <is>
          <t>Gross floor area incl. walls &amp; common areas</t>
        </is>
      </c>
    </row>
    <row r="47">
      <c r="B47" s="36" t="inlineStr">
        <is>
          <t>Floor 12 – gross area</t>
        </is>
      </c>
      <c r="C47" s="116" t="inlineStr">
        <is>
          <t>12ኛ ፎቅ – ጠቅላላ ስፋት</t>
        </is>
      </c>
      <c r="D47" s="117" t="inlineStr">
        <is>
          <t>m²</t>
        </is>
      </c>
      <c r="E47" s="122" t="n">
        <v>0</v>
      </c>
      <c r="F47" s="122" t="n">
        <v>0</v>
      </c>
      <c r="G47" s="122" t="n">
        <v>0</v>
      </c>
      <c r="H47" s="123">
        <f>CHOOSE(DATA_SET,E47,F47,G47)</f>
        <v>0</v>
      </c>
      <c r="I47" s="18" t="inlineStr">
        <is>
          <t>FL_A15</t>
        </is>
      </c>
      <c r="J47" s="8" t="inlineStr">
        <is>
          <t>Gross floor area incl. walls &amp; common areas</t>
        </is>
      </c>
    </row>
    <row r="48">
      <c r="B48" s="36" t="inlineStr">
        <is>
          <t>Floor 13 – gross area</t>
        </is>
      </c>
      <c r="C48" s="116" t="inlineStr">
        <is>
          <t>13ኛ ፎቅ – ጠቅላላ ስፋት</t>
        </is>
      </c>
      <c r="D48" s="117" t="inlineStr">
        <is>
          <t>m²</t>
        </is>
      </c>
      <c r="E48" s="122" t="n">
        <v>0</v>
      </c>
      <c r="F48" s="122" t="n">
        <v>0</v>
      </c>
      <c r="G48" s="122" t="n">
        <v>0</v>
      </c>
      <c r="H48" s="123">
        <f>CHOOSE(DATA_SET,E48,F48,G48)</f>
        <v>0</v>
      </c>
      <c r="I48" s="18" t="inlineStr">
        <is>
          <t>FL_A16</t>
        </is>
      </c>
      <c r="J48" s="8" t="inlineStr">
        <is>
          <t>Gross floor area incl. walls &amp; common areas</t>
        </is>
      </c>
    </row>
    <row r="49" ht="20" customHeight="1">
      <c r="B49" s="113" t="inlineStr">
        <is>
          <t>3b. Use of each floor</t>
        </is>
      </c>
      <c r="C49" s="114" t="inlineStr">
        <is>
          <t>3ለ. የእያንዳንዱ ፎቅ አገልግሎት</t>
        </is>
      </c>
      <c r="D49" s="115" t="n"/>
      <c r="E49" s="115" t="n"/>
      <c r="F49" s="115" t="n"/>
      <c r="G49" s="115" t="n"/>
      <c r="H49" s="115" t="n"/>
      <c r="I49" s="115" t="n"/>
      <c r="J49" s="115" t="n"/>
    </row>
    <row r="50">
      <c r="B50" s="36" t="inlineStr">
        <is>
          <t>Basement 2 – use</t>
        </is>
      </c>
      <c r="C50" s="116" t="inlineStr">
        <is>
          <t>ምድር ቤት 2 – አገልግሎት</t>
        </is>
      </c>
      <c r="D50" s="117" t="inlineStr">
        <is>
          <t>list</t>
        </is>
      </c>
      <c r="E50" s="120" t="inlineStr">
        <is>
          <t>Residential</t>
        </is>
      </c>
      <c r="F50" s="120" t="inlineStr">
        <is>
          <t>Residential</t>
        </is>
      </c>
      <c r="G50" s="120" t="inlineStr">
        <is>
          <t>Parking</t>
        </is>
      </c>
      <c r="H50" s="133" t="str">
        <f>CHOOSE(DATA_SET,E50,F50,G50)</f>
        <v>Parking</v>
      </c>
      <c r="I50" s="18" t="inlineStr">
        <is>
          <t>FL_U1</t>
        </is>
      </c>
      <c r="J50" s="8" t="inlineStr">
        <is>
          <t>Residential / Retail / Office / Parking / Other</t>
        </is>
      </c>
    </row>
    <row r="51">
      <c r="B51" s="36" t="inlineStr">
        <is>
          <t>Basement 1 – use</t>
        </is>
      </c>
      <c r="C51" s="116" t="inlineStr">
        <is>
          <t>ምድር ቤት 1 – አገልግሎት</t>
        </is>
      </c>
      <c r="D51" s="117" t="inlineStr">
        <is>
          <t>list</t>
        </is>
      </c>
      <c r="E51" s="120" t="inlineStr">
        <is>
          <t>Residential</t>
        </is>
      </c>
      <c r="F51" s="120" t="inlineStr">
        <is>
          <t>Residential</t>
        </is>
      </c>
      <c r="G51" s="120" t="inlineStr">
        <is>
          <t>Parking</t>
        </is>
      </c>
      <c r="H51" s="133" t="str">
        <f>CHOOSE(DATA_SET,E51,F51,G51)</f>
        <v>Parking</v>
      </c>
      <c r="I51" s="18" t="inlineStr">
        <is>
          <t>FL_U2</t>
        </is>
      </c>
      <c r="J51" s="8" t="inlineStr">
        <is>
          <t>Residential / Retail / Office / Parking / Other</t>
        </is>
      </c>
    </row>
    <row r="52">
      <c r="B52" s="36" t="inlineStr">
        <is>
          <t>Ground floor – use</t>
        </is>
      </c>
      <c r="C52" s="116" t="inlineStr">
        <is>
          <t>ምድር ወለል – አገልግሎት</t>
        </is>
      </c>
      <c r="D52" s="117" t="inlineStr">
        <is>
          <t>list</t>
        </is>
      </c>
      <c r="E52" s="120" t="inlineStr">
        <is>
          <t>Residential</t>
        </is>
      </c>
      <c r="F52" s="120" t="inlineStr">
        <is>
          <t>Residential</t>
        </is>
      </c>
      <c r="G52" s="120" t="inlineStr">
        <is>
          <t>Retail</t>
        </is>
      </c>
      <c r="H52" s="133" t="str">
        <f>CHOOSE(DATA_SET,E52,F52,G52)</f>
        <v>Retail</v>
      </c>
      <c r="I52" s="18" t="inlineStr">
        <is>
          <t>FL_U3</t>
        </is>
      </c>
      <c r="J52" s="8" t="inlineStr">
        <is>
          <t>Residential / Retail / Office / Parking / Other</t>
        </is>
      </c>
    </row>
    <row r="53">
      <c r="B53" s="36" t="inlineStr">
        <is>
          <t>Floor 1 – use</t>
        </is>
      </c>
      <c r="C53" s="116" t="inlineStr">
        <is>
          <t>1ኛ ፎቅ – አገልግሎት</t>
        </is>
      </c>
      <c r="D53" s="117" t="inlineStr">
        <is>
          <t>list</t>
        </is>
      </c>
      <c r="E53" s="120" t="inlineStr">
        <is>
          <t>Residential</t>
        </is>
      </c>
      <c r="F53" s="120" t="inlineStr">
        <is>
          <t>Residential</t>
        </is>
      </c>
      <c r="G53" s="120" t="inlineStr">
        <is>
          <t>Retail</t>
        </is>
      </c>
      <c r="H53" s="133" t="str">
        <f>CHOOSE(DATA_SET,E53,F53,G53)</f>
        <v>Retail</v>
      </c>
      <c r="I53" s="18" t="inlineStr">
        <is>
          <t>FL_U4</t>
        </is>
      </c>
      <c r="J53" s="8" t="inlineStr">
        <is>
          <t>Residential / Retail / Office / Parking / Other</t>
        </is>
      </c>
    </row>
    <row r="54">
      <c r="B54" s="36" t="inlineStr">
        <is>
          <t>Floor 2 – use</t>
        </is>
      </c>
      <c r="C54" s="116" t="inlineStr">
        <is>
          <t>2ኛ ፎቅ – አገልግሎት</t>
        </is>
      </c>
      <c r="D54" s="117" t="inlineStr">
        <is>
          <t>list</t>
        </is>
      </c>
      <c r="E54" s="120" t="inlineStr">
        <is>
          <t>Residential</t>
        </is>
      </c>
      <c r="F54" s="120" t="inlineStr">
        <is>
          <t>Residential</t>
        </is>
      </c>
      <c r="G54" s="120" t="inlineStr">
        <is>
          <t>Residential</t>
        </is>
      </c>
      <c r="H54" s="133" t="str">
        <f>CHOOSE(DATA_SET,E54,F54,G54)</f>
        <v>Residential</v>
      </c>
      <c r="I54" s="18" t="inlineStr">
        <is>
          <t>FL_U5</t>
        </is>
      </c>
      <c r="J54" s="8" t="inlineStr">
        <is>
          <t>Residential / Retail / Office / Parking / Other</t>
        </is>
      </c>
    </row>
    <row r="55">
      <c r="B55" s="36" t="inlineStr">
        <is>
          <t>Floor 3 – use</t>
        </is>
      </c>
      <c r="C55" s="116" t="inlineStr">
        <is>
          <t>3ኛ ፎቅ – አገልግሎት</t>
        </is>
      </c>
      <c r="D55" s="117" t="inlineStr">
        <is>
          <t>list</t>
        </is>
      </c>
      <c r="E55" s="120" t="inlineStr">
        <is>
          <t>Residential</t>
        </is>
      </c>
      <c r="F55" s="120" t="inlineStr">
        <is>
          <t>Residential</t>
        </is>
      </c>
      <c r="G55" s="120" t="inlineStr">
        <is>
          <t>Residential</t>
        </is>
      </c>
      <c r="H55" s="133" t="str">
        <f>CHOOSE(DATA_SET,E55,F55,G55)</f>
        <v>Residential</v>
      </c>
      <c r="I55" s="18" t="inlineStr">
        <is>
          <t>FL_U6</t>
        </is>
      </c>
      <c r="J55" s="8" t="inlineStr">
        <is>
          <t>Residential / Retail / Office / Parking / Other</t>
        </is>
      </c>
    </row>
    <row r="56">
      <c r="B56" s="36" t="inlineStr">
        <is>
          <t>Floor 4 – use</t>
        </is>
      </c>
      <c r="C56" s="116" t="inlineStr">
        <is>
          <t>4ኛ ፎቅ – አገልግሎት</t>
        </is>
      </c>
      <c r="D56" s="117" t="inlineStr">
        <is>
          <t>list</t>
        </is>
      </c>
      <c r="E56" s="120" t="inlineStr">
        <is>
          <t>Residential</t>
        </is>
      </c>
      <c r="F56" s="120" t="inlineStr">
        <is>
          <t>Residential</t>
        </is>
      </c>
      <c r="G56" s="120" t="inlineStr">
        <is>
          <t>Residential</t>
        </is>
      </c>
      <c r="H56" s="133" t="str">
        <f>CHOOSE(DATA_SET,E56,F56,G56)</f>
        <v>Residential</v>
      </c>
      <c r="I56" s="18" t="inlineStr">
        <is>
          <t>FL_U7</t>
        </is>
      </c>
      <c r="J56" s="8" t="inlineStr">
        <is>
          <t>Residential / Retail / Office / Parking / Other</t>
        </is>
      </c>
    </row>
    <row r="57">
      <c r="B57" s="36" t="inlineStr">
        <is>
          <t>Floor 5 – use</t>
        </is>
      </c>
      <c r="C57" s="116" t="inlineStr">
        <is>
          <t>5ኛ ፎቅ – አገልግሎት</t>
        </is>
      </c>
      <c r="D57" s="117" t="inlineStr">
        <is>
          <t>list</t>
        </is>
      </c>
      <c r="E57" s="120" t="inlineStr">
        <is>
          <t>Residential</t>
        </is>
      </c>
      <c r="F57" s="120" t="inlineStr">
        <is>
          <t>Residential</t>
        </is>
      </c>
      <c r="G57" s="120" t="inlineStr">
        <is>
          <t>Residential</t>
        </is>
      </c>
      <c r="H57" s="133" t="str">
        <f>CHOOSE(DATA_SET,E57,F57,G57)</f>
        <v>Residential</v>
      </c>
      <c r="I57" s="18" t="inlineStr">
        <is>
          <t>FL_U8</t>
        </is>
      </c>
      <c r="J57" s="8" t="inlineStr">
        <is>
          <t>Residential / Retail / Office / Parking / Other</t>
        </is>
      </c>
    </row>
    <row r="58">
      <c r="B58" s="36" t="inlineStr">
        <is>
          <t>Floor 6 – use</t>
        </is>
      </c>
      <c r="C58" s="116" t="inlineStr">
        <is>
          <t>6ኛ ፎቅ – አገልግሎት</t>
        </is>
      </c>
      <c r="D58" s="117" t="inlineStr">
        <is>
          <t>list</t>
        </is>
      </c>
      <c r="E58" s="120" t="inlineStr">
        <is>
          <t>Residential</t>
        </is>
      </c>
      <c r="F58" s="120" t="inlineStr">
        <is>
          <t>Residential</t>
        </is>
      </c>
      <c r="G58" s="120" t="inlineStr">
        <is>
          <t>Residential</t>
        </is>
      </c>
      <c r="H58" s="133" t="str">
        <f>CHOOSE(DATA_SET,E58,F58,G58)</f>
        <v>Residential</v>
      </c>
      <c r="I58" s="18" t="inlineStr">
        <is>
          <t>FL_U9</t>
        </is>
      </c>
      <c r="J58" s="8" t="inlineStr">
        <is>
          <t>Residential / Retail / Office / Parking / Other</t>
        </is>
      </c>
    </row>
    <row r="59">
      <c r="B59" s="36" t="inlineStr">
        <is>
          <t>Floor 7 – use</t>
        </is>
      </c>
      <c r="C59" s="116" t="inlineStr">
        <is>
          <t>7ኛ ፎቅ – አገልግሎት</t>
        </is>
      </c>
      <c r="D59" s="117" t="inlineStr">
        <is>
          <t>list</t>
        </is>
      </c>
      <c r="E59" s="120" t="inlineStr">
        <is>
          <t>Residential</t>
        </is>
      </c>
      <c r="F59" s="120" t="inlineStr">
        <is>
          <t>Residential</t>
        </is>
      </c>
      <c r="G59" s="120" t="inlineStr">
        <is>
          <t>Residential</t>
        </is>
      </c>
      <c r="H59" s="133" t="str">
        <f>CHOOSE(DATA_SET,E59,F59,G59)</f>
        <v>Residential</v>
      </c>
      <c r="I59" s="18" t="inlineStr">
        <is>
          <t>FL_U10</t>
        </is>
      </c>
      <c r="J59" s="8" t="inlineStr">
        <is>
          <t>Residential / Retail / Office / Parking / Other</t>
        </is>
      </c>
    </row>
    <row r="60">
      <c r="B60" s="36" t="inlineStr">
        <is>
          <t>Floor 8 – use</t>
        </is>
      </c>
      <c r="C60" s="116" t="inlineStr">
        <is>
          <t>8ኛ ፎቅ – አገልግሎት</t>
        </is>
      </c>
      <c r="D60" s="117" t="inlineStr">
        <is>
          <t>list</t>
        </is>
      </c>
      <c r="E60" s="120" t="inlineStr">
        <is>
          <t>Residential</t>
        </is>
      </c>
      <c r="F60" s="120" t="inlineStr">
        <is>
          <t>Residential</t>
        </is>
      </c>
      <c r="G60" s="120" t="inlineStr">
        <is>
          <t>Residential</t>
        </is>
      </c>
      <c r="H60" s="133" t="str">
        <f>CHOOSE(DATA_SET,E60,F60,G60)</f>
        <v>Residential</v>
      </c>
      <c r="I60" s="18" t="inlineStr">
        <is>
          <t>FL_U11</t>
        </is>
      </c>
      <c r="J60" s="8" t="inlineStr">
        <is>
          <t>Residential / Retail / Office / Parking / Other</t>
        </is>
      </c>
    </row>
    <row r="61">
      <c r="B61" s="36" t="inlineStr">
        <is>
          <t>Floor 9 – use</t>
        </is>
      </c>
      <c r="C61" s="116" t="inlineStr">
        <is>
          <t>9ኛ ፎቅ – አገልግሎት</t>
        </is>
      </c>
      <c r="D61" s="117" t="inlineStr">
        <is>
          <t>list</t>
        </is>
      </c>
      <c r="E61" s="120" t="inlineStr">
        <is>
          <t>Residential</t>
        </is>
      </c>
      <c r="F61" s="120" t="inlineStr">
        <is>
          <t>Residential</t>
        </is>
      </c>
      <c r="G61" s="120" t="inlineStr">
        <is>
          <t>Residential</t>
        </is>
      </c>
      <c r="H61" s="133" t="str">
        <f>CHOOSE(DATA_SET,E61,F61,G61)</f>
        <v>Residential</v>
      </c>
      <c r="I61" s="18" t="inlineStr">
        <is>
          <t>FL_U12</t>
        </is>
      </c>
      <c r="J61" s="8" t="inlineStr">
        <is>
          <t>Residential / Retail / Office / Parking / Other</t>
        </is>
      </c>
    </row>
    <row r="62">
      <c r="B62" s="36" t="inlineStr">
        <is>
          <t>Floor 10 – use</t>
        </is>
      </c>
      <c r="C62" s="116" t="inlineStr">
        <is>
          <t>10ኛ ፎቅ – አገልግሎት</t>
        </is>
      </c>
      <c r="D62" s="117" t="inlineStr">
        <is>
          <t>list</t>
        </is>
      </c>
      <c r="E62" s="120" t="inlineStr">
        <is>
          <t>Residential</t>
        </is>
      </c>
      <c r="F62" s="120" t="inlineStr">
        <is>
          <t>Residential</t>
        </is>
      </c>
      <c r="G62" s="120" t="inlineStr">
        <is>
          <t>Residential</t>
        </is>
      </c>
      <c r="H62" s="133" t="str">
        <f>CHOOSE(DATA_SET,E62,F62,G62)</f>
        <v>Residential</v>
      </c>
      <c r="I62" s="18" t="inlineStr">
        <is>
          <t>FL_U13</t>
        </is>
      </c>
      <c r="J62" s="8" t="inlineStr">
        <is>
          <t>Residential / Retail / Office / Parking / Other</t>
        </is>
      </c>
    </row>
    <row r="63">
      <c r="B63" s="36" t="inlineStr">
        <is>
          <t>Floor 11 – use</t>
        </is>
      </c>
      <c r="C63" s="116" t="inlineStr">
        <is>
          <t>11ኛ ፎቅ – አገልግሎት</t>
        </is>
      </c>
      <c r="D63" s="117" t="inlineStr">
        <is>
          <t>list</t>
        </is>
      </c>
      <c r="E63" s="120" t="inlineStr">
        <is>
          <t>Residential</t>
        </is>
      </c>
      <c r="F63" s="120" t="inlineStr">
        <is>
          <t>Residential</t>
        </is>
      </c>
      <c r="G63" s="120" t="inlineStr">
        <is>
          <t>Residential</t>
        </is>
      </c>
      <c r="H63" s="133" t="str">
        <f>CHOOSE(DATA_SET,E63,F63,G63)</f>
        <v>Residential</v>
      </c>
      <c r="I63" s="18" t="inlineStr">
        <is>
          <t>FL_U14</t>
        </is>
      </c>
      <c r="J63" s="8" t="inlineStr">
        <is>
          <t>Residential / Retail / Office / Parking / Other</t>
        </is>
      </c>
    </row>
    <row r="64">
      <c r="B64" s="36" t="inlineStr">
        <is>
          <t>Floor 12 – use</t>
        </is>
      </c>
      <c r="C64" s="116" t="inlineStr">
        <is>
          <t>12ኛ ፎቅ – አገልግሎት</t>
        </is>
      </c>
      <c r="D64" s="117" t="inlineStr">
        <is>
          <t>list</t>
        </is>
      </c>
      <c r="E64" s="120" t="inlineStr">
        <is>
          <t>Residential</t>
        </is>
      </c>
      <c r="F64" s="120" t="inlineStr">
        <is>
          <t>Residential</t>
        </is>
      </c>
      <c r="G64" s="120" t="inlineStr">
        <is>
          <t>Residential</t>
        </is>
      </c>
      <c r="H64" s="133" t="str">
        <f>CHOOSE(DATA_SET,E64,F64,G64)</f>
        <v>Residential</v>
      </c>
      <c r="I64" s="18" t="inlineStr">
        <is>
          <t>FL_U15</t>
        </is>
      </c>
      <c r="J64" s="8" t="inlineStr">
        <is>
          <t>Residential / Retail / Office / Parking / Other</t>
        </is>
      </c>
    </row>
    <row r="65">
      <c r="B65" s="36" t="inlineStr">
        <is>
          <t>Floor 13 – use</t>
        </is>
      </c>
      <c r="C65" s="116" t="inlineStr">
        <is>
          <t>13ኛ ፎቅ – አገልግሎት</t>
        </is>
      </c>
      <c r="D65" s="117" t="inlineStr">
        <is>
          <t>list</t>
        </is>
      </c>
      <c r="E65" s="120" t="inlineStr">
        <is>
          <t>Residential</t>
        </is>
      </c>
      <c r="F65" s="120" t="inlineStr">
        <is>
          <t>Residential</t>
        </is>
      </c>
      <c r="G65" s="120" t="inlineStr">
        <is>
          <t>Residential</t>
        </is>
      </c>
      <c r="H65" s="133" t="str">
        <f>CHOOSE(DATA_SET,E65,F65,G65)</f>
        <v>Residential</v>
      </c>
      <c r="I65" s="18" t="inlineStr">
        <is>
          <t>FL_U16</t>
        </is>
      </c>
      <c r="J65" s="8" t="inlineStr">
        <is>
          <t>Residential / Retail / Office / Parking / Other</t>
        </is>
      </c>
    </row>
    <row r="66" ht="20" customHeight="1">
      <c r="B66" s="113" t="inlineStr">
        <is>
          <t>3c. Efficiency and disposition by use</t>
        </is>
      </c>
      <c r="C66" s="114" t="inlineStr">
        <is>
          <t>3ሐ. ቅልጥፍናና አጠቃቀም በአገልግሎት</t>
        </is>
      </c>
      <c r="D66" s="115" t="n"/>
      <c r="E66" s="115" t="n"/>
      <c r="F66" s="115" t="n"/>
      <c r="G66" s="115" t="n"/>
      <c r="H66" s="115" t="n"/>
      <c r="I66" s="115" t="n"/>
      <c r="J66" s="115" t="n"/>
    </row>
    <row r="67">
      <c r="B67" s="36" t="inlineStr">
        <is>
          <t>Net-to-gross efficiency – Residential</t>
        </is>
      </c>
      <c r="C67" s="116" t="inlineStr">
        <is>
          <t>የተጣራ/ጠቅላላ ጥምርታ – መኖሪያ</t>
        </is>
      </c>
      <c r="D67" s="117" t="inlineStr">
        <is>
          <t>%</t>
        </is>
      </c>
      <c r="E67" s="131" t="n">
        <v>0.8</v>
      </c>
      <c r="F67" s="131" t="n">
        <v>0.85</v>
      </c>
      <c r="G67" s="131" t="n">
        <v>0.8</v>
      </c>
      <c r="H67" s="132">
        <f>CHOOSE(DATA_SET,E67,F67,G67)</f>
        <v>0.8</v>
      </c>
      <c r="I67" s="18" t="inlineStr">
        <is>
          <t>EFF_RES</t>
        </is>
      </c>
      <c r="J67" s="8" t="inlineStr">
        <is>
          <t>Saleable or lettable m² ÷ gross m²</t>
        </is>
      </c>
    </row>
    <row r="68">
      <c r="B68" s="36" t="inlineStr">
        <is>
          <t>Net-to-gross efficiency – Retail</t>
        </is>
      </c>
      <c r="C68" s="116" t="inlineStr">
        <is>
          <t>የተጣራ/ጠቅላላ ጥምርታ – የንግድ ሱቅ</t>
        </is>
      </c>
      <c r="D68" s="117" t="inlineStr">
        <is>
          <t>%</t>
        </is>
      </c>
      <c r="E68" s="131" t="n">
        <v>0.85</v>
      </c>
      <c r="F68" s="131" t="n">
        <v>0.85</v>
      </c>
      <c r="G68" s="131" t="n">
        <v>0.85</v>
      </c>
      <c r="H68" s="132">
        <f>CHOOSE(DATA_SET,E68,F68,G68)</f>
        <v>0.85</v>
      </c>
      <c r="I68" s="18" t="inlineStr">
        <is>
          <t>EFF_RET</t>
        </is>
      </c>
      <c r="J68" s="8" t="inlineStr">
        <is>
          <t>Saleable or lettable m² ÷ gross m²</t>
        </is>
      </c>
    </row>
    <row r="69">
      <c r="B69" s="36" t="inlineStr">
        <is>
          <t>Net-to-gross efficiency – Office</t>
        </is>
      </c>
      <c r="C69" s="116" t="inlineStr">
        <is>
          <t>የተጣራ/ጠቅላላ ጥምርታ – ቢሮ</t>
        </is>
      </c>
      <c r="D69" s="117" t="inlineStr">
        <is>
          <t>%</t>
        </is>
      </c>
      <c r="E69" s="131" t="n">
        <v>0.82</v>
      </c>
      <c r="F69" s="131" t="n">
        <v>0.82</v>
      </c>
      <c r="G69" s="131" t="n">
        <v>0.82</v>
      </c>
      <c r="H69" s="132">
        <f>CHOOSE(DATA_SET,E69,F69,G69)</f>
        <v>0.82</v>
      </c>
      <c r="I69" s="18" t="inlineStr">
        <is>
          <t>EFF_OFF</t>
        </is>
      </c>
      <c r="J69" s="8" t="inlineStr">
        <is>
          <t>Saleable or lettable m² ÷ gross m²</t>
        </is>
      </c>
    </row>
    <row r="70">
      <c r="B70" s="36" t="inlineStr">
        <is>
          <t>Net-to-gross efficiency – Parking</t>
        </is>
      </c>
      <c r="C70" s="116" t="inlineStr">
        <is>
          <t>የተጣራ/ጠቅላላ ጥምርታ – መኪና ማቆሚያ</t>
        </is>
      </c>
      <c r="D70" s="117" t="inlineStr">
        <is>
          <t>%</t>
        </is>
      </c>
      <c r="E70" s="131" t="n">
        <v>0</v>
      </c>
      <c r="F70" s="131" t="n">
        <v>0</v>
      </c>
      <c r="G70" s="131" t="n">
        <v>0</v>
      </c>
      <c r="H70" s="132">
        <f>CHOOSE(DATA_SET,E70,F70,G70)</f>
        <v>0</v>
      </c>
      <c r="I70" s="18" t="inlineStr">
        <is>
          <t>EFF_PAR</t>
        </is>
      </c>
      <c r="J70" s="8" t="inlineStr">
        <is>
          <t>Saleable or lettable m² ÷ gross m²</t>
        </is>
      </c>
    </row>
    <row r="71">
      <c r="B71" s="36" t="inlineStr">
        <is>
          <t>Net-to-gross efficiency – Other</t>
        </is>
      </c>
      <c r="C71" s="116" t="inlineStr">
        <is>
          <t>የተጣራ/ጠቅላላ ጥምርታ – ሌላ</t>
        </is>
      </c>
      <c r="D71" s="117" t="inlineStr">
        <is>
          <t>%</t>
        </is>
      </c>
      <c r="E71" s="131" t="n">
        <v>0</v>
      </c>
      <c r="F71" s="131" t="n">
        <v>0</v>
      </c>
      <c r="G71" s="131" t="n">
        <v>0</v>
      </c>
      <c r="H71" s="132">
        <f>CHOOSE(DATA_SET,E71,F71,G71)</f>
        <v>0</v>
      </c>
      <c r="I71" s="18" t="inlineStr">
        <is>
          <t>EFF_OTH</t>
        </is>
      </c>
      <c r="J71" s="8" t="inlineStr">
        <is>
          <t>Saleable or lettable m² ÷ gross m²</t>
        </is>
      </c>
    </row>
    <row r="72">
      <c r="B72" s="36" t="inlineStr">
        <is>
          <t>Mode 3 (Mixed): % of Residential area sold</t>
        </is>
      </c>
      <c r="C72" s="116" t="inlineStr">
        <is>
          <t>ቅይጥ፡ የሚሸጠው የመኖሪያ ድርሻ</t>
        </is>
      </c>
      <c r="D72" s="117" t="inlineStr">
        <is>
          <t>%</t>
        </is>
      </c>
      <c r="E72" s="131" t="n">
        <v>1</v>
      </c>
      <c r="F72" s="131" t="n">
        <v>0</v>
      </c>
      <c r="G72" s="131" t="n">
        <v>1</v>
      </c>
      <c r="H72" s="132">
        <f>CHOOSE(DATA_SET,E72,F72,G72)</f>
        <v>1</v>
      </c>
      <c r="I72" s="18" t="inlineStr">
        <is>
          <t>SOLD_RES</t>
        </is>
      </c>
      <c r="J72" s="8" t="inlineStr">
        <is>
          <t>Rest is retained and let (IAS 40). Modes 1/2 override this</t>
        </is>
      </c>
    </row>
    <row r="73">
      <c r="B73" s="36" t="inlineStr">
        <is>
          <t>Mode 3 (Mixed): % of Retail area sold</t>
        </is>
      </c>
      <c r="C73" s="116" t="inlineStr">
        <is>
          <t>ቅይጥ፡ የሚሸጠው የየንግድ ሱቅ ድርሻ</t>
        </is>
      </c>
      <c r="D73" s="117" t="inlineStr">
        <is>
          <t>%</t>
        </is>
      </c>
      <c r="E73" s="131" t="n">
        <v>0</v>
      </c>
      <c r="F73" s="131" t="n">
        <v>0</v>
      </c>
      <c r="G73" s="131" t="n">
        <v>0</v>
      </c>
      <c r="H73" s="132">
        <f>CHOOSE(DATA_SET,E73,F73,G73)</f>
        <v>0</v>
      </c>
      <c r="I73" s="18" t="inlineStr">
        <is>
          <t>SOLD_RET</t>
        </is>
      </c>
      <c r="J73" s="8" t="inlineStr">
        <is>
          <t>Rest is retained and let (IAS 40). Modes 1/2 override this</t>
        </is>
      </c>
    </row>
    <row r="74">
      <c r="B74" s="36" t="inlineStr">
        <is>
          <t>Mode 3 (Mixed): % of Office area sold</t>
        </is>
      </c>
      <c r="C74" s="116" t="inlineStr">
        <is>
          <t>ቅይጥ፡ የሚሸጠው የቢሮ ድርሻ</t>
        </is>
      </c>
      <c r="D74" s="117" t="inlineStr">
        <is>
          <t>%</t>
        </is>
      </c>
      <c r="E74" s="131" t="n">
        <v>0</v>
      </c>
      <c r="F74" s="131" t="n">
        <v>0</v>
      </c>
      <c r="G74" s="131" t="n">
        <v>0</v>
      </c>
      <c r="H74" s="132">
        <f>CHOOSE(DATA_SET,E74,F74,G74)</f>
        <v>0</v>
      </c>
      <c r="I74" s="18" t="inlineStr">
        <is>
          <t>SOLD_OFF</t>
        </is>
      </c>
      <c r="J74" s="8" t="inlineStr">
        <is>
          <t>Rest is retained and let (IAS 40). Modes 1/2 override this</t>
        </is>
      </c>
    </row>
    <row r="75">
      <c r="B75" s="36" t="inlineStr">
        <is>
          <t>Mode 3 (Mixed): % of Parking area sold</t>
        </is>
      </c>
      <c r="C75" s="116" t="inlineStr">
        <is>
          <t>ቅይጥ፡ የሚሸጠው የመኪና ማቆሚያ ድርሻ</t>
        </is>
      </c>
      <c r="D75" s="117" t="inlineStr">
        <is>
          <t>%</t>
        </is>
      </c>
      <c r="E75" s="131" t="n">
        <v>0</v>
      </c>
      <c r="F75" s="131" t="n">
        <v>0</v>
      </c>
      <c r="G75" s="131" t="n">
        <v>0</v>
      </c>
      <c r="H75" s="132">
        <f>CHOOSE(DATA_SET,E75,F75,G75)</f>
        <v>0</v>
      </c>
      <c r="I75" s="18" t="inlineStr">
        <is>
          <t>SOLD_PAR</t>
        </is>
      </c>
      <c r="J75" s="8" t="inlineStr">
        <is>
          <t>Rest is retained and let (IAS 40). Modes 1/2 override this</t>
        </is>
      </c>
    </row>
    <row r="76">
      <c r="B76" s="36" t="inlineStr">
        <is>
          <t>Mode 3 (Mixed): % of Other area sold</t>
        </is>
      </c>
      <c r="C76" s="116" t="inlineStr">
        <is>
          <t>ቅይጥ፡ የሚሸጠው የሌላ ድርሻ</t>
        </is>
      </c>
      <c r="D76" s="117" t="inlineStr">
        <is>
          <t>%</t>
        </is>
      </c>
      <c r="E76" s="131" t="n">
        <v>0</v>
      </c>
      <c r="F76" s="131" t="n">
        <v>0</v>
      </c>
      <c r="G76" s="131" t="n">
        <v>0</v>
      </c>
      <c r="H76" s="132">
        <f>CHOOSE(DATA_SET,E76,F76,G76)</f>
        <v>0</v>
      </c>
      <c r="I76" s="18" t="inlineStr">
        <is>
          <t>SOLD_OTH</t>
        </is>
      </c>
      <c r="J76" s="8" t="inlineStr">
        <is>
          <t>Rest is retained and let (IAS 40). Modes 1/2 override this</t>
        </is>
      </c>
    </row>
    <row r="77">
      <c r="B77" s="36" t="inlineStr">
        <is>
          <t>Commercial modes: % of retained area owner-occupied</t>
        </is>
      </c>
      <c r="C77" s="116" t="inlineStr">
        <is>
          <t>ለባለቤቱ አገልግሎት የሚውል ድርሻ</t>
        </is>
      </c>
      <c r="D77" s="117" t="inlineStr">
        <is>
          <t>%</t>
        </is>
      </c>
      <c r="E77" s="131" t="n">
        <v>0</v>
      </c>
      <c r="F77" s="131" t="n">
        <v>0</v>
      </c>
      <c r="G77" s="131" t="n">
        <v>0</v>
      </c>
      <c r="H77" s="132">
        <f>CHOOSE(DATA_SET,E77,F77,G77)</f>
        <v>0</v>
      </c>
      <c r="I77" s="18" t="inlineStr">
        <is>
          <t>OWNUSE_PCT</t>
        </is>
      </c>
      <c r="J77" s="8" t="inlineStr">
        <is>
          <t>Owner-occupied = IAS 16; let = IAS 40; sold = IAS 2</t>
        </is>
      </c>
    </row>
    <row r="78" ht="20" customHeight="1">
      <c r="B78" s="113" t="inlineStr">
        <is>
          <t>4. Construction cost</t>
        </is>
      </c>
      <c r="C78" s="114" t="inlineStr">
        <is>
          <t>4. የግንባታ ወጪ</t>
        </is>
      </c>
      <c r="D78" s="115" t="n"/>
      <c r="E78" s="115" t="n"/>
      <c r="F78" s="115" t="n"/>
      <c r="G78" s="115" t="n"/>
      <c r="H78" s="115" t="n"/>
      <c r="I78" s="115" t="n"/>
      <c r="J78" s="115" t="n"/>
    </row>
    <row r="79">
      <c r="B79" s="36" t="inlineStr">
        <is>
          <t>Preliminaries – entry method</t>
        </is>
      </c>
      <c r="C79" s="116" t="inlineStr">
        <is>
          <t>ቅድመ-ሥራዎች – አገባብ</t>
        </is>
      </c>
      <c r="D79" s="117" t="inlineStr">
        <is>
          <t>list</t>
        </is>
      </c>
      <c r="E79" s="120" t="inlineStr">
        <is>
          <t>Rate x area</t>
        </is>
      </c>
      <c r="F79" s="120" t="inlineStr">
        <is>
          <t>Rate x area</t>
        </is>
      </c>
      <c r="G79" s="120" t="inlineStr">
        <is>
          <t>Rate x area</t>
        </is>
      </c>
      <c r="H79" s="121">
        <f>IFERROR(MATCH(CHOOSE(DATA_SET,E79,F79,G79),L_METHOD,0),1)</f>
        <v>1</v>
      </c>
      <c r="I79" s="18" t="inlineStr">
        <is>
          <t>METH_PRELIM</t>
        </is>
      </c>
      <c r="J79" s="8" t="inlineStr">
        <is>
          <t>Rate x area uses the cost library below; Lump sum = detailed BOQ override</t>
        </is>
      </c>
    </row>
    <row r="80">
      <c r="B80" s="36" t="inlineStr">
        <is>
          <t>Substructure – entry method</t>
        </is>
      </c>
      <c r="C80" s="116" t="inlineStr">
        <is>
          <t>የመሠረት ሥራ – አገባብ</t>
        </is>
      </c>
      <c r="D80" s="117" t="inlineStr">
        <is>
          <t>list</t>
        </is>
      </c>
      <c r="E80" s="120" t="inlineStr">
        <is>
          <t>Rate x area</t>
        </is>
      </c>
      <c r="F80" s="120" t="inlineStr">
        <is>
          <t>Rate x area</t>
        </is>
      </c>
      <c r="G80" s="120" t="inlineStr">
        <is>
          <t>Rate x area</t>
        </is>
      </c>
      <c r="H80" s="121">
        <f>IFERROR(MATCH(CHOOSE(DATA_SET,E80,F80,G80),L_METHOD,0),1)</f>
        <v>1</v>
      </c>
      <c r="I80" s="18" t="inlineStr">
        <is>
          <t>METH_SUBSTR</t>
        </is>
      </c>
      <c r="J80" s="8" t="inlineStr">
        <is>
          <t>Rate x area uses the cost library below; Lump sum = detailed BOQ override</t>
        </is>
      </c>
    </row>
    <row r="81">
      <c r="B81" s="36" t="inlineStr">
        <is>
          <t>Superstructure (frame) – entry method</t>
        </is>
      </c>
      <c r="C81" s="116" t="inlineStr">
        <is>
          <t>ከመሬት በላይ መዋቅር (ፍሬም) – አገባብ</t>
        </is>
      </c>
      <c r="D81" s="117" t="inlineStr">
        <is>
          <t>list</t>
        </is>
      </c>
      <c r="E81" s="120" t="inlineStr">
        <is>
          <t>Rate x area</t>
        </is>
      </c>
      <c r="F81" s="120" t="inlineStr">
        <is>
          <t>Rate x area</t>
        </is>
      </c>
      <c r="G81" s="120" t="inlineStr">
        <is>
          <t>Rate x area</t>
        </is>
      </c>
      <c r="H81" s="121">
        <f>IFERROR(MATCH(CHOOSE(DATA_SET,E81,F81,G81),L_METHOD,0),1)</f>
        <v>1</v>
      </c>
      <c r="I81" s="18" t="inlineStr">
        <is>
          <t>METH_SUPER</t>
        </is>
      </c>
      <c r="J81" s="8" t="inlineStr">
        <is>
          <t>Rate x area uses the cost library below; Lump sum = detailed BOQ override</t>
        </is>
      </c>
    </row>
    <row r="82">
      <c r="B82" s="36" t="inlineStr">
        <is>
          <t>Envelope (walls, windows, roof) – entry method</t>
        </is>
      </c>
      <c r="C82" s="116" t="inlineStr">
        <is>
          <t>ግድግዳ፣ መስኮትና ጣሪያ – አገባብ</t>
        </is>
      </c>
      <c r="D82" s="117" t="inlineStr">
        <is>
          <t>list</t>
        </is>
      </c>
      <c r="E82" s="120" t="inlineStr">
        <is>
          <t>Rate x area</t>
        </is>
      </c>
      <c r="F82" s="120" t="inlineStr">
        <is>
          <t>Rate x area</t>
        </is>
      </c>
      <c r="G82" s="120" t="inlineStr">
        <is>
          <t>Rate x area</t>
        </is>
      </c>
      <c r="H82" s="121">
        <f>IFERROR(MATCH(CHOOSE(DATA_SET,E82,F82,G82),L_METHOD,0),1)</f>
        <v>1</v>
      </c>
      <c r="I82" s="18" t="inlineStr">
        <is>
          <t>METH_ENVEL</t>
        </is>
      </c>
      <c r="J82" s="8" t="inlineStr">
        <is>
          <t>Rate x area uses the cost library below; Lump sum = detailed BOQ override</t>
        </is>
      </c>
    </row>
    <row r="83">
      <c r="B83" s="36" t="inlineStr">
        <is>
          <t>Internal works (partitions, doors) – entry method</t>
        </is>
      </c>
      <c r="C83" s="116" t="inlineStr">
        <is>
          <t>የውስጥ ሥራዎች (ክፍልፋይ፣ በር) – አገባብ</t>
        </is>
      </c>
      <c r="D83" s="117" t="inlineStr">
        <is>
          <t>list</t>
        </is>
      </c>
      <c r="E83" s="120" t="inlineStr">
        <is>
          <t>Rate x area</t>
        </is>
      </c>
      <c r="F83" s="120" t="inlineStr">
        <is>
          <t>Rate x area</t>
        </is>
      </c>
      <c r="G83" s="120" t="inlineStr">
        <is>
          <t>Rate x area</t>
        </is>
      </c>
      <c r="H83" s="121">
        <f>IFERROR(MATCH(CHOOSE(DATA_SET,E83,F83,G83),L_METHOD,0),1)</f>
        <v>1</v>
      </c>
      <c r="I83" s="18" t="inlineStr">
        <is>
          <t>METH_INTERN</t>
        </is>
      </c>
      <c r="J83" s="8" t="inlineStr">
        <is>
          <t>Rate x area uses the cost library below; Lump sum = detailed BOQ override</t>
        </is>
      </c>
    </row>
    <row r="84">
      <c r="B84" s="36" t="inlineStr">
        <is>
          <t>Finishes – entry method</t>
        </is>
      </c>
      <c r="C84" s="116" t="inlineStr">
        <is>
          <t>የማጠናቀቂያ ሥራዎች – አገባብ</t>
        </is>
      </c>
      <c r="D84" s="117" t="inlineStr">
        <is>
          <t>list</t>
        </is>
      </c>
      <c r="E84" s="120" t="inlineStr">
        <is>
          <t>Rate x area</t>
        </is>
      </c>
      <c r="F84" s="120" t="inlineStr">
        <is>
          <t>Rate x area</t>
        </is>
      </c>
      <c r="G84" s="120" t="inlineStr">
        <is>
          <t>Rate x area</t>
        </is>
      </c>
      <c r="H84" s="121">
        <f>IFERROR(MATCH(CHOOSE(DATA_SET,E84,F84,G84),L_METHOD,0),1)</f>
        <v>1</v>
      </c>
      <c r="I84" s="18" t="inlineStr">
        <is>
          <t>METH_FINISH</t>
        </is>
      </c>
      <c r="J84" s="8" t="inlineStr">
        <is>
          <t>Rate x area uses the cost library below; Lump sum = detailed BOQ override</t>
        </is>
      </c>
    </row>
    <row r="85">
      <c r="B85" s="36" t="inlineStr">
        <is>
          <t>MEP (electrical, mechanical, plumbing) – entry method</t>
        </is>
      </c>
      <c r="C85" s="116" t="inlineStr">
        <is>
          <t>ኤሌክትሪክ፣ ሜካኒካልና ቧንቧ – አገባብ</t>
        </is>
      </c>
      <c r="D85" s="117" t="inlineStr">
        <is>
          <t>list</t>
        </is>
      </c>
      <c r="E85" s="120" t="inlineStr">
        <is>
          <t>Rate x area</t>
        </is>
      </c>
      <c r="F85" s="120" t="inlineStr">
        <is>
          <t>Rate x area</t>
        </is>
      </c>
      <c r="G85" s="120" t="inlineStr">
        <is>
          <t>Rate x area</t>
        </is>
      </c>
      <c r="H85" s="121">
        <f>IFERROR(MATCH(CHOOSE(DATA_SET,E85,F85,G85),L_METHOD,0),1)</f>
        <v>1</v>
      </c>
      <c r="I85" s="18" t="inlineStr">
        <is>
          <t>METH_MEP</t>
        </is>
      </c>
      <c r="J85" s="8" t="inlineStr">
        <is>
          <t>Rate x area uses the cost library below; Lump sum = detailed BOQ override</t>
        </is>
      </c>
    </row>
    <row r="86">
      <c r="B86" s="36" t="inlineStr">
        <is>
          <t>External works – entry method</t>
        </is>
      </c>
      <c r="C86" s="116" t="inlineStr">
        <is>
          <t>የውጭ ሥራዎች – አገባብ</t>
        </is>
      </c>
      <c r="D86" s="117" t="inlineStr">
        <is>
          <t>list</t>
        </is>
      </c>
      <c r="E86" s="120" t="inlineStr">
        <is>
          <t>Rate x area</t>
        </is>
      </c>
      <c r="F86" s="120" t="inlineStr">
        <is>
          <t>Rate x area</t>
        </is>
      </c>
      <c r="G86" s="120" t="inlineStr">
        <is>
          <t>Rate x area</t>
        </is>
      </c>
      <c r="H86" s="121">
        <f>IFERROR(MATCH(CHOOSE(DATA_SET,E86,F86,G86),L_METHOD,0),1)</f>
        <v>1</v>
      </c>
      <c r="I86" s="18" t="inlineStr">
        <is>
          <t>METH_EXTW</t>
        </is>
      </c>
      <c r="J86" s="8" t="inlineStr">
        <is>
          <t>Rate x area uses the cost library below; Lump sum = detailed BOQ override</t>
        </is>
      </c>
    </row>
    <row r="87">
      <c r="B87" s="36" t="inlineStr">
        <is>
          <t>Specialist systems (lifts, fire, CCTV) – entry method</t>
        </is>
      </c>
      <c r="C87" s="116" t="inlineStr">
        <is>
          <t>ልዩ ሲስተሞች (ሊፍት፣ እሳት፣ ካሜራ) – አገባብ</t>
        </is>
      </c>
      <c r="D87" s="117" t="inlineStr">
        <is>
          <t>list</t>
        </is>
      </c>
      <c r="E87" s="120" t="inlineStr">
        <is>
          <t>Rate x area</t>
        </is>
      </c>
      <c r="F87" s="120" t="inlineStr">
        <is>
          <t>Rate x area</t>
        </is>
      </c>
      <c r="G87" s="120" t="inlineStr">
        <is>
          <t>Lump sum (BOQ)</t>
        </is>
      </c>
      <c r="H87" s="121">
        <f>IFERROR(MATCH(CHOOSE(DATA_SET,E87,F87,G87),L_METHOD,0),1)</f>
        <v>2</v>
      </c>
      <c r="I87" s="18" t="inlineStr">
        <is>
          <t>METH_SPEC</t>
        </is>
      </c>
      <c r="J87" s="8" t="inlineStr">
        <is>
          <t>Rate x area uses the cost library below; Lump sum = detailed BOQ override</t>
        </is>
      </c>
    </row>
    <row r="88">
      <c r="B88" s="36" t="inlineStr">
        <is>
          <t>Preliminaries – lump sum (if BOQ)</t>
        </is>
      </c>
      <c r="C88" s="116" t="inlineStr">
        <is>
          <t>ቅድመ-ሥራዎች – ጠቅላላ ዋጋ (BOQ)</t>
        </is>
      </c>
      <c r="D88" s="117" t="inlineStr">
        <is>
          <t>ETB</t>
        </is>
      </c>
      <c r="E88" s="122" t="n">
        <v>0</v>
      </c>
      <c r="F88" s="122" t="n">
        <v>0</v>
      </c>
      <c r="G88" s="122" t="n">
        <v>0</v>
      </c>
      <c r="H88" s="123">
        <f>CHOOSE(DATA_SET,E88,F88,G88)</f>
        <v>0</v>
      </c>
      <c r="I88" s="18" t="inlineStr">
        <is>
          <t>LUMP_PRELIM</t>
        </is>
      </c>
      <c r="J88" s="8" t="inlineStr">
        <is>
          <t>Used only when method = Lump sum (BOQ)</t>
        </is>
      </c>
    </row>
    <row r="89">
      <c r="B89" s="36" t="inlineStr">
        <is>
          <t>Substructure – lump sum (if BOQ)</t>
        </is>
      </c>
      <c r="C89" s="116" t="inlineStr">
        <is>
          <t>የመሠረት ሥራ – ጠቅላላ ዋጋ (BOQ)</t>
        </is>
      </c>
      <c r="D89" s="117" t="inlineStr">
        <is>
          <t>ETB</t>
        </is>
      </c>
      <c r="E89" s="122" t="n">
        <v>0</v>
      </c>
      <c r="F89" s="122" t="n">
        <v>0</v>
      </c>
      <c r="G89" s="122" t="n">
        <v>0</v>
      </c>
      <c r="H89" s="123">
        <f>CHOOSE(DATA_SET,E89,F89,G89)</f>
        <v>0</v>
      </c>
      <c r="I89" s="18" t="inlineStr">
        <is>
          <t>LUMP_SUBSTR</t>
        </is>
      </c>
      <c r="J89" s="8" t="inlineStr">
        <is>
          <t>Used only when method = Lump sum (BOQ)</t>
        </is>
      </c>
    </row>
    <row r="90">
      <c r="B90" s="36" t="inlineStr">
        <is>
          <t>Superstructure (frame) – lump sum (if BOQ)</t>
        </is>
      </c>
      <c r="C90" s="116" t="inlineStr">
        <is>
          <t>ከመሬት በላይ መዋቅር (ፍሬም) – ጠቅላላ ዋጋ (BOQ)</t>
        </is>
      </c>
      <c r="D90" s="117" t="inlineStr">
        <is>
          <t>ETB</t>
        </is>
      </c>
      <c r="E90" s="122" t="n">
        <v>0</v>
      </c>
      <c r="F90" s="122" t="n">
        <v>0</v>
      </c>
      <c r="G90" s="122" t="n">
        <v>0</v>
      </c>
      <c r="H90" s="123">
        <f>CHOOSE(DATA_SET,E90,F90,G90)</f>
        <v>0</v>
      </c>
      <c r="I90" s="18" t="inlineStr">
        <is>
          <t>LUMP_SUPER</t>
        </is>
      </c>
      <c r="J90" s="8" t="inlineStr">
        <is>
          <t>Used only when method = Lump sum (BOQ)</t>
        </is>
      </c>
    </row>
    <row r="91">
      <c r="B91" s="36" t="inlineStr">
        <is>
          <t>Envelope (walls, windows, roof) – lump sum (if BOQ)</t>
        </is>
      </c>
      <c r="C91" s="116" t="inlineStr">
        <is>
          <t>ግድግዳ፣ መስኮትና ጣሪያ – ጠቅላላ ዋጋ (BOQ)</t>
        </is>
      </c>
      <c r="D91" s="117" t="inlineStr">
        <is>
          <t>ETB</t>
        </is>
      </c>
      <c r="E91" s="122" t="n">
        <v>0</v>
      </c>
      <c r="F91" s="122" t="n">
        <v>0</v>
      </c>
      <c r="G91" s="122" t="n">
        <v>0</v>
      </c>
      <c r="H91" s="123">
        <f>CHOOSE(DATA_SET,E91,F91,G91)</f>
        <v>0</v>
      </c>
      <c r="I91" s="18" t="inlineStr">
        <is>
          <t>LUMP_ENVEL</t>
        </is>
      </c>
      <c r="J91" s="8" t="inlineStr">
        <is>
          <t>Used only when method = Lump sum (BOQ)</t>
        </is>
      </c>
    </row>
    <row r="92">
      <c r="B92" s="36" t="inlineStr">
        <is>
          <t>Internal works (partitions, doors) – lump sum (if BOQ)</t>
        </is>
      </c>
      <c r="C92" s="116" t="inlineStr">
        <is>
          <t>የውስጥ ሥራዎች (ክፍልፋይ፣ በር) – ጠቅላላ ዋጋ (BOQ)</t>
        </is>
      </c>
      <c r="D92" s="117" t="inlineStr">
        <is>
          <t>ETB</t>
        </is>
      </c>
      <c r="E92" s="122" t="n">
        <v>0</v>
      </c>
      <c r="F92" s="122" t="n">
        <v>0</v>
      </c>
      <c r="G92" s="122" t="n">
        <v>0</v>
      </c>
      <c r="H92" s="123">
        <f>CHOOSE(DATA_SET,E92,F92,G92)</f>
        <v>0</v>
      </c>
      <c r="I92" s="18" t="inlineStr">
        <is>
          <t>LUMP_INTERN</t>
        </is>
      </c>
      <c r="J92" s="8" t="inlineStr">
        <is>
          <t>Used only when method = Lump sum (BOQ)</t>
        </is>
      </c>
    </row>
    <row r="93">
      <c r="B93" s="36" t="inlineStr">
        <is>
          <t>Finishes – lump sum (if BOQ)</t>
        </is>
      </c>
      <c r="C93" s="116" t="inlineStr">
        <is>
          <t>የማጠናቀቂያ ሥራዎች – ጠቅላላ ዋጋ (BOQ)</t>
        </is>
      </c>
      <c r="D93" s="117" t="inlineStr">
        <is>
          <t>ETB</t>
        </is>
      </c>
      <c r="E93" s="122" t="n">
        <v>0</v>
      </c>
      <c r="F93" s="122" t="n">
        <v>0</v>
      </c>
      <c r="G93" s="122" t="n">
        <v>0</v>
      </c>
      <c r="H93" s="123">
        <f>CHOOSE(DATA_SET,E93,F93,G93)</f>
        <v>0</v>
      </c>
      <c r="I93" s="18" t="inlineStr">
        <is>
          <t>LUMP_FINISH</t>
        </is>
      </c>
      <c r="J93" s="8" t="inlineStr">
        <is>
          <t>Used only when method = Lump sum (BOQ)</t>
        </is>
      </c>
    </row>
    <row r="94">
      <c r="B94" s="36" t="inlineStr">
        <is>
          <t>MEP (electrical, mechanical, plumbing) – lump sum (if BOQ)</t>
        </is>
      </c>
      <c r="C94" s="116" t="inlineStr">
        <is>
          <t>ኤሌክትሪክ፣ ሜካኒካልና ቧንቧ – ጠቅላላ ዋጋ (BOQ)</t>
        </is>
      </c>
      <c r="D94" s="117" t="inlineStr">
        <is>
          <t>ETB</t>
        </is>
      </c>
      <c r="E94" s="122" t="n">
        <v>0</v>
      </c>
      <c r="F94" s="122" t="n">
        <v>0</v>
      </c>
      <c r="G94" s="122" t="n">
        <v>0</v>
      </c>
      <c r="H94" s="123">
        <f>CHOOSE(DATA_SET,E94,F94,G94)</f>
        <v>0</v>
      </c>
      <c r="I94" s="18" t="inlineStr">
        <is>
          <t>LUMP_MEP</t>
        </is>
      </c>
      <c r="J94" s="8" t="inlineStr">
        <is>
          <t>Used only when method = Lump sum (BOQ)</t>
        </is>
      </c>
    </row>
    <row r="95">
      <c r="B95" s="36" t="inlineStr">
        <is>
          <t>External works – lump sum (if BOQ)</t>
        </is>
      </c>
      <c r="C95" s="116" t="inlineStr">
        <is>
          <t>የውጭ ሥራዎች – ጠቅላላ ዋጋ (BOQ)</t>
        </is>
      </c>
      <c r="D95" s="117" t="inlineStr">
        <is>
          <t>ETB</t>
        </is>
      </c>
      <c r="E95" s="122" t="n">
        <v>0</v>
      </c>
      <c r="F95" s="122" t="n">
        <v>0</v>
      </c>
      <c r="G95" s="122" t="n">
        <v>0</v>
      </c>
      <c r="H95" s="123">
        <f>CHOOSE(DATA_SET,E95,F95,G95)</f>
        <v>0</v>
      </c>
      <c r="I95" s="18" t="inlineStr">
        <is>
          <t>LUMP_EXTW</t>
        </is>
      </c>
      <c r="J95" s="8" t="inlineStr">
        <is>
          <t>Used only when method = Lump sum (BOQ)</t>
        </is>
      </c>
    </row>
    <row r="96">
      <c r="B96" s="36" t="inlineStr">
        <is>
          <t>Specialist systems (lifts, fire, CCTV) – lump sum (if BOQ)</t>
        </is>
      </c>
      <c r="C96" s="116" t="inlineStr">
        <is>
          <t>ልዩ ሲስተሞች (ሊፍት፣ እሳት፣ ካሜራ) – ጠቅላላ ዋጋ (BOQ)</t>
        </is>
      </c>
      <c r="D96" s="117" t="inlineStr">
        <is>
          <t>ETB</t>
        </is>
      </c>
      <c r="E96" s="122" t="n">
        <v>0</v>
      </c>
      <c r="F96" s="122" t="n">
        <v>0</v>
      </c>
      <c r="G96" s="122" t="n">
        <v>45000000</v>
      </c>
      <c r="H96" s="123">
        <f>CHOOSE(DATA_SET,E96,F96,G96)</f>
        <v>45000000</v>
      </c>
      <c r="I96" s="18" t="inlineStr">
        <is>
          <t>LUMP_SPEC</t>
        </is>
      </c>
      <c r="J96" s="8" t="inlineStr">
        <is>
          <t>Used only when method = Lump sum (BOQ)</t>
        </is>
      </c>
    </row>
    <row r="97">
      <c r="B97" s="36" t="inlineStr">
        <is>
          <t>Superstructure uplift per storey above G+3</t>
        </is>
      </c>
      <c r="C97" s="116" t="inlineStr">
        <is>
          <t>ከG+3 በላይ ለእያንዳንዱ ፎቅ ጭማሪ</t>
        </is>
      </c>
      <c r="D97" s="117" t="inlineStr">
        <is>
          <t>%</t>
        </is>
      </c>
      <c r="E97" s="131" t="n">
        <v>0.02</v>
      </c>
      <c r="F97" s="131" t="n">
        <v>0.02</v>
      </c>
      <c r="G97" s="131" t="n">
        <v>0.02</v>
      </c>
      <c r="H97" s="132">
        <f>CHOOSE(DATA_SET,E97,F97,G97)</f>
        <v>0.02</v>
      </c>
      <c r="I97" s="18" t="inlineStr">
        <is>
          <t>STOREY_UPLIFT</t>
        </is>
      </c>
      <c r="J97" s="8" t="inlineStr">
        <is>
          <t>Taller frames cost more per m²</t>
        </is>
      </c>
    </row>
    <row r="98">
      <c r="B98" s="36" t="inlineStr">
        <is>
          <t>Basement extra (excavation, retaining, waterproofing)</t>
        </is>
      </c>
      <c r="C98" s="116" t="inlineStr">
        <is>
          <t>የምድር ቤት ተጨማሪ ወጪ</t>
        </is>
      </c>
      <c r="D98" s="117" t="inlineStr">
        <is>
          <t>ETB/m²</t>
        </is>
      </c>
      <c r="E98" s="122" t="n">
        <v>12000</v>
      </c>
      <c r="F98" s="122" t="n">
        <v>12000</v>
      </c>
      <c r="G98" s="122" t="n">
        <v>12000</v>
      </c>
      <c r="H98" s="123">
        <f>CHOOSE(DATA_SET,E98,F98,G98)</f>
        <v>12000</v>
      </c>
      <c r="I98" s="18" t="inlineStr">
        <is>
          <t>BASEMENT_RATE</t>
        </is>
      </c>
      <c r="J98" s="8" t="inlineStr">
        <is>
          <t>Applied to basement gross area</t>
        </is>
      </c>
    </row>
    <row r="99">
      <c r="B99" s="36" t="inlineStr">
        <is>
          <t>Compound wall?</t>
        </is>
      </c>
      <c r="C99" s="116" t="inlineStr">
        <is>
          <t>የአጥር ግንብ?</t>
        </is>
      </c>
      <c r="D99" s="117" t="inlineStr">
        <is>
          <t>Y/N</t>
        </is>
      </c>
      <c r="E99" s="120" t="inlineStr">
        <is>
          <t>No</t>
        </is>
      </c>
      <c r="F99" s="120" t="inlineStr">
        <is>
          <t>Yes</t>
        </is>
      </c>
      <c r="G99" s="120" t="inlineStr">
        <is>
          <t>Yes</t>
        </is>
      </c>
      <c r="H99" s="121">
        <f>IF(CHOOSE(DATA_SET,E99,F99,G99)="Yes",1,0)</f>
        <v>1</v>
      </c>
      <c r="I99" s="18" t="inlineStr">
        <is>
          <t>COMPOUND_YN</t>
        </is>
      </c>
      <c r="J99" s="8" t="inlineStr"/>
    </row>
    <row r="100">
      <c r="B100" s="36" t="inlineStr">
        <is>
          <t>Compound wall length</t>
        </is>
      </c>
      <c r="C100" s="116" t="inlineStr">
        <is>
          <t>የአጥር ርዝመት</t>
        </is>
      </c>
      <c r="D100" s="117" t="inlineStr">
        <is>
          <t>m</t>
        </is>
      </c>
      <c r="E100" s="122" t="n">
        <v>0</v>
      </c>
      <c r="F100" s="122" t="n">
        <v>70</v>
      </c>
      <c r="G100" s="122" t="n">
        <v>120</v>
      </c>
      <c r="H100" s="123">
        <f>CHOOSE(DATA_SET,E100,F100,G100)</f>
        <v>120</v>
      </c>
      <c r="I100" s="18" t="inlineStr">
        <is>
          <t>COMPOUND_LEN</t>
        </is>
      </c>
      <c r="J100" s="8" t="inlineStr"/>
    </row>
    <row r="101">
      <c r="B101" s="36" t="inlineStr">
        <is>
          <t>Compound wall rate</t>
        </is>
      </c>
      <c r="C101" s="116" t="inlineStr">
        <is>
          <t>የአጥር ዋጋ በሜትር</t>
        </is>
      </c>
      <c r="D101" s="117" t="inlineStr">
        <is>
          <t>ETB/m</t>
        </is>
      </c>
      <c r="E101" s="122" t="n">
        <v>18000</v>
      </c>
      <c r="F101" s="122" t="n">
        <v>18000</v>
      </c>
      <c r="G101" s="122" t="n">
        <v>20000</v>
      </c>
      <c r="H101" s="123">
        <f>CHOOSE(DATA_SET,E101,F101,G101)</f>
        <v>20000</v>
      </c>
      <c r="I101" s="18" t="inlineStr">
        <is>
          <t>COMPOUND_RATE</t>
        </is>
      </c>
      <c r="J101" s="8" t="inlineStr">
        <is>
          <t>Incl. gate</t>
        </is>
      </c>
    </row>
    <row r="102">
      <c r="B102" s="36" t="inlineStr">
        <is>
          <t>Septic tank?</t>
        </is>
      </c>
      <c r="C102" s="116" t="inlineStr">
        <is>
          <t>የፍሳሽ ጉድጓድ?</t>
        </is>
      </c>
      <c r="D102" s="117" t="inlineStr">
        <is>
          <t>Y/N</t>
        </is>
      </c>
      <c r="E102" s="120" t="inlineStr">
        <is>
          <t>No</t>
        </is>
      </c>
      <c r="F102" s="120" t="inlineStr">
        <is>
          <t>Yes</t>
        </is>
      </c>
      <c r="G102" s="120" t="inlineStr">
        <is>
          <t>No</t>
        </is>
      </c>
      <c r="H102" s="121">
        <f>IF(CHOOSE(DATA_SET,E102,F102,G102)="Yes",1,0)</f>
        <v>0</v>
      </c>
      <c r="I102" s="18" t="inlineStr">
        <is>
          <t>SEPTIC_YN</t>
        </is>
      </c>
      <c r="J102" s="8" t="inlineStr">
        <is>
          <t>Not needed where sewer exists</t>
        </is>
      </c>
    </row>
    <row r="103">
      <c r="B103" s="36" t="inlineStr">
        <is>
          <t>Septic tanks – number</t>
        </is>
      </c>
      <c r="C103" s="116" t="inlineStr">
        <is>
          <t>የፍሳሽ ጉድጓድ ብዛት</t>
        </is>
      </c>
      <c r="D103" s="117" t="inlineStr">
        <is>
          <t>no.</t>
        </is>
      </c>
      <c r="E103" s="122" t="n">
        <v>0</v>
      </c>
      <c r="F103" s="122" t="n">
        <v>1</v>
      </c>
      <c r="G103" s="122" t="n">
        <v>0</v>
      </c>
      <c r="H103" s="123">
        <f>CHOOSE(DATA_SET,E103,F103,G103)</f>
        <v>0</v>
      </c>
      <c r="I103" s="18" t="inlineStr">
        <is>
          <t>SEPTIC_QTY</t>
        </is>
      </c>
      <c r="J103" s="8" t="inlineStr"/>
    </row>
    <row r="104">
      <c r="B104" s="36" t="inlineStr">
        <is>
          <t>Septic tank – cost each</t>
        </is>
      </c>
      <c r="C104" s="116" t="inlineStr">
        <is>
          <t>የአንዱ ዋጋ</t>
        </is>
      </c>
      <c r="D104" s="117" t="inlineStr">
        <is>
          <t>ETB</t>
        </is>
      </c>
      <c r="E104" s="122" t="n">
        <v>450000</v>
      </c>
      <c r="F104" s="122" t="n">
        <v>450000</v>
      </c>
      <c r="G104" s="122" t="n">
        <v>450000</v>
      </c>
      <c r="H104" s="123">
        <f>CHOOSE(DATA_SET,E104,F104,G104)</f>
        <v>450000</v>
      </c>
      <c r="I104" s="18" t="inlineStr">
        <is>
          <t>SEPTIC_RATE</t>
        </is>
      </c>
      <c r="J104" s="8" t="inlineStr"/>
    </row>
    <row r="105">
      <c r="B105" s="36" t="inlineStr">
        <is>
          <t>Water tanks?</t>
        </is>
      </c>
      <c r="C105" s="116" t="inlineStr">
        <is>
          <t>የውሃ ታንከር?</t>
        </is>
      </c>
      <c r="D105" s="117" t="inlineStr">
        <is>
          <t>Y/N</t>
        </is>
      </c>
      <c r="E105" s="120" t="inlineStr">
        <is>
          <t>No</t>
        </is>
      </c>
      <c r="F105" s="120" t="inlineStr">
        <is>
          <t>Yes</t>
        </is>
      </c>
      <c r="G105" s="120" t="inlineStr">
        <is>
          <t>Yes</t>
        </is>
      </c>
      <c r="H105" s="121">
        <f>IF(CHOOSE(DATA_SET,E105,F105,G105)="Yes",1,0)</f>
        <v>1</v>
      </c>
      <c r="I105" s="18" t="inlineStr">
        <is>
          <t>WTANK_YN</t>
        </is>
      </c>
      <c r="J105" s="8" t="inlineStr"/>
    </row>
    <row r="106">
      <c r="B106" s="36" t="inlineStr">
        <is>
          <t>Water tanks – number</t>
        </is>
      </c>
      <c r="C106" s="116" t="inlineStr">
        <is>
          <t>የውሃ ታንከር ብዛት</t>
        </is>
      </c>
      <c r="D106" s="117" t="inlineStr">
        <is>
          <t>no.</t>
        </is>
      </c>
      <c r="E106" s="122" t="n">
        <v>0</v>
      </c>
      <c r="F106" s="122" t="n">
        <v>2</v>
      </c>
      <c r="G106" s="122" t="n">
        <v>4</v>
      </c>
      <c r="H106" s="123">
        <f>CHOOSE(DATA_SET,E106,F106,G106)</f>
        <v>4</v>
      </c>
      <c r="I106" s="18" t="inlineStr">
        <is>
          <t>WTANK_QTY</t>
        </is>
      </c>
      <c r="J106" s="8" t="inlineStr"/>
    </row>
    <row r="107">
      <c r="B107" s="36" t="inlineStr">
        <is>
          <t>Water tank – cost each (incl. stand, pump)</t>
        </is>
      </c>
      <c r="C107" s="116" t="inlineStr">
        <is>
          <t>የአንዱ ዋጋ</t>
        </is>
      </c>
      <c r="D107" s="117" t="inlineStr">
        <is>
          <t>ETB</t>
        </is>
      </c>
      <c r="E107" s="122" t="n">
        <v>60000</v>
      </c>
      <c r="F107" s="122" t="n">
        <v>60000</v>
      </c>
      <c r="G107" s="122" t="n">
        <v>250000</v>
      </c>
      <c r="H107" s="123">
        <f>CHOOSE(DATA_SET,E107,F107,G107)</f>
        <v>250000</v>
      </c>
      <c r="I107" s="18" t="inlineStr">
        <is>
          <t>WTANK_RATE</t>
        </is>
      </c>
      <c r="J107" s="8" t="inlineStr"/>
    </row>
    <row r="108">
      <c r="B108" s="36" t="inlineStr">
        <is>
          <t>Paving / landscaping area</t>
        </is>
      </c>
      <c r="C108" s="116" t="inlineStr">
        <is>
          <t>የንጣፍ / የአትክልት ስፋት</t>
        </is>
      </c>
      <c r="D108" s="117" t="inlineStr">
        <is>
          <t>m²</t>
        </is>
      </c>
      <c r="E108" s="122" t="n">
        <v>0</v>
      </c>
      <c r="F108" s="122" t="n">
        <v>80</v>
      </c>
      <c r="G108" s="122" t="n">
        <v>250</v>
      </c>
      <c r="H108" s="123">
        <f>CHOOSE(DATA_SET,E108,F108,G108)</f>
        <v>250</v>
      </c>
      <c r="I108" s="18" t="inlineStr">
        <is>
          <t>EXT_M2</t>
        </is>
      </c>
      <c r="J108" s="8" t="inlineStr"/>
    </row>
    <row r="109">
      <c r="B109" s="36" t="inlineStr">
        <is>
          <t>Paving / landscaping rate</t>
        </is>
      </c>
      <c r="C109" s="116" t="inlineStr">
        <is>
          <t>የንጣፍ ዋጋ በካሬ</t>
        </is>
      </c>
      <c r="D109" s="117" t="inlineStr">
        <is>
          <t>ETB/m²</t>
        </is>
      </c>
      <c r="E109" s="122" t="n">
        <v>3500</v>
      </c>
      <c r="F109" s="122" t="n">
        <v>3500</v>
      </c>
      <c r="G109" s="122" t="n">
        <v>4500</v>
      </c>
      <c r="H109" s="123">
        <f>CHOOSE(DATA_SET,E109,F109,G109)</f>
        <v>4500</v>
      </c>
      <c r="I109" s="18" t="inlineStr">
        <is>
          <t>EXT_RATE</t>
        </is>
      </c>
      <c r="J109" s="8" t="inlineStr"/>
    </row>
    <row r="110">
      <c r="B110" s="36" t="inlineStr">
        <is>
          <t>Contingency (% of escalated hard cost)</t>
        </is>
      </c>
      <c r="C110" s="116" t="inlineStr">
        <is>
          <t>ያልተጠበቀ ወጪ መጠባበቂያ</t>
        </is>
      </c>
      <c r="D110" s="117" t="inlineStr">
        <is>
          <t>%</t>
        </is>
      </c>
      <c r="E110" s="131" t="n">
        <v>0.1</v>
      </c>
      <c r="F110" s="131" t="n">
        <v>0.1</v>
      </c>
      <c r="G110" s="131" t="n">
        <v>0.08</v>
      </c>
      <c r="H110" s="132">
        <f>CHOOSE(DATA_SET,E110,F110,G110)</f>
        <v>0.08</v>
      </c>
      <c r="I110" s="18" t="inlineStr">
        <is>
          <t>CONT_PCT</t>
        </is>
      </c>
      <c r="J110" s="8" t="inlineStr"/>
    </row>
    <row r="111">
      <c r="B111" s="36" t="inlineStr">
        <is>
          <t>Design fee (% of hard cost)</t>
        </is>
      </c>
      <c r="C111" s="116" t="inlineStr">
        <is>
          <t>የዲዛይን ክፍያ</t>
        </is>
      </c>
      <c r="D111" s="117" t="inlineStr">
        <is>
          <t>%</t>
        </is>
      </c>
      <c r="E111" s="131" t="n">
        <v>0.04</v>
      </c>
      <c r="F111" s="131" t="n">
        <v>0.04</v>
      </c>
      <c r="G111" s="131" t="n">
        <v>0.05</v>
      </c>
      <c r="H111" s="132">
        <f>CHOOSE(DATA_SET,E111,F111,G111)</f>
        <v>0.05</v>
      </c>
      <c r="I111" s="18" t="inlineStr">
        <is>
          <t>DESIGN_PCT</t>
        </is>
      </c>
      <c r="J111" s="8" t="inlineStr"/>
    </row>
    <row r="112">
      <c r="B112" s="36" t="inlineStr">
        <is>
          <t>Design fee paid upfront (month 1)</t>
        </is>
      </c>
      <c r="C112" s="116" t="inlineStr">
        <is>
          <t>በመጀመሪያ ወር የሚከፈል ድርሻ</t>
        </is>
      </c>
      <c r="D112" s="117" t="inlineStr">
        <is>
          <t>%</t>
        </is>
      </c>
      <c r="E112" s="131" t="n">
        <v>0.5</v>
      </c>
      <c r="F112" s="131" t="n">
        <v>0.5</v>
      </c>
      <c r="G112" s="131" t="n">
        <v>0.5</v>
      </c>
      <c r="H112" s="132">
        <f>CHOOSE(DATA_SET,E112,F112,G112)</f>
        <v>0.5</v>
      </c>
      <c r="I112" s="18" t="inlineStr">
        <is>
          <t>DESIGN_UPFRONT</t>
        </is>
      </c>
      <c r="J112" s="8" t="inlineStr">
        <is>
          <t>Rest follows the S-curve</t>
        </is>
      </c>
    </row>
    <row r="113">
      <c r="B113" s="36" t="inlineStr">
        <is>
          <t>Supervision (% of escalated hard cost)</t>
        </is>
      </c>
      <c r="C113" s="116" t="inlineStr">
        <is>
          <t>የቁጥጥር ክፍያ</t>
        </is>
      </c>
      <c r="D113" s="117" t="inlineStr">
        <is>
          <t>%</t>
        </is>
      </c>
      <c r="E113" s="131" t="n">
        <v>0.02</v>
      </c>
      <c r="F113" s="131" t="n">
        <v>0.02</v>
      </c>
      <c r="G113" s="131" t="n">
        <v>0.03</v>
      </c>
      <c r="H113" s="132">
        <f>CHOOSE(DATA_SET,E113,F113,G113)</f>
        <v>0.03</v>
      </c>
      <c r="I113" s="18" t="inlineStr">
        <is>
          <t>SUPERV_PCT</t>
        </is>
      </c>
      <c r="J113" s="8" t="inlineStr"/>
    </row>
    <row r="114">
      <c r="B114" s="36" t="inlineStr">
        <is>
          <t>Permits &amp; municipal fees</t>
        </is>
      </c>
      <c r="C114" s="116" t="inlineStr">
        <is>
          <t>ፈቃድና የማዘጋጃ ቤት ክፍያዎች</t>
        </is>
      </c>
      <c r="D114" s="117" t="inlineStr">
        <is>
          <t>ETB</t>
        </is>
      </c>
      <c r="E114" s="122" t="n">
        <v>0</v>
      </c>
      <c r="F114" s="122" t="n">
        <v>120000</v>
      </c>
      <c r="G114" s="122" t="n">
        <v>2500000</v>
      </c>
      <c r="H114" s="123">
        <f>CHOOSE(DATA_SET,E114,F114,G114)</f>
        <v>2500000</v>
      </c>
      <c r="I114" s="18" t="inlineStr">
        <is>
          <t>PERMITS</t>
        </is>
      </c>
      <c r="J114" s="8" t="inlineStr">
        <is>
          <t>Paid month 1</t>
        </is>
      </c>
    </row>
    <row r="115">
      <c r="B115" s="36" t="inlineStr">
        <is>
          <t>Furniture, fittings &amp; equipment (FF&amp;E)</t>
        </is>
      </c>
      <c r="C115" s="116" t="inlineStr">
        <is>
          <t>የቤት ዕቃዎችና መገልገያዎች</t>
        </is>
      </c>
      <c r="D115" s="117" t="inlineStr">
        <is>
          <t>ETB</t>
        </is>
      </c>
      <c r="E115" s="122" t="n">
        <v>0</v>
      </c>
      <c r="F115" s="122" t="n">
        <v>1000000</v>
      </c>
      <c r="G115" s="122" t="n">
        <v>6000000</v>
      </c>
      <c r="H115" s="123">
        <f>CHOOSE(DATA_SET,E115,F115,G115)</f>
        <v>6000000</v>
      </c>
      <c r="I115" s="18" t="inlineStr">
        <is>
          <t>FFE</t>
        </is>
      </c>
      <c r="J115" s="8" t="inlineStr">
        <is>
          <t>Paid in the completion month</t>
        </is>
      </c>
    </row>
    <row r="116">
      <c r="B116" s="36" t="inlineStr">
        <is>
          <t>Construction cost escalation</t>
        </is>
      </c>
      <c r="C116" s="116" t="inlineStr">
        <is>
          <t>የግንባታ ዋጋ ጭማሪ በዓመት</t>
        </is>
      </c>
      <c r="D116" s="117" t="inlineStr">
        <is>
          <t>% p.a.</t>
        </is>
      </c>
      <c r="E116" s="131" t="n">
        <v>0.15</v>
      </c>
      <c r="F116" s="131" t="n">
        <v>0.15</v>
      </c>
      <c r="G116" s="131" t="n">
        <v>0.15</v>
      </c>
      <c r="H116" s="132">
        <f>CHOOSE(DATA_SET,E116,F116,G116)</f>
        <v>0.15</v>
      </c>
      <c r="I116" s="18" t="inlineStr">
        <is>
          <t>ESC_PA</t>
        </is>
      </c>
      <c r="J116" s="8" t="inlineStr">
        <is>
          <t>Applied per month from the budget date</t>
        </is>
      </c>
    </row>
    <row r="117">
      <c r="B117" s="36" t="inlineStr">
        <is>
          <t>Use Rapha Construction Cost Index row instead</t>
        </is>
      </c>
      <c r="C117" s="116" t="inlineStr">
        <is>
          <t>የራፋ የግንባታ ዋጋ ኢንዴክስ ይጠቀሙ</t>
        </is>
      </c>
      <c r="D117" s="117" t="inlineStr">
        <is>
          <t>Y/N</t>
        </is>
      </c>
      <c r="E117" s="120" t="inlineStr">
        <is>
          <t>No</t>
        </is>
      </c>
      <c r="F117" s="120" t="inlineStr">
        <is>
          <t>No</t>
        </is>
      </c>
      <c r="G117" s="120" t="inlineStr">
        <is>
          <t>No</t>
        </is>
      </c>
      <c r="H117" s="121">
        <f>IF(CHOOSE(DATA_SET,E117,F117,G117)="Yes",1,0)</f>
        <v>0</v>
      </c>
      <c r="I117" s="18" t="inlineStr">
        <is>
          <t>INDEX_USE</t>
        </is>
      </c>
      <c r="J117" s="8" t="inlineStr">
        <is>
          <t>Enter index values in the row on sheet 23</t>
        </is>
      </c>
    </row>
    <row r="118">
      <c r="B118" s="36" t="inlineStr">
        <is>
          <t>Cost index at budget date</t>
        </is>
      </c>
      <c r="C118" s="116" t="inlineStr">
        <is>
          <t>ኢንዴክስ በበጀት ቀን</t>
        </is>
      </c>
      <c r="D118" s="117" t="inlineStr">
        <is>
          <t>index</t>
        </is>
      </c>
      <c r="E118" s="129" t="n">
        <v>0</v>
      </c>
      <c r="F118" s="129" t="n">
        <v>0</v>
      </c>
      <c r="G118" s="129" t="n">
        <v>0</v>
      </c>
      <c r="H118" s="130">
        <f>CHOOSE(DATA_SET,E118,F118,G118)</f>
        <v>0</v>
      </c>
      <c r="I118" s="18" t="inlineStr">
        <is>
          <t>INDEX_BASE</t>
        </is>
      </c>
      <c r="J118" s="8" t="inlineStr">
        <is>
          <t>Rapha CCI value at START_DATE</t>
        </is>
      </c>
    </row>
    <row r="119">
      <c r="B119" s="36" t="inlineStr">
        <is>
          <t>Spend profile</t>
        </is>
      </c>
      <c r="C119" s="116" t="inlineStr">
        <is>
          <t>የወጪ ስርጭት</t>
        </is>
      </c>
      <c r="D119" s="117" t="inlineStr">
        <is>
          <t>list</t>
        </is>
      </c>
      <c r="E119" s="120" t="inlineStr">
        <is>
          <t>S-curve (sigmoid)</t>
        </is>
      </c>
      <c r="F119" s="120" t="inlineStr">
        <is>
          <t>S-curve (sigmoid)</t>
        </is>
      </c>
      <c r="G119" s="120" t="inlineStr">
        <is>
          <t>S-curve (sigmoid)</t>
        </is>
      </c>
      <c r="H119" s="121">
        <f>IFERROR(MATCH(CHOOSE(DATA_SET,E119,F119,G119),L_SCURVE,0),1)</f>
        <v>1</v>
      </c>
      <c r="I119" s="18" t="inlineStr">
        <is>
          <t>SCURVE_TYPE</t>
        </is>
      </c>
      <c r="J119" s="8" t="inlineStr"/>
    </row>
    <row r="120">
      <c r="B120" s="36" t="inlineStr">
        <is>
          <t>S-curve steepness</t>
        </is>
      </c>
      <c r="C120" s="116" t="inlineStr">
        <is>
          <t>የS-ኩርባ ቅርጽ</t>
        </is>
      </c>
      <c r="D120" s="117" t="inlineStr">
        <is>
          <t>x</t>
        </is>
      </c>
      <c r="E120" s="129" t="n">
        <v>2</v>
      </c>
      <c r="F120" s="129" t="n">
        <v>2</v>
      </c>
      <c r="G120" s="129" t="n">
        <v>2</v>
      </c>
      <c r="H120" s="130">
        <f>CHOOSE(DATA_SET,E120,F120,G120)</f>
        <v>2</v>
      </c>
      <c r="I120" s="18" t="inlineStr">
        <is>
          <t>SCURVE_A</t>
        </is>
      </c>
      <c r="J120" s="8" t="inlineStr">
        <is>
          <t>1 = linear, 2–3 = typical</t>
        </is>
      </c>
    </row>
    <row r="121">
      <c r="B121" s="36" t="inlineStr">
        <is>
          <t>Contractor retention</t>
        </is>
      </c>
      <c r="C121" s="116" t="inlineStr">
        <is>
          <t>ከኮንትራክተር የሚያዝ ገንዘብ</t>
        </is>
      </c>
      <c r="D121" s="117" t="inlineStr">
        <is>
          <t>%</t>
        </is>
      </c>
      <c r="E121" s="131" t="n">
        <v>0.05</v>
      </c>
      <c r="F121" s="131" t="n">
        <v>0.05</v>
      </c>
      <c r="G121" s="131" t="n">
        <v>0.05</v>
      </c>
      <c r="H121" s="132">
        <f>CHOOSE(DATA_SET,E121,F121,G121)</f>
        <v>0.05</v>
      </c>
      <c r="I121" s="18" t="inlineStr">
        <is>
          <t>RETENTION</t>
        </is>
      </c>
      <c r="J121" s="8" t="inlineStr">
        <is>
          <t>Withheld from hard cost</t>
        </is>
      </c>
    </row>
    <row r="122">
      <c r="B122" s="36" t="inlineStr">
        <is>
          <t>Retention released – months after completion</t>
        </is>
      </c>
      <c r="C122" s="116" t="inlineStr">
        <is>
          <t>የሚለቀቅበት ጊዜ</t>
        </is>
      </c>
      <c r="D122" s="117" t="inlineStr">
        <is>
          <t>months</t>
        </is>
      </c>
      <c r="E122" s="128" t="n">
        <v>12</v>
      </c>
      <c r="F122" s="128" t="n">
        <v>6</v>
      </c>
      <c r="G122" s="128" t="n">
        <v>12</v>
      </c>
      <c r="H122" s="121">
        <f>CHOOSE(DATA_SET,E122,F122,G122)</f>
        <v>12</v>
      </c>
      <c r="I122" s="18" t="inlineStr">
        <is>
          <t>RET_REL_M</t>
        </is>
      </c>
      <c r="J122" s="8" t="inlineStr"/>
    </row>
    <row r="123">
      <c r="B123" s="36" t="inlineStr">
        <is>
          <t>Share of capex carrying input VAT</t>
        </is>
      </c>
      <c r="C123" s="116" t="inlineStr">
        <is>
          <t>ተ.እ.ታ ያለበት የወጪ ድርሻ</t>
        </is>
      </c>
      <c r="D123" s="117" t="inlineStr">
        <is>
          <t>%</t>
        </is>
      </c>
      <c r="E123" s="131" t="n">
        <v>0.7</v>
      </c>
      <c r="F123" s="131" t="n">
        <v>0.7</v>
      </c>
      <c r="G123" s="131" t="n">
        <v>0.7</v>
      </c>
      <c r="H123" s="132">
        <f>CHOOSE(DATA_SET,E123,F123,G123)</f>
        <v>0.7</v>
      </c>
      <c r="I123" s="18" t="inlineStr">
        <is>
          <t>VAT_CAPEX_PCT</t>
        </is>
      </c>
      <c r="J123" s="8" t="inlineStr">
        <is>
          <t>Commercial modes only. Mode 0: rates are VAT-inclusive (households cannot reclaim VAT)</t>
        </is>
      </c>
    </row>
    <row r="124" ht="20" customHeight="1">
      <c r="B124" s="113" t="inlineStr">
        <is>
          <t>5. Land</t>
        </is>
      </c>
      <c r="C124" s="114" t="inlineStr">
        <is>
          <t>5. መሬት</t>
        </is>
      </c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B125" s="36" t="inlineStr">
        <is>
          <t>Land arrangement</t>
        </is>
      </c>
      <c r="C125" s="116" t="inlineStr">
        <is>
          <t>የመሬት ይዞታ ዓይነት</t>
        </is>
      </c>
      <c r="D125" s="117" t="inlineStr">
        <is>
          <t>list</t>
        </is>
      </c>
      <c r="E125" s="120" t="inlineStr">
        <is>
          <t>Lease (cash)</t>
        </is>
      </c>
      <c r="F125" s="120" t="inlineStr">
        <is>
          <t>Already owned (in-kind by owner)</t>
        </is>
      </c>
      <c r="G125" s="120" t="inlineStr">
        <is>
          <t>Lease (cash)</t>
        </is>
      </c>
      <c r="H125" s="121">
        <f>IFERROR(MATCH(CHOOSE(DATA_SET,E125,F125,G125),L_LAND,0),1)</f>
        <v>1</v>
      </c>
      <c r="I125" s="18" t="inlineStr">
        <is>
          <t>LAND_TYPE</t>
        </is>
      </c>
      <c r="J125" s="8" t="inlineStr">
        <is>
          <t>In-kind partner = non-controlling interest (NCI)</t>
        </is>
      </c>
    </row>
    <row r="126">
      <c r="B126" s="36" t="inlineStr">
        <is>
          <t>Land lease price / market value</t>
        </is>
      </c>
      <c r="C126" s="116" t="inlineStr">
        <is>
          <t>የሊዝ ዋጋ / የገበያ ዋጋ</t>
        </is>
      </c>
      <c r="D126" s="117" t="inlineStr">
        <is>
          <t>ETB</t>
        </is>
      </c>
      <c r="E126" s="122" t="n">
        <v>0</v>
      </c>
      <c r="F126" s="122" t="n">
        <v>0</v>
      </c>
      <c r="G126" s="122" t="n">
        <v>150000000</v>
      </c>
      <c r="H126" s="123">
        <f>CHOOSE(DATA_SET,E126,F126,G126)</f>
        <v>150000000</v>
      </c>
      <c r="I126" s="18" t="inlineStr">
        <is>
          <t>LAND_VALUE</t>
        </is>
      </c>
      <c r="J126" s="8" t="inlineStr">
        <is>
          <t>Sample A plot already owned – excluded from cost</t>
        </is>
      </c>
    </row>
    <row r="127">
      <c r="B127" s="36" t="inlineStr">
        <is>
          <t>Lease down payment</t>
        </is>
      </c>
      <c r="C127" s="116" t="inlineStr">
        <is>
          <t>የሊዝ ቅድመ ክፍያ</t>
        </is>
      </c>
      <c r="D127" s="117" t="inlineStr">
        <is>
          <t>%</t>
        </is>
      </c>
      <c r="E127" s="131" t="n">
        <v>0.1</v>
      </c>
      <c r="F127" s="131" t="n">
        <v>0.1</v>
      </c>
      <c r="G127" s="131" t="n">
        <v>0.1</v>
      </c>
      <c r="H127" s="132">
        <f>CHOOSE(DATA_SET,E127,F127,G127)</f>
        <v>0.1</v>
      </c>
      <c r="I127" s="18" t="inlineStr">
        <is>
          <t>LEASE_DP</t>
        </is>
      </c>
      <c r="J127" s="8" t="inlineStr">
        <is>
          <t>Paid in month 1</t>
        </is>
      </c>
    </row>
    <row r="128">
      <c r="B128" s="36" t="inlineStr">
        <is>
          <t>Lease instalment years</t>
        </is>
      </c>
      <c r="C128" s="116" t="inlineStr">
        <is>
          <t>የሊዝ ክፍያ ዓመታት</t>
        </is>
      </c>
      <c r="D128" s="117" t="inlineStr">
        <is>
          <t>years</t>
        </is>
      </c>
      <c r="E128" s="128" t="n">
        <v>30</v>
      </c>
      <c r="F128" s="128" t="n">
        <v>30</v>
      </c>
      <c r="G128" s="128" t="n">
        <v>30</v>
      </c>
      <c r="H128" s="121">
        <f>CHOOSE(DATA_SET,E128,F128,G128)</f>
        <v>30</v>
      </c>
      <c r="I128" s="18" t="inlineStr">
        <is>
          <t>LEASE_N</t>
        </is>
      </c>
      <c r="J128" s="8" t="inlineStr">
        <is>
          <t>Annual instalments</t>
        </is>
      </c>
    </row>
    <row r="129">
      <c r="B129" s="36" t="inlineStr">
        <is>
          <t>Interest on unpaid lease balance</t>
        </is>
      </c>
      <c r="C129" s="116" t="inlineStr">
        <is>
          <t>ባልተከፈለ ሊዝ ላይ ወለድ</t>
        </is>
      </c>
      <c r="D129" s="117" t="inlineStr">
        <is>
          <t>% p.a.</t>
        </is>
      </c>
      <c r="E129" s="131" t="n">
        <v>0.07000000000000001</v>
      </c>
      <c r="F129" s="131" t="n">
        <v>0.07000000000000001</v>
      </c>
      <c r="G129" s="131" t="n">
        <v>0.07000000000000001</v>
      </c>
      <c r="H129" s="132">
        <f>CHOOSE(DATA_SET,E129,F129,G129)</f>
        <v>0.07</v>
      </c>
      <c r="I129" s="18" t="inlineStr">
        <is>
          <t>LEASE_INT</t>
        </is>
      </c>
      <c r="J129" s="8" t="inlineStr">
        <is>
          <t>Per lease contract; verify</t>
        </is>
      </c>
    </row>
    <row r="130" ht="20" customHeight="1">
      <c r="B130" s="113" t="inlineStr">
        <is>
          <t>6. Sales</t>
        </is>
      </c>
      <c r="C130" s="114" t="inlineStr">
        <is>
          <t>6. ሽያጭ</t>
        </is>
      </c>
      <c r="D130" s="115" t="n"/>
      <c r="E130" s="115" t="n"/>
      <c r="F130" s="115" t="n"/>
      <c r="G130" s="115" t="n"/>
      <c r="H130" s="115" t="n"/>
      <c r="I130" s="115" t="n"/>
      <c r="J130" s="115" t="n"/>
    </row>
    <row r="131">
      <c r="B131" s="36" t="inlineStr">
        <is>
          <t>Sale price – Residential (today's prices)</t>
        </is>
      </c>
      <c r="C131" s="116" t="inlineStr">
        <is>
          <t>የሽያጭ ዋጋ – መኖሪያ</t>
        </is>
      </c>
      <c r="D131" s="117" t="inlineStr">
        <is>
          <t>ETB/m²</t>
        </is>
      </c>
      <c r="E131" s="122" t="n">
        <v>0</v>
      </c>
      <c r="F131" s="122" t="n">
        <v>0</v>
      </c>
      <c r="G131" s="122" t="n">
        <v>125000</v>
      </c>
      <c r="H131" s="123">
        <f>CHOOSE(DATA_SET,E131,F131,G131)</f>
        <v>125000</v>
      </c>
      <c r="I131" s="18" t="inlineStr">
        <is>
          <t>PRICE_RES</t>
        </is>
      </c>
      <c r="J131" s="8" t="inlineStr">
        <is>
          <t>Per net saleable m²</t>
        </is>
      </c>
    </row>
    <row r="132">
      <c r="B132" s="36" t="inlineStr">
        <is>
          <t>Sale price – Retail (today's prices)</t>
        </is>
      </c>
      <c r="C132" s="116" t="inlineStr">
        <is>
          <t>የሽያጭ ዋጋ – የንግድ ሱቅ</t>
        </is>
      </c>
      <c r="D132" s="117" t="inlineStr">
        <is>
          <t>ETB/m²</t>
        </is>
      </c>
      <c r="E132" s="122" t="n">
        <v>0</v>
      </c>
      <c r="F132" s="122" t="n">
        <v>0</v>
      </c>
      <c r="G132" s="122" t="n">
        <v>180000</v>
      </c>
      <c r="H132" s="123">
        <f>CHOOSE(DATA_SET,E132,F132,G132)</f>
        <v>180000</v>
      </c>
      <c r="I132" s="18" t="inlineStr">
        <is>
          <t>PRICE_RET</t>
        </is>
      </c>
      <c r="J132" s="8" t="inlineStr">
        <is>
          <t>Per net saleable m²</t>
        </is>
      </c>
    </row>
    <row r="133">
      <c r="B133" s="36" t="inlineStr">
        <is>
          <t>Sale price – Office (today's prices)</t>
        </is>
      </c>
      <c r="C133" s="116" t="inlineStr">
        <is>
          <t>የሽያጭ ዋጋ – ቢሮ</t>
        </is>
      </c>
      <c r="D133" s="117" t="inlineStr">
        <is>
          <t>ETB/m²</t>
        </is>
      </c>
      <c r="E133" s="122" t="n">
        <v>0</v>
      </c>
      <c r="F133" s="122" t="n">
        <v>0</v>
      </c>
      <c r="G133" s="122" t="n">
        <v>110000</v>
      </c>
      <c r="H133" s="123">
        <f>CHOOSE(DATA_SET,E133,F133,G133)</f>
        <v>110000</v>
      </c>
      <c r="I133" s="18" t="inlineStr">
        <is>
          <t>PRICE_OFF</t>
        </is>
      </c>
      <c r="J133" s="8" t="inlineStr">
        <is>
          <t>Per net saleable m²</t>
        </is>
      </c>
    </row>
    <row r="134">
      <c r="B134" s="36" t="inlineStr">
        <is>
          <t>Sale price – Parking (today's prices)</t>
        </is>
      </c>
      <c r="C134" s="116" t="inlineStr">
        <is>
          <t>የሽያጭ ዋጋ – መኪና ማቆሚያ</t>
        </is>
      </c>
      <c r="D134" s="117" t="inlineStr">
        <is>
          <t>ETB/m²</t>
        </is>
      </c>
      <c r="E134" s="122" t="n">
        <v>0</v>
      </c>
      <c r="F134" s="122" t="n">
        <v>0</v>
      </c>
      <c r="G134" s="122" t="n">
        <v>0</v>
      </c>
      <c r="H134" s="123">
        <f>CHOOSE(DATA_SET,E134,F134,G134)</f>
        <v>0</v>
      </c>
      <c r="I134" s="18" t="inlineStr">
        <is>
          <t>PRICE_PAR</t>
        </is>
      </c>
      <c r="J134" s="8" t="inlineStr">
        <is>
          <t>Per net saleable m²</t>
        </is>
      </c>
    </row>
    <row r="135">
      <c r="B135" s="36" t="inlineStr">
        <is>
          <t>Sale price – Other (today's prices)</t>
        </is>
      </c>
      <c r="C135" s="116" t="inlineStr">
        <is>
          <t>የሽያጭ ዋጋ – ሌላ</t>
        </is>
      </c>
      <c r="D135" s="117" t="inlineStr">
        <is>
          <t>ETB/m²</t>
        </is>
      </c>
      <c r="E135" s="122" t="n">
        <v>0</v>
      </c>
      <c r="F135" s="122" t="n">
        <v>0</v>
      </c>
      <c r="G135" s="122" t="n">
        <v>0</v>
      </c>
      <c r="H135" s="123">
        <f>CHOOSE(DATA_SET,E135,F135,G135)</f>
        <v>0</v>
      </c>
      <c r="I135" s="18" t="inlineStr">
        <is>
          <t>PRICE_OTH</t>
        </is>
      </c>
      <c r="J135" s="8" t="inlineStr">
        <is>
          <t>Per net saleable m²</t>
        </is>
      </c>
    </row>
    <row r="136">
      <c r="B136" s="36" t="inlineStr">
        <is>
          <t>Sale price escalation</t>
        </is>
      </c>
      <c r="C136" s="116" t="inlineStr">
        <is>
          <t>የሽያጭ ዋጋ ጭማሪ</t>
        </is>
      </c>
      <c r="D136" s="117" t="inlineStr">
        <is>
          <t>% p.a.</t>
        </is>
      </c>
      <c r="E136" s="131" t="n">
        <v>0.1</v>
      </c>
      <c r="F136" s="131" t="n">
        <v>0.1</v>
      </c>
      <c r="G136" s="131" t="n">
        <v>0.1</v>
      </c>
      <c r="H136" s="132">
        <f>CHOOSE(DATA_SET,E136,F136,G136)</f>
        <v>0.1</v>
      </c>
      <c r="I136" s="18" t="inlineStr">
        <is>
          <t>PRICE_ESC</t>
        </is>
      </c>
      <c r="J136" s="8" t="inlineStr"/>
    </row>
    <row r="137">
      <c r="B137" s="36" t="inlineStr">
        <is>
          <t>Presold in construction year 1 (% of saleable)</t>
        </is>
      </c>
      <c r="C137" s="116" t="inlineStr">
        <is>
          <t>በ1ኛው የግንባታ ዓመት ቅድመ-ሽያጭ</t>
        </is>
      </c>
      <c r="D137" s="117" t="inlineStr">
        <is>
          <t>%</t>
        </is>
      </c>
      <c r="E137" s="131" t="n">
        <v>0</v>
      </c>
      <c r="F137" s="131" t="n">
        <v>0</v>
      </c>
      <c r="G137" s="131" t="n">
        <v>0.25</v>
      </c>
      <c r="H137" s="132">
        <f>CHOOSE(DATA_SET,E137,F137,G137)</f>
        <v>0.25</v>
      </c>
      <c r="I137" s="18" t="inlineStr">
        <is>
          <t>PRESALE_1</t>
        </is>
      </c>
      <c r="J137" s="8" t="inlineStr"/>
    </row>
    <row r="138">
      <c r="B138" s="36" t="inlineStr">
        <is>
          <t>Presold in construction year 2</t>
        </is>
      </c>
      <c r="C138" s="116" t="inlineStr">
        <is>
          <t>በ2ኛው ዓመት</t>
        </is>
      </c>
      <c r="D138" s="117" t="inlineStr">
        <is>
          <t>%</t>
        </is>
      </c>
      <c r="E138" s="131" t="n">
        <v>0</v>
      </c>
      <c r="F138" s="131" t="n">
        <v>0</v>
      </c>
      <c r="G138" s="131" t="n">
        <v>0.25</v>
      </c>
      <c r="H138" s="132">
        <f>CHOOSE(DATA_SET,E138,F138,G138)</f>
        <v>0.25</v>
      </c>
      <c r="I138" s="18" t="inlineStr">
        <is>
          <t>PRESALE_2</t>
        </is>
      </c>
      <c r="J138" s="8" t="inlineStr"/>
    </row>
    <row r="139">
      <c r="B139" s="36" t="inlineStr">
        <is>
          <t>Presold in construction year 3</t>
        </is>
      </c>
      <c r="C139" s="116" t="inlineStr">
        <is>
          <t>በ3ኛው ዓመት</t>
        </is>
      </c>
      <c r="D139" s="117" t="inlineStr">
        <is>
          <t>%</t>
        </is>
      </c>
      <c r="E139" s="131" t="n">
        <v>0</v>
      </c>
      <c r="F139" s="131" t="n">
        <v>0</v>
      </c>
      <c r="G139" s="131" t="n">
        <v>0.2</v>
      </c>
      <c r="H139" s="132">
        <f>CHOOSE(DATA_SET,E139,F139,G139)</f>
        <v>0.2</v>
      </c>
      <c r="I139" s="18" t="inlineStr">
        <is>
          <t>PRESALE_3</t>
        </is>
      </c>
      <c r="J139" s="8" t="inlineStr"/>
    </row>
    <row r="140">
      <c r="B140" s="36" t="inlineStr">
        <is>
          <t>Presold in construction year 4</t>
        </is>
      </c>
      <c r="C140" s="116" t="inlineStr">
        <is>
          <t>በ4ኛው ዓመት</t>
        </is>
      </c>
      <c r="D140" s="117" t="inlineStr">
        <is>
          <t>%</t>
        </is>
      </c>
      <c r="E140" s="131" t="n">
        <v>0</v>
      </c>
      <c r="F140" s="131" t="n">
        <v>0</v>
      </c>
      <c r="G140" s="131" t="n">
        <v>0</v>
      </c>
      <c r="H140" s="132">
        <f>CHOOSE(DATA_SET,E140,F140,G140)</f>
        <v>0</v>
      </c>
      <c r="I140" s="18" t="inlineStr">
        <is>
          <t>PRESALE_4</t>
        </is>
      </c>
      <c r="J140" s="8" t="inlineStr">
        <is>
          <t>Total presales capped at 100%</t>
        </is>
      </c>
    </row>
    <row r="141">
      <c r="B141" s="36" t="inlineStr">
        <is>
          <t>After completion: % of unsold sold in O1</t>
        </is>
      </c>
      <c r="C141" s="116" t="inlineStr">
        <is>
          <t>ከግንባታ በኋላ በ1ኛው ዓመት የሚሸጥ</t>
        </is>
      </c>
      <c r="D141" s="117" t="inlineStr">
        <is>
          <t>%</t>
        </is>
      </c>
      <c r="E141" s="131" t="n">
        <v>0.6</v>
      </c>
      <c r="F141" s="131" t="n">
        <v>0.6</v>
      </c>
      <c r="G141" s="131" t="n">
        <v>0.6</v>
      </c>
      <c r="H141" s="132">
        <f>CHOOSE(DATA_SET,E141,F141,G141)</f>
        <v>0.6</v>
      </c>
      <c r="I141" s="18" t="inlineStr">
        <is>
          <t>ABS_1</t>
        </is>
      </c>
      <c r="J141" s="8" t="inlineStr"/>
    </row>
    <row r="142">
      <c r="B142" s="36" t="inlineStr">
        <is>
          <t>… sold in O2</t>
        </is>
      </c>
      <c r="C142" s="116" t="inlineStr">
        <is>
          <t>በ2ኛው ዓመት</t>
        </is>
      </c>
      <c r="D142" s="117" t="inlineStr">
        <is>
          <t>%</t>
        </is>
      </c>
      <c r="E142" s="131" t="n">
        <v>0.4</v>
      </c>
      <c r="F142" s="131" t="n">
        <v>0.4</v>
      </c>
      <c r="G142" s="131" t="n">
        <v>0.4</v>
      </c>
      <c r="H142" s="132">
        <f>CHOOSE(DATA_SET,E142,F142,G142)</f>
        <v>0.4</v>
      </c>
      <c r="I142" s="18" t="inlineStr">
        <is>
          <t>ABS_2</t>
        </is>
      </c>
      <c r="J142" s="8" t="inlineStr"/>
    </row>
    <row r="143">
      <c r="B143" s="36" t="inlineStr">
        <is>
          <t>… sold in O3</t>
        </is>
      </c>
      <c r="C143" s="116" t="inlineStr">
        <is>
          <t>በ3ኛው ዓመት</t>
        </is>
      </c>
      <c r="D143" s="117" t="inlineStr">
        <is>
          <t>%</t>
        </is>
      </c>
      <c r="E143" s="131" t="n">
        <v>0</v>
      </c>
      <c r="F143" s="131" t="n">
        <v>0</v>
      </c>
      <c r="G143" s="131" t="n">
        <v>0</v>
      </c>
      <c r="H143" s="132">
        <f>CHOOSE(DATA_SET,E143,F143,G143)</f>
        <v>0</v>
      </c>
      <c r="I143" s="18" t="inlineStr">
        <is>
          <t>ABS_3</t>
        </is>
      </c>
      <c r="J143" s="8" t="inlineStr"/>
    </row>
    <row r="144">
      <c r="B144" s="36" t="inlineStr">
        <is>
          <t>… sold in O4 (any remainder sells in O5)</t>
        </is>
      </c>
      <c r="C144" s="116" t="inlineStr">
        <is>
          <t>በ4ኛው ዓመት (ቀሪው በ5ኛው)</t>
        </is>
      </c>
      <c r="D144" s="117" t="inlineStr">
        <is>
          <t>%</t>
        </is>
      </c>
      <c r="E144" s="131" t="n">
        <v>0</v>
      </c>
      <c r="F144" s="131" t="n">
        <v>0</v>
      </c>
      <c r="G144" s="131" t="n">
        <v>0</v>
      </c>
      <c r="H144" s="132">
        <f>CHOOSE(DATA_SET,E144,F144,G144)</f>
        <v>0</v>
      </c>
      <c r="I144" s="18" t="inlineStr">
        <is>
          <t>ABS_4</t>
        </is>
      </c>
      <c r="J144" s="8" t="inlineStr">
        <is>
          <t>Guarantees full sell-out by O5</t>
        </is>
      </c>
    </row>
    <row r="145">
      <c r="B145" s="36" t="inlineStr">
        <is>
          <t>Payment plan: down payment at contract</t>
        </is>
      </c>
      <c r="C145" s="116" t="inlineStr">
        <is>
          <t>ውል ሲፈረም ቅድመ ክፍያ</t>
        </is>
      </c>
      <c r="D145" s="117" t="inlineStr">
        <is>
          <t>%</t>
        </is>
      </c>
      <c r="E145" s="131" t="n">
        <v>0.3</v>
      </c>
      <c r="F145" s="131" t="n">
        <v>0.3</v>
      </c>
      <c r="G145" s="131" t="n">
        <v>0.3</v>
      </c>
      <c r="H145" s="132">
        <f>CHOOSE(DATA_SET,E145,F145,G145)</f>
        <v>0.3</v>
      </c>
      <c r="I145" s="18" t="inlineStr">
        <is>
          <t>PAY_DP</t>
        </is>
      </c>
      <c r="J145" s="8" t="inlineStr"/>
    </row>
    <row r="146">
      <c r="B146" s="36" t="inlineStr">
        <is>
          <t>Payment plan: instalments tied to construction progress</t>
        </is>
      </c>
      <c r="C146" s="116" t="inlineStr">
        <is>
          <t>በግንባታ ሂደት የሚከፈል</t>
        </is>
      </c>
      <c r="D146" s="117" t="inlineStr">
        <is>
          <t>%</t>
        </is>
      </c>
      <c r="E146" s="131" t="n">
        <v>0.4</v>
      </c>
      <c r="F146" s="131" t="n">
        <v>0.4</v>
      </c>
      <c r="G146" s="131" t="n">
        <v>0.4</v>
      </c>
      <c r="H146" s="132">
        <f>CHOOSE(DATA_SET,E146,F146,G146)</f>
        <v>0.4</v>
      </c>
      <c r="I146" s="18" t="inlineStr">
        <is>
          <t>PAY_INST</t>
        </is>
      </c>
      <c r="J146" s="8" t="inlineStr">
        <is>
          <t>Balance is paid at handover</t>
        </is>
      </c>
    </row>
    <row r="147">
      <c r="B147" s="36" t="inlineStr">
        <is>
          <t>Sales commission</t>
        </is>
      </c>
      <c r="C147" s="116" t="inlineStr">
        <is>
          <t>የሽያጭ ኮሚሽን</t>
        </is>
      </c>
      <c r="D147" s="117" t="inlineStr">
        <is>
          <t>%</t>
        </is>
      </c>
      <c r="E147" s="131" t="n">
        <v>0.02</v>
      </c>
      <c r="F147" s="131" t="n">
        <v>0.02</v>
      </c>
      <c r="G147" s="131" t="n">
        <v>0.02</v>
      </c>
      <c r="H147" s="132">
        <f>CHOOSE(DATA_SET,E147,F147,G147)</f>
        <v>0.02</v>
      </c>
      <c r="I147" s="18" t="inlineStr">
        <is>
          <t>COMM_PCT</t>
        </is>
      </c>
      <c r="J147" s="8" t="inlineStr">
        <is>
          <t>Expensed when revenue is recognised</t>
        </is>
      </c>
    </row>
    <row r="148">
      <c r="B148" s="36" t="inlineStr">
        <is>
          <t>Default / cancellation allowance</t>
        </is>
      </c>
      <c r="C148" s="116" t="inlineStr">
        <is>
          <t>የውል ማፍረስ ቅናሽ</t>
        </is>
      </c>
      <c r="D148" s="117" t="inlineStr">
        <is>
          <t>%</t>
        </is>
      </c>
      <c r="E148" s="131" t="n">
        <v>0.02</v>
      </c>
      <c r="F148" s="131" t="n">
        <v>0.02</v>
      </c>
      <c r="G148" s="131" t="n">
        <v>0.02</v>
      </c>
      <c r="H148" s="132">
        <f>CHOOSE(DATA_SET,E148,F148,G148)</f>
        <v>0.02</v>
      </c>
      <c r="I148" s="18" t="inlineStr">
        <is>
          <t>DEFAULT_PCT</t>
        </is>
      </c>
      <c r="J148" s="8" t="inlineStr">
        <is>
          <t>Deducted from contract value</t>
        </is>
      </c>
    </row>
    <row r="149">
      <c r="B149" s="36" t="inlineStr">
        <is>
          <t>Marketing (% of contract value signed)</t>
        </is>
      </c>
      <c r="C149" s="116" t="inlineStr">
        <is>
          <t>ማስታወቂያ</t>
        </is>
      </c>
      <c r="D149" s="117" t="inlineStr">
        <is>
          <t>%</t>
        </is>
      </c>
      <c r="E149" s="131" t="n">
        <v>0.01</v>
      </c>
      <c r="F149" s="131" t="n">
        <v>0.01</v>
      </c>
      <c r="G149" s="131" t="n">
        <v>0.01</v>
      </c>
      <c r="H149" s="132">
        <f>CHOOSE(DATA_SET,E149,F149,G149)</f>
        <v>0.01</v>
      </c>
      <c r="I149" s="18" t="inlineStr">
        <is>
          <t>MKT_PCT</t>
        </is>
      </c>
      <c r="J149" s="8" t="inlineStr"/>
    </row>
    <row r="150">
      <c r="B150" s="36" t="inlineStr">
        <is>
          <t>IFRS 15 revenue recognition for sales</t>
        </is>
      </c>
      <c r="C150" s="116" t="inlineStr">
        <is>
          <t>የገቢ ዕውቅና ፖሊሲ</t>
        </is>
      </c>
      <c r="D150" s="117" t="inlineStr">
        <is>
          <t>list</t>
        </is>
      </c>
      <c r="E150" s="120" t="inlineStr">
        <is>
          <t>Point in time (handover)</t>
        </is>
      </c>
      <c r="F150" s="120" t="inlineStr">
        <is>
          <t>Point in time (handover)</t>
        </is>
      </c>
      <c r="G150" s="120" t="inlineStr">
        <is>
          <t>Point in time (handover)</t>
        </is>
      </c>
      <c r="H150" s="121">
        <f>IFERROR(MATCH(CHOOSE(DATA_SET,E150,F150,G150),L_REV,0),1)</f>
        <v>1</v>
      </c>
      <c r="I150" s="18" t="inlineStr">
        <is>
          <t>REV_POLICY</t>
        </is>
      </c>
      <c r="J150" s="8" t="inlineStr">
        <is>
          <t>Contract liability holds cash received before revenue</t>
        </is>
      </c>
    </row>
    <row r="151">
      <c r="B151" s="36" t="inlineStr">
        <is>
          <t>Share of sales value subject to VAT</t>
        </is>
      </c>
      <c r="C151" s="116" t="inlineStr">
        <is>
          <t>ተ.እ.ታ የሚከፈልበት የሽያጭ ድርሻ</t>
        </is>
      </c>
      <c r="D151" s="117" t="inlineStr">
        <is>
          <t>%</t>
        </is>
      </c>
      <c r="E151" s="131" t="n">
        <v>0</v>
      </c>
      <c r="F151" s="131" t="n">
        <v>0</v>
      </c>
      <c r="G151" s="131" t="n">
        <v>0</v>
      </c>
      <c r="H151" s="132">
        <f>CHOOSE(DATA_SET,E151,F151,G151)</f>
        <v>0</v>
      </c>
      <c r="I151" s="18" t="inlineStr">
        <is>
          <t>VAT_SALES_PCT</t>
        </is>
      </c>
      <c r="J151" s="8" t="inlineStr">
        <is>
          <t>Treatment of building sales must be verified (VAT Proc. 1341/2024)</t>
        </is>
      </c>
    </row>
    <row r="152" ht="20" customHeight="1">
      <c r="B152" s="113" t="inlineStr">
        <is>
          <t>7. Rental</t>
        </is>
      </c>
      <c r="C152" s="114" t="inlineStr">
        <is>
          <t>7. ኪራይ</t>
        </is>
      </c>
      <c r="D152" s="115" t="n"/>
      <c r="E152" s="115" t="n"/>
      <c r="F152" s="115" t="n"/>
      <c r="G152" s="115" t="n"/>
      <c r="H152" s="115" t="n"/>
      <c r="I152" s="115" t="n"/>
      <c r="J152" s="115" t="n"/>
    </row>
    <row r="153">
      <c r="B153" s="36" t="inlineStr">
        <is>
          <t>Rent – Residential (today's prices)</t>
        </is>
      </c>
      <c r="C153" s="116" t="inlineStr">
        <is>
          <t>ኪራይ – መኖሪያ</t>
        </is>
      </c>
      <c r="D153" s="117" t="inlineStr">
        <is>
          <t>ETB/m²/mo</t>
        </is>
      </c>
      <c r="E153" s="122" t="n">
        <v>0</v>
      </c>
      <c r="F153" s="122" t="n">
        <v>0</v>
      </c>
      <c r="G153" s="122" t="n">
        <v>650</v>
      </c>
      <c r="H153" s="123">
        <f>CHOOSE(DATA_SET,E153,F153,G153)</f>
        <v>650</v>
      </c>
      <c r="I153" s="18" t="inlineStr">
        <is>
          <t>RENT_RES</t>
        </is>
      </c>
      <c r="J153" s="8" t="inlineStr">
        <is>
          <t>Per net lettable m² per month</t>
        </is>
      </c>
    </row>
    <row r="154">
      <c r="B154" s="36" t="inlineStr">
        <is>
          <t>Rent – Retail (today's prices)</t>
        </is>
      </c>
      <c r="C154" s="116" t="inlineStr">
        <is>
          <t>ኪራይ – የንግድ ሱቅ</t>
        </is>
      </c>
      <c r="D154" s="117" t="inlineStr">
        <is>
          <t>ETB/m²/mo</t>
        </is>
      </c>
      <c r="E154" s="122" t="n">
        <v>0</v>
      </c>
      <c r="F154" s="122" t="n">
        <v>0</v>
      </c>
      <c r="G154" s="122" t="n">
        <v>2000</v>
      </c>
      <c r="H154" s="123">
        <f>CHOOSE(DATA_SET,E154,F154,G154)</f>
        <v>2000</v>
      </c>
      <c r="I154" s="18" t="inlineStr">
        <is>
          <t>RENT_RET</t>
        </is>
      </c>
      <c r="J154" s="8" t="inlineStr">
        <is>
          <t>Per net lettable m² per month</t>
        </is>
      </c>
    </row>
    <row r="155">
      <c r="B155" s="36" t="inlineStr">
        <is>
          <t>Rent – Office (today's prices)</t>
        </is>
      </c>
      <c r="C155" s="116" t="inlineStr">
        <is>
          <t>ኪራይ – ቢሮ</t>
        </is>
      </c>
      <c r="D155" s="117" t="inlineStr">
        <is>
          <t>ETB/m²/mo</t>
        </is>
      </c>
      <c r="E155" s="122" t="n">
        <v>0</v>
      </c>
      <c r="F155" s="122" t="n">
        <v>0</v>
      </c>
      <c r="G155" s="122" t="n">
        <v>900</v>
      </c>
      <c r="H155" s="123">
        <f>CHOOSE(DATA_SET,E155,F155,G155)</f>
        <v>900</v>
      </c>
      <c r="I155" s="18" t="inlineStr">
        <is>
          <t>RENT_OFF</t>
        </is>
      </c>
      <c r="J155" s="8" t="inlineStr">
        <is>
          <t>Per net lettable m² per month</t>
        </is>
      </c>
    </row>
    <row r="156">
      <c r="B156" s="36" t="inlineStr">
        <is>
          <t>Rent – Parking (today's prices)</t>
        </is>
      </c>
      <c r="C156" s="116" t="inlineStr">
        <is>
          <t>ኪራይ – መኪና ማቆሚያ</t>
        </is>
      </c>
      <c r="D156" s="117" t="inlineStr">
        <is>
          <t>ETB/m²/mo</t>
        </is>
      </c>
      <c r="E156" s="122" t="n">
        <v>0</v>
      </c>
      <c r="F156" s="122" t="n">
        <v>0</v>
      </c>
      <c r="G156" s="122" t="n">
        <v>0</v>
      </c>
      <c r="H156" s="123">
        <f>CHOOSE(DATA_SET,E156,F156,G156)</f>
        <v>0</v>
      </c>
      <c r="I156" s="18" t="inlineStr">
        <is>
          <t>RENT_PAR</t>
        </is>
      </c>
      <c r="J156" s="8" t="inlineStr">
        <is>
          <t>Per net lettable m² per month</t>
        </is>
      </c>
    </row>
    <row r="157">
      <c r="B157" s="36" t="inlineStr">
        <is>
          <t>Rent – Other (today's prices)</t>
        </is>
      </c>
      <c r="C157" s="116" t="inlineStr">
        <is>
          <t>ኪራይ – ሌላ</t>
        </is>
      </c>
      <c r="D157" s="117" t="inlineStr">
        <is>
          <t>ETB/m²/mo</t>
        </is>
      </c>
      <c r="E157" s="122" t="n">
        <v>0</v>
      </c>
      <c r="F157" s="122" t="n">
        <v>0</v>
      </c>
      <c r="G157" s="122" t="n">
        <v>0</v>
      </c>
      <c r="H157" s="123">
        <f>CHOOSE(DATA_SET,E157,F157,G157)</f>
        <v>0</v>
      </c>
      <c r="I157" s="18" t="inlineStr">
        <is>
          <t>RENT_OTH</t>
        </is>
      </c>
      <c r="J157" s="8" t="inlineStr">
        <is>
          <t>Per net lettable m² per month</t>
        </is>
      </c>
    </row>
    <row r="158">
      <c r="B158" s="36" t="inlineStr">
        <is>
          <t>Occupancy O1</t>
        </is>
      </c>
      <c r="C158" s="116" t="inlineStr">
        <is>
          <t>የተያዘ መጠን በ1ኛው ዓመት</t>
        </is>
      </c>
      <c r="D158" s="117" t="inlineStr">
        <is>
          <t>%</t>
        </is>
      </c>
      <c r="E158" s="131" t="n">
        <v>0.6</v>
      </c>
      <c r="F158" s="131" t="n">
        <v>0.9</v>
      </c>
      <c r="G158" s="131" t="n">
        <v>0.6</v>
      </c>
      <c r="H158" s="132">
        <f>CHOOSE(DATA_SET,E158,F158,G158)</f>
        <v>0.6</v>
      </c>
      <c r="I158" s="18" t="inlineStr">
        <is>
          <t>OCC_O1</t>
        </is>
      </c>
      <c r="J158" s="8" t="inlineStr"/>
    </row>
    <row r="159">
      <c r="B159" s="36" t="inlineStr">
        <is>
          <t>Occupancy O2</t>
        </is>
      </c>
      <c r="C159" s="116" t="inlineStr">
        <is>
          <t>በ2ኛው ዓመት</t>
        </is>
      </c>
      <c r="D159" s="117" t="inlineStr">
        <is>
          <t>%</t>
        </is>
      </c>
      <c r="E159" s="131" t="n">
        <v>0.8</v>
      </c>
      <c r="F159" s="131" t="n">
        <v>0.95</v>
      </c>
      <c r="G159" s="131" t="n">
        <v>0.8</v>
      </c>
      <c r="H159" s="132">
        <f>CHOOSE(DATA_SET,E159,F159,G159)</f>
        <v>0.8</v>
      </c>
      <c r="I159" s="18" t="inlineStr">
        <is>
          <t>OCC_O2</t>
        </is>
      </c>
      <c r="J159" s="8" t="inlineStr"/>
    </row>
    <row r="160">
      <c r="B160" s="36" t="inlineStr">
        <is>
          <t>Stabilised occupancy (O3+)</t>
        </is>
      </c>
      <c r="C160" s="116" t="inlineStr">
        <is>
          <t>የተረጋጋ የተያዘ መጠን</t>
        </is>
      </c>
      <c r="D160" s="117" t="inlineStr">
        <is>
          <t>%</t>
        </is>
      </c>
      <c r="E160" s="131" t="n">
        <v>0.92</v>
      </c>
      <c r="F160" s="131" t="n">
        <v>0.95</v>
      </c>
      <c r="G160" s="131" t="n">
        <v>0.92</v>
      </c>
      <c r="H160" s="132">
        <f>CHOOSE(DATA_SET,E160,F160,G160)</f>
        <v>0.92</v>
      </c>
      <c r="I160" s="18" t="inlineStr">
        <is>
          <t>OCC_STAB</t>
        </is>
      </c>
      <c r="J160" s="8" t="inlineStr"/>
    </row>
    <row r="161">
      <c r="B161" s="36" t="inlineStr">
        <is>
          <t>Rent escalation</t>
        </is>
      </c>
      <c r="C161" s="116" t="inlineStr">
        <is>
          <t>የኪራይ ጭማሪ</t>
        </is>
      </c>
      <c r="D161" s="117" t="inlineStr">
        <is>
          <t>% p.a.</t>
        </is>
      </c>
      <c r="E161" s="131" t="n">
        <v>0.08</v>
      </c>
      <c r="F161" s="131" t="n">
        <v>0.08</v>
      </c>
      <c r="G161" s="131" t="n">
        <v>0.08</v>
      </c>
      <c r="H161" s="132">
        <f>CHOOSE(DATA_SET,E161,F161,G161)</f>
        <v>0.08</v>
      </c>
      <c r="I161" s="18" t="inlineStr">
        <is>
          <t>RENT_ESC</t>
        </is>
      </c>
      <c r="J161" s="8" t="inlineStr">
        <is>
          <t>From today's prices</t>
        </is>
      </c>
    </row>
    <row r="162">
      <c r="B162" s="36" t="inlineStr">
        <is>
          <t>Key money (months of rent, received O1)</t>
        </is>
      </c>
      <c r="C162" s="116" t="inlineStr">
        <is>
          <t>የቁልፍ ገንዘብ (በወራት ኪራይ)</t>
        </is>
      </c>
      <c r="D162" s="117" t="inlineStr">
        <is>
          <t>months</t>
        </is>
      </c>
      <c r="E162" s="129" t="n">
        <v>0</v>
      </c>
      <c r="F162" s="129" t="n">
        <v>0</v>
      </c>
      <c r="G162" s="129" t="n">
        <v>6</v>
      </c>
      <c r="H162" s="130">
        <f>CHOOSE(DATA_SET,E162,F162,G162)</f>
        <v>6</v>
      </c>
      <c r="I162" s="18" t="inlineStr">
        <is>
          <t>KEY_MONTHS</t>
        </is>
      </c>
      <c r="J162" s="8" t="inlineStr">
        <is>
          <t>Deferred and released over the period below (IFRS 16)</t>
        </is>
      </c>
    </row>
    <row r="163">
      <c r="B163" s="36" t="inlineStr">
        <is>
          <t>Key money release period</t>
        </is>
      </c>
      <c r="C163" s="116" t="inlineStr">
        <is>
          <t>የቁልፍ ገንዘብ የሚታወቅበት ጊዜ</t>
        </is>
      </c>
      <c r="D163" s="117" t="inlineStr">
        <is>
          <t>years</t>
        </is>
      </c>
      <c r="E163" s="128" t="n">
        <v>5</v>
      </c>
      <c r="F163" s="128" t="n">
        <v>5</v>
      </c>
      <c r="G163" s="128" t="n">
        <v>5</v>
      </c>
      <c r="H163" s="121">
        <f>CHOOSE(DATA_SET,E163,F163,G163)</f>
        <v>5</v>
      </c>
      <c r="I163" s="18" t="inlineStr">
        <is>
          <t>KEY_AMORT_Y</t>
        </is>
      </c>
      <c r="J163" s="8" t="inlineStr"/>
    </row>
    <row r="164">
      <c r="B164" s="36" t="inlineStr">
        <is>
          <t>Service charge recovery (% of property opex)</t>
        </is>
      </c>
      <c r="C164" s="116" t="inlineStr">
        <is>
          <t>የአገልግሎት ክፍያ ማስመለሻ</t>
        </is>
      </c>
      <c r="D164" s="117" t="inlineStr">
        <is>
          <t>%</t>
        </is>
      </c>
      <c r="E164" s="131" t="n">
        <v>0.6</v>
      </c>
      <c r="F164" s="131" t="n">
        <v>0</v>
      </c>
      <c r="G164" s="131" t="n">
        <v>0.6</v>
      </c>
      <c r="H164" s="132">
        <f>CHOOSE(DATA_SET,E164,F164,G164)</f>
        <v>0.6</v>
      </c>
      <c r="I164" s="18" t="inlineStr">
        <is>
          <t>SC_RECOV</t>
        </is>
      </c>
      <c r="J164" s="8" t="inlineStr"/>
    </row>
    <row r="165">
      <c r="B165" s="36" t="inlineStr">
        <is>
          <t>Bad debt (% of rent)</t>
        </is>
      </c>
      <c r="C165" s="116" t="inlineStr">
        <is>
          <t>የማይሰበሰብ ዕዳ</t>
        </is>
      </c>
      <c r="D165" s="117" t="inlineStr">
        <is>
          <t>%</t>
        </is>
      </c>
      <c r="E165" s="131" t="n">
        <v>0.02</v>
      </c>
      <c r="F165" s="131" t="n">
        <v>0.02</v>
      </c>
      <c r="G165" s="131" t="n">
        <v>0.02</v>
      </c>
      <c r="H165" s="132">
        <f>CHOOSE(DATA_SET,E165,F165,G165)</f>
        <v>0.02</v>
      </c>
      <c r="I165" s="18" t="inlineStr">
        <is>
          <t>BAD_DEBT</t>
        </is>
      </c>
      <c r="J165" s="8" t="inlineStr"/>
    </row>
    <row r="166">
      <c r="B166" s="36" t="inlineStr">
        <is>
          <t>Other income (signage, telecom) – year 1</t>
        </is>
      </c>
      <c r="C166" s="116" t="inlineStr">
        <is>
          <t>ሌላ ገቢ</t>
        </is>
      </c>
      <c r="D166" s="117" t="inlineStr">
        <is>
          <t>ETB/yr</t>
        </is>
      </c>
      <c r="E166" s="122" t="n">
        <v>0</v>
      </c>
      <c r="F166" s="122" t="n">
        <v>0</v>
      </c>
      <c r="G166" s="122" t="n">
        <v>600000</v>
      </c>
      <c r="H166" s="123">
        <f>CHOOSE(DATA_SET,E166,F166,G166)</f>
        <v>600000</v>
      </c>
      <c r="I166" s="18" t="inlineStr">
        <is>
          <t>OTHER_INC</t>
        </is>
      </c>
      <c r="J166" s="8" t="inlineStr">
        <is>
          <t>Escalates with opex escalation</t>
        </is>
      </c>
    </row>
    <row r="167">
      <c r="B167" s="36" t="inlineStr">
        <is>
          <t>Share of rent subject to VAT</t>
        </is>
      </c>
      <c r="C167" s="116" t="inlineStr">
        <is>
          <t>ተ.እ.ታ የሚከፈልበት የኪራይ ድርሻ</t>
        </is>
      </c>
      <c r="D167" s="117" t="inlineStr">
        <is>
          <t>%</t>
        </is>
      </c>
      <c r="E167" s="131" t="n">
        <v>1</v>
      </c>
      <c r="F167" s="131" t="n">
        <v>0</v>
      </c>
      <c r="G167" s="131" t="n">
        <v>1</v>
      </c>
      <c r="H167" s="132">
        <f>CHOOSE(DATA_SET,E167,F167,G167)</f>
        <v>1</v>
      </c>
      <c r="I167" s="18" t="inlineStr">
        <is>
          <t>RENT_VAT_PCT</t>
        </is>
      </c>
      <c r="J167" s="8" t="inlineStr">
        <is>
          <t>Commercial rent is VAT-able; residential rent usually exempt – verify</t>
        </is>
      </c>
    </row>
    <row r="168" ht="20" customHeight="1">
      <c r="B168" s="113" t="inlineStr">
        <is>
          <t>8. Operating costs</t>
        </is>
      </c>
      <c r="C168" s="114" t="inlineStr">
        <is>
          <t>8. የሥራ ማስኬጃ ወጪ</t>
        </is>
      </c>
      <c r="D168" s="115" t="n"/>
      <c r="E168" s="115" t="n"/>
      <c r="F168" s="115" t="n"/>
      <c r="G168" s="115" t="n"/>
      <c r="H168" s="115" t="n"/>
      <c r="I168" s="115" t="n"/>
      <c r="J168" s="115" t="n"/>
    </row>
    <row r="169">
      <c r="B169" s="36" t="inlineStr">
        <is>
          <t>Property opex basis</t>
        </is>
      </c>
      <c r="C169" s="116" t="inlineStr">
        <is>
          <t>የወጪ አሰላል</t>
        </is>
      </c>
      <c r="D169" s="117" t="inlineStr">
        <is>
          <t>list</t>
        </is>
      </c>
      <c r="E169" s="120" t="inlineStr">
        <is>
          <t>% of rent</t>
        </is>
      </c>
      <c r="F169" s="120" t="inlineStr">
        <is>
          <t>% of rent</t>
        </is>
      </c>
      <c r="G169" s="120" t="inlineStr">
        <is>
          <t>% of rent</t>
        </is>
      </c>
      <c r="H169" s="121">
        <f>IFERROR(MATCH(CHOOSE(DATA_SET,E169,F169,G169),L_OPEXM,0),1)</f>
        <v>1</v>
      </c>
      <c r="I169" s="18" t="inlineStr">
        <is>
          <t>OPEX_METHOD</t>
        </is>
      </c>
      <c r="J169" s="8" t="inlineStr"/>
    </row>
    <row r="170">
      <c r="B170" s="36" t="inlineStr">
        <is>
          <t>Property opex (% of rent)</t>
        </is>
      </c>
      <c r="C170" s="116" t="inlineStr">
        <is>
          <t>የንብረት ወጪ (ከኪራይ %)</t>
        </is>
      </c>
      <c r="D170" s="117" t="inlineStr">
        <is>
          <t>%</t>
        </is>
      </c>
      <c r="E170" s="131" t="n">
        <v>0.15</v>
      </c>
      <c r="F170" s="131" t="n">
        <v>0.15</v>
      </c>
      <c r="G170" s="131" t="n">
        <v>0.15</v>
      </c>
      <c r="H170" s="132">
        <f>CHOOSE(DATA_SET,E170,F170,G170)</f>
        <v>0.15</v>
      </c>
      <c r="I170" s="18" t="inlineStr">
        <is>
          <t>OPEX_PCT</t>
        </is>
      </c>
      <c r="J170" s="8" t="inlineStr"/>
    </row>
    <row r="171">
      <c r="B171" s="36" t="inlineStr">
        <is>
          <t>Property opex (ETB/m²/yr, today's prices)</t>
        </is>
      </c>
      <c r="C171" s="116" t="inlineStr">
        <is>
          <t>የንብረት ወጪ በካሬ</t>
        </is>
      </c>
      <c r="D171" s="117" t="inlineStr">
        <is>
          <t>ETB/m²/yr</t>
        </is>
      </c>
      <c r="E171" s="122" t="n">
        <v>1200</v>
      </c>
      <c r="F171" s="122" t="n">
        <v>1200</v>
      </c>
      <c r="G171" s="122" t="n">
        <v>1200</v>
      </c>
      <c r="H171" s="123">
        <f>CHOOSE(DATA_SET,E171,F171,G171)</f>
        <v>1200</v>
      </c>
      <c r="I171" s="18" t="inlineStr">
        <is>
          <t>OPEX_M2</t>
        </is>
      </c>
      <c r="J171" s="8" t="inlineStr"/>
    </row>
    <row r="172">
      <c r="B172" s="36" t="inlineStr">
        <is>
          <t>Management fee (% of rent)</t>
        </is>
      </c>
      <c r="C172" s="116" t="inlineStr">
        <is>
          <t>የአስተዳደር ክፍያ</t>
        </is>
      </c>
      <c r="D172" s="117" t="inlineStr">
        <is>
          <t>%</t>
        </is>
      </c>
      <c r="E172" s="131" t="n">
        <v>0.03</v>
      </c>
      <c r="F172" s="131" t="n">
        <v>0</v>
      </c>
      <c r="G172" s="131" t="n">
        <v>0.03</v>
      </c>
      <c r="H172" s="132">
        <f>CHOOSE(DATA_SET,E172,F172,G172)</f>
        <v>0.03</v>
      </c>
      <c r="I172" s="18" t="inlineStr">
        <is>
          <t>MGMT_PCT</t>
        </is>
      </c>
      <c r="J172" s="8" t="inlineStr"/>
    </row>
    <row r="173">
      <c r="B173" s="36" t="inlineStr">
        <is>
          <t>Insurance (% of building value p.a.)</t>
        </is>
      </c>
      <c r="C173" s="116" t="inlineStr">
        <is>
          <t>መድን</t>
        </is>
      </c>
      <c r="D173" s="117" t="inlineStr">
        <is>
          <t>%</t>
        </is>
      </c>
      <c r="E173" s="134" t="n">
        <v>0.0015</v>
      </c>
      <c r="F173" s="134" t="n">
        <v>0.0015</v>
      </c>
      <c r="G173" s="134" t="n">
        <v>0.0015</v>
      </c>
      <c r="H173" s="135">
        <f>CHOOSE(DATA_SET,E173,F173,G173)</f>
        <v>0.0015</v>
      </c>
      <c r="I173" s="18" t="inlineStr">
        <is>
          <t>INS_PCT</t>
        </is>
      </c>
      <c r="J173" s="8" t="inlineStr"/>
    </row>
    <row r="174">
      <c r="B174" s="36" t="inlineStr">
        <is>
          <t>Property tax (% of land + building value p.a.)</t>
        </is>
      </c>
      <c r="C174" s="116" t="inlineStr">
        <is>
          <t>የንብረት ግብር</t>
        </is>
      </c>
      <c r="D174" s="117" t="inlineStr">
        <is>
          <t>%</t>
        </is>
      </c>
      <c r="E174" s="134" t="n">
        <v>0.001</v>
      </c>
      <c r="F174" s="134" t="n">
        <v>0.001</v>
      </c>
      <c r="G174" s="134" t="n">
        <v>0.001</v>
      </c>
      <c r="H174" s="135">
        <f>CHOOSE(DATA_SET,E174,F174,G174)</f>
        <v>0.001</v>
      </c>
      <c r="I174" s="18" t="inlineStr">
        <is>
          <t>PROPTAX_PCT</t>
        </is>
      </c>
      <c r="J174" s="8" t="inlineStr">
        <is>
          <t>Verify current city proclamation</t>
        </is>
      </c>
    </row>
    <row r="175">
      <c r="B175" s="36" t="inlineStr">
        <is>
          <t>Maintenance reserve (% of building value p.a.)</t>
        </is>
      </c>
      <c r="C175" s="116" t="inlineStr">
        <is>
          <t>የጥገና መጠባበቂያ</t>
        </is>
      </c>
      <c r="D175" s="117" t="inlineStr">
        <is>
          <t>%</t>
        </is>
      </c>
      <c r="E175" s="134" t="n">
        <v>0.005</v>
      </c>
      <c r="F175" s="134" t="n">
        <v>0.005</v>
      </c>
      <c r="G175" s="134" t="n">
        <v>0.005</v>
      </c>
      <c r="H175" s="135">
        <f>CHOOSE(DATA_SET,E175,F175,G175)</f>
        <v>0.005</v>
      </c>
      <c r="I175" s="18" t="inlineStr">
        <is>
          <t>MAINT_PCT</t>
        </is>
      </c>
      <c r="J175" s="8" t="inlineStr"/>
    </row>
    <row r="176">
      <c r="B176" s="36" t="inlineStr">
        <is>
          <t>Owner overheads (year 1, today's prices)</t>
        </is>
      </c>
      <c r="C176" s="116" t="inlineStr">
        <is>
          <t>አጠቃላይ የአስተዳደር ወጪ</t>
        </is>
      </c>
      <c r="D176" s="117" t="inlineStr">
        <is>
          <t>ETB/yr</t>
        </is>
      </c>
      <c r="E176" s="122" t="n">
        <v>0</v>
      </c>
      <c r="F176" s="122" t="n">
        <v>0</v>
      </c>
      <c r="G176" s="122" t="n">
        <v>1200000</v>
      </c>
      <c r="H176" s="123">
        <f>CHOOSE(DATA_SET,E176,F176,G176)</f>
        <v>1200000</v>
      </c>
      <c r="I176" s="18" t="inlineStr">
        <is>
          <t>OVERHEAD</t>
        </is>
      </c>
      <c r="J176" s="8" t="inlineStr"/>
    </row>
    <row r="177">
      <c r="B177" s="36" t="inlineStr">
        <is>
          <t>Opex escalation</t>
        </is>
      </c>
      <c r="C177" s="116" t="inlineStr">
        <is>
          <t>የወጪ ጭማሪ</t>
        </is>
      </c>
      <c r="D177" s="117" t="inlineStr">
        <is>
          <t>% p.a.</t>
        </is>
      </c>
      <c r="E177" s="131" t="n">
        <v>0.1</v>
      </c>
      <c r="F177" s="131" t="n">
        <v>0.1</v>
      </c>
      <c r="G177" s="131" t="n">
        <v>0.1</v>
      </c>
      <c r="H177" s="132">
        <f>CHOOSE(DATA_SET,E177,F177,G177)</f>
        <v>0.1</v>
      </c>
      <c r="I177" s="18" t="inlineStr">
        <is>
          <t>OPEX_ESC</t>
        </is>
      </c>
      <c r="J177" s="8" t="inlineStr"/>
    </row>
    <row r="178">
      <c r="B178" s="36" t="inlineStr">
        <is>
          <t>Share of opex carrying input VAT</t>
        </is>
      </c>
      <c r="C178" s="116" t="inlineStr">
        <is>
          <t>ተ.እ.ታ ያለበት የወጪ ድርሻ</t>
        </is>
      </c>
      <c r="D178" s="117" t="inlineStr">
        <is>
          <t>%</t>
        </is>
      </c>
      <c r="E178" s="131" t="n">
        <v>0.5</v>
      </c>
      <c r="F178" s="131" t="n">
        <v>0.5</v>
      </c>
      <c r="G178" s="131" t="n">
        <v>0.5</v>
      </c>
      <c r="H178" s="132">
        <f>CHOOSE(DATA_SET,E178,F178,G178)</f>
        <v>0.5</v>
      </c>
      <c r="I178" s="18" t="inlineStr">
        <is>
          <t>OPEX_VAT_PCT</t>
        </is>
      </c>
      <c r="J178" s="8" t="inlineStr"/>
    </row>
    <row r="179">
      <c r="B179" s="36" t="inlineStr">
        <is>
          <t>Rent receivable days</t>
        </is>
      </c>
      <c r="C179" s="116" t="inlineStr">
        <is>
          <t>የኪራይ ተሰብሳቢ ቀናት</t>
        </is>
      </c>
      <c r="D179" s="117" t="inlineStr">
        <is>
          <t>days</t>
        </is>
      </c>
      <c r="E179" s="128" t="n">
        <v>30</v>
      </c>
      <c r="F179" s="128" t="n">
        <v>30</v>
      </c>
      <c r="G179" s="128" t="n">
        <v>30</v>
      </c>
      <c r="H179" s="121">
        <f>CHOOSE(DATA_SET,E179,F179,G179)</f>
        <v>30</v>
      </c>
      <c r="I179" s="18" t="inlineStr">
        <is>
          <t>RECV_DAYS</t>
        </is>
      </c>
      <c r="J179" s="8" t="inlineStr"/>
    </row>
    <row r="180">
      <c r="B180" s="36" t="inlineStr">
        <is>
          <t>Opex payable days</t>
        </is>
      </c>
      <c r="C180" s="116" t="inlineStr">
        <is>
          <t>የወጪ ተከፋይ ቀናት</t>
        </is>
      </c>
      <c r="D180" s="117" t="inlineStr">
        <is>
          <t>days</t>
        </is>
      </c>
      <c r="E180" s="128" t="n">
        <v>30</v>
      </c>
      <c r="F180" s="128" t="n">
        <v>30</v>
      </c>
      <c r="G180" s="128" t="n">
        <v>30</v>
      </c>
      <c r="H180" s="121">
        <f>CHOOSE(DATA_SET,E180,F180,G180)</f>
        <v>30</v>
      </c>
      <c r="I180" s="18" t="inlineStr">
        <is>
          <t>PAY_DAYS</t>
        </is>
      </c>
      <c r="J180" s="8" t="inlineStr"/>
    </row>
    <row r="181" ht="20" customHeight="1">
      <c r="B181" s="113" t="inlineStr">
        <is>
          <t>9. Financing</t>
        </is>
      </c>
      <c r="C181" s="114" t="inlineStr">
        <is>
          <t>9. ፋይናንስ</t>
        </is>
      </c>
      <c r="D181" s="115" t="n"/>
      <c r="E181" s="115" t="n"/>
      <c r="F181" s="115" t="n"/>
      <c r="G181" s="115" t="n"/>
      <c r="H181" s="115" t="n"/>
      <c r="I181" s="115" t="n"/>
      <c r="J181" s="115" t="n"/>
    </row>
    <row r="182">
      <c r="B182" s="36" t="inlineStr">
        <is>
          <t>Commercial: equity share of funding need</t>
        </is>
      </c>
      <c r="C182" s="116" t="inlineStr">
        <is>
          <t>የባለቤት ካፒታል ድርሻ</t>
        </is>
      </c>
      <c r="D182" s="117" t="inlineStr">
        <is>
          <t>%</t>
        </is>
      </c>
      <c r="E182" s="131" t="n">
        <v>0.4</v>
      </c>
      <c r="F182" s="131" t="n">
        <v>0.4</v>
      </c>
      <c r="G182" s="131" t="n">
        <v>0.4</v>
      </c>
      <c r="H182" s="132">
        <f>CHOOSE(DATA_SET,E182,F182,G182)</f>
        <v>0.4</v>
      </c>
      <c r="I182" s="18" t="inlineStr">
        <is>
          <t>EQ_PCT</t>
        </is>
      </c>
      <c r="J182" s="8" t="inlineStr">
        <is>
          <t>Debt = 1 − equity, capped by the loan cap</t>
        </is>
      </c>
    </row>
    <row r="183">
      <c r="B183" s="36" t="inlineStr">
        <is>
          <t>Draw order</t>
        </is>
      </c>
      <c r="C183" s="116" t="inlineStr">
        <is>
          <t>የአወጣጥ ቅደም ተከተል</t>
        </is>
      </c>
      <c r="D183" s="117" t="inlineStr">
        <is>
          <t>list</t>
        </is>
      </c>
      <c r="E183" s="120" t="inlineStr">
        <is>
          <t>Equity first</t>
        </is>
      </c>
      <c r="F183" s="120" t="inlineStr">
        <is>
          <t>Equity first</t>
        </is>
      </c>
      <c r="G183" s="120" t="inlineStr">
        <is>
          <t>Equity first</t>
        </is>
      </c>
      <c r="H183" s="121">
        <f>IFERROR(MATCH(CHOOSE(DATA_SET,E183,F183,G183),L_DRAW,0),1)</f>
        <v>1</v>
      </c>
      <c r="I183" s="18" t="inlineStr">
        <is>
          <t>DRAW_ORDER</t>
        </is>
      </c>
      <c r="J183" s="8" t="inlineStr"/>
    </row>
    <row r="184">
      <c r="B184" s="36" t="inlineStr">
        <is>
          <t>Use presale cash to fund construction?</t>
        </is>
      </c>
      <c r="C184" s="116" t="inlineStr">
        <is>
          <t>የቅድመ-ሽያጭ ገንዘብ ለግንባታ ይውላል?</t>
        </is>
      </c>
      <c r="D184" s="117" t="inlineStr">
        <is>
          <t>Y/N</t>
        </is>
      </c>
      <c r="E184" s="120" t="inlineStr">
        <is>
          <t>Yes</t>
        </is>
      </c>
      <c r="F184" s="120" t="inlineStr">
        <is>
          <t>Yes</t>
        </is>
      </c>
      <c r="G184" s="120" t="inlineStr">
        <is>
          <t>Yes</t>
        </is>
      </c>
      <c r="H184" s="121">
        <f>IF(CHOOSE(DATA_SET,E184,F184,G184)="Yes",1,0)</f>
        <v>1</v>
      </c>
      <c r="I184" s="18" t="inlineStr">
        <is>
          <t>PRESALE_USE</t>
        </is>
      </c>
      <c r="J184" s="8" t="inlineStr"/>
    </row>
    <row r="185">
      <c r="B185" s="36" t="inlineStr">
        <is>
          <t>Share of presale cash usable (rest in escrow)</t>
        </is>
      </c>
      <c r="C185" s="116" t="inlineStr">
        <is>
          <t>ጥቅም ላይ የሚውለው ድርሻ</t>
        </is>
      </c>
      <c r="D185" s="117" t="inlineStr">
        <is>
          <t>%</t>
        </is>
      </c>
      <c r="E185" s="131" t="n">
        <v>0.8</v>
      </c>
      <c r="F185" s="131" t="n">
        <v>0.8</v>
      </c>
      <c r="G185" s="131" t="n">
        <v>0.8</v>
      </c>
      <c r="H185" s="132">
        <f>CHOOSE(DATA_SET,E185,F185,G185)</f>
        <v>0.8</v>
      </c>
      <c r="I185" s="18" t="inlineStr">
        <is>
          <t>PRESALE_USE_PCT</t>
        </is>
      </c>
      <c r="J185" s="8" t="inlineStr"/>
    </row>
    <row r="186">
      <c r="B186" s="36" t="inlineStr">
        <is>
          <t>Commercial: loan cap (0 = no cap)</t>
        </is>
      </c>
      <c r="C186" s="116" t="inlineStr">
        <is>
          <t>የብድር ጣሪያ</t>
        </is>
      </c>
      <c r="D186" s="117" t="inlineStr">
        <is>
          <t>ETB</t>
        </is>
      </c>
      <c r="E186" s="122" t="n">
        <v>0</v>
      </c>
      <c r="F186" s="122" t="n">
        <v>0</v>
      </c>
      <c r="G186" s="122" t="n">
        <v>0</v>
      </c>
      <c r="H186" s="123">
        <f>CHOOSE(DATA_SET,E186,F186,G186)</f>
        <v>0</v>
      </c>
      <c r="I186" s="18" t="inlineStr">
        <is>
          <t>LOAN_CAP</t>
        </is>
      </c>
      <c r="J186" s="8" t="inlineStr"/>
    </row>
    <row r="187">
      <c r="B187" s="36" t="inlineStr">
        <is>
          <t>Interest rate type</t>
        </is>
      </c>
      <c r="C187" s="116" t="inlineStr">
        <is>
          <t>የወለድ ዓይነት</t>
        </is>
      </c>
      <c r="D187" s="117" t="inlineStr">
        <is>
          <t>list</t>
        </is>
      </c>
      <c r="E187" s="120" t="inlineStr">
        <is>
          <t>Fixed</t>
        </is>
      </c>
      <c r="F187" s="120" t="inlineStr">
        <is>
          <t>Fixed</t>
        </is>
      </c>
      <c r="G187" s="120" t="inlineStr">
        <is>
          <t>Fixed</t>
        </is>
      </c>
      <c r="H187" s="121">
        <f>IFERROR(MATCH(CHOOSE(DATA_SET,E187,F187,G187),L_RATETYPE,0),1)</f>
        <v>1</v>
      </c>
      <c r="I187" s="18" t="inlineStr">
        <is>
          <t>RATE_TYPE</t>
        </is>
      </c>
      <c r="J187" s="8" t="inlineStr"/>
    </row>
    <row r="188">
      <c r="B188" s="36" t="inlineStr">
        <is>
          <t>Interest rate (fixed, and during construction)</t>
        </is>
      </c>
      <c r="C188" s="116" t="inlineStr">
        <is>
          <t>የወለድ መጠን</t>
        </is>
      </c>
      <c r="D188" s="117" t="inlineStr">
        <is>
          <t>% p.a.</t>
        </is>
      </c>
      <c r="E188" s="131" t="n">
        <v>0.15</v>
      </c>
      <c r="F188" s="131" t="n">
        <v>0.14</v>
      </c>
      <c r="G188" s="131" t="n">
        <v>0.15</v>
      </c>
      <c r="H188" s="132">
        <f>CHOOSE(DATA_SET,E188,F188,G188)</f>
        <v>0.15</v>
      </c>
      <c r="I188" s="18" t="inlineStr">
        <is>
          <t>RATE</t>
        </is>
      </c>
      <c r="J188" s="8" t="inlineStr">
        <is>
          <t>Verify bank term sheet</t>
        </is>
      </c>
    </row>
    <row r="189">
      <c r="B189" s="36" t="inlineStr">
        <is>
          <t>Variable path – rate in O1</t>
        </is>
      </c>
      <c r="C189" s="116" t="inlineStr">
        <is>
          <t>ተለዋዋጭ ወለድ O1</t>
        </is>
      </c>
      <c r="D189" s="117" t="inlineStr">
        <is>
          <t>% p.a.</t>
        </is>
      </c>
      <c r="E189" s="131" t="n">
        <v>0.15</v>
      </c>
      <c r="F189" s="131" t="n">
        <v>0.14</v>
      </c>
      <c r="G189" s="131" t="n">
        <v>0.15</v>
      </c>
      <c r="H189" s="132">
        <f>CHOOSE(DATA_SET,E189,F189,G189)</f>
        <v>0.15</v>
      </c>
      <c r="I189" s="18" t="inlineStr">
        <is>
          <t>RATE_O1</t>
        </is>
      </c>
      <c r="J189" s="8" t="inlineStr">
        <is>
          <t>Used when type = Variable</t>
        </is>
      </c>
    </row>
    <row r="190">
      <c r="B190" s="36" t="inlineStr">
        <is>
          <t>Variable path – rate in O2</t>
        </is>
      </c>
      <c r="C190" s="116" t="inlineStr">
        <is>
          <t>ተለዋዋጭ ወለድ O2</t>
        </is>
      </c>
      <c r="D190" s="117" t="inlineStr">
        <is>
          <t>% p.a.</t>
        </is>
      </c>
      <c r="E190" s="131" t="n">
        <v>0.15</v>
      </c>
      <c r="F190" s="131" t="n">
        <v>0.14</v>
      </c>
      <c r="G190" s="131" t="n">
        <v>0.15</v>
      </c>
      <c r="H190" s="132">
        <f>CHOOSE(DATA_SET,E190,F190,G190)</f>
        <v>0.15</v>
      </c>
      <c r="I190" s="18" t="inlineStr">
        <is>
          <t>RATE_O2</t>
        </is>
      </c>
      <c r="J190" s="8" t="inlineStr">
        <is>
          <t>Used when type = Variable</t>
        </is>
      </c>
    </row>
    <row r="191">
      <c r="B191" s="36" t="inlineStr">
        <is>
          <t>Variable path – rate in O3</t>
        </is>
      </c>
      <c r="C191" s="116" t="inlineStr">
        <is>
          <t>ተለዋዋጭ ወለድ O3</t>
        </is>
      </c>
      <c r="D191" s="117" t="inlineStr">
        <is>
          <t>% p.a.</t>
        </is>
      </c>
      <c r="E191" s="131" t="n">
        <v>0.15</v>
      </c>
      <c r="F191" s="131" t="n">
        <v>0.14</v>
      </c>
      <c r="G191" s="131" t="n">
        <v>0.15</v>
      </c>
      <c r="H191" s="132">
        <f>CHOOSE(DATA_SET,E191,F191,G191)</f>
        <v>0.15</v>
      </c>
      <c r="I191" s="18" t="inlineStr">
        <is>
          <t>RATE_O3</t>
        </is>
      </c>
      <c r="J191" s="8" t="inlineStr">
        <is>
          <t>Used when type = Variable</t>
        </is>
      </c>
    </row>
    <row r="192">
      <c r="B192" s="36" t="inlineStr">
        <is>
          <t>Variable path – rate in O4</t>
        </is>
      </c>
      <c r="C192" s="116" t="inlineStr">
        <is>
          <t>ተለዋዋጭ ወለድ O4</t>
        </is>
      </c>
      <c r="D192" s="117" t="inlineStr">
        <is>
          <t>% p.a.</t>
        </is>
      </c>
      <c r="E192" s="131" t="n">
        <v>0.15</v>
      </c>
      <c r="F192" s="131" t="n">
        <v>0.14</v>
      </c>
      <c r="G192" s="131" t="n">
        <v>0.15</v>
      </c>
      <c r="H192" s="132">
        <f>CHOOSE(DATA_SET,E192,F192,G192)</f>
        <v>0.15</v>
      </c>
      <c r="I192" s="18" t="inlineStr">
        <is>
          <t>RATE_O4</t>
        </is>
      </c>
      <c r="J192" s="8" t="inlineStr">
        <is>
          <t>Used when type = Variable</t>
        </is>
      </c>
    </row>
    <row r="193">
      <c r="B193" s="36" t="inlineStr">
        <is>
          <t>Variable path – rate in O5</t>
        </is>
      </c>
      <c r="C193" s="116" t="inlineStr">
        <is>
          <t>ተለዋዋጭ ወለድ O5</t>
        </is>
      </c>
      <c r="D193" s="117" t="inlineStr">
        <is>
          <t>% p.a.</t>
        </is>
      </c>
      <c r="E193" s="131" t="n">
        <v>0.15</v>
      </c>
      <c r="F193" s="131" t="n">
        <v>0.14</v>
      </c>
      <c r="G193" s="131" t="n">
        <v>0.15</v>
      </c>
      <c r="H193" s="132">
        <f>CHOOSE(DATA_SET,E193,F193,G193)</f>
        <v>0.15</v>
      </c>
      <c r="I193" s="18" t="inlineStr">
        <is>
          <t>RATE_O5</t>
        </is>
      </c>
      <c r="J193" s="8" t="inlineStr">
        <is>
          <t>Used when type = Variable</t>
        </is>
      </c>
    </row>
    <row r="194">
      <c r="B194" s="36" t="inlineStr">
        <is>
          <t>Variable path – rate in O6</t>
        </is>
      </c>
      <c r="C194" s="116" t="inlineStr">
        <is>
          <t>ተለዋዋጭ ወለድ O6</t>
        </is>
      </c>
      <c r="D194" s="117" t="inlineStr">
        <is>
          <t>% p.a.</t>
        </is>
      </c>
      <c r="E194" s="131" t="n">
        <v>0.15</v>
      </c>
      <c r="F194" s="131" t="n">
        <v>0.14</v>
      </c>
      <c r="G194" s="131" t="n">
        <v>0.15</v>
      </c>
      <c r="H194" s="132">
        <f>CHOOSE(DATA_SET,E194,F194,G194)</f>
        <v>0.15</v>
      </c>
      <c r="I194" s="18" t="inlineStr">
        <is>
          <t>RATE_O6</t>
        </is>
      </c>
      <c r="J194" s="8" t="inlineStr">
        <is>
          <t>Used when type = Variable</t>
        </is>
      </c>
    </row>
    <row r="195">
      <c r="B195" s="36" t="inlineStr">
        <is>
          <t>Variable path – rate in O7</t>
        </is>
      </c>
      <c r="C195" s="116" t="inlineStr">
        <is>
          <t>ተለዋዋጭ ወለድ O7</t>
        </is>
      </c>
      <c r="D195" s="117" t="inlineStr">
        <is>
          <t>% p.a.</t>
        </is>
      </c>
      <c r="E195" s="131" t="n">
        <v>0.15</v>
      </c>
      <c r="F195" s="131" t="n">
        <v>0.14</v>
      </c>
      <c r="G195" s="131" t="n">
        <v>0.15</v>
      </c>
      <c r="H195" s="132">
        <f>CHOOSE(DATA_SET,E195,F195,G195)</f>
        <v>0.15</v>
      </c>
      <c r="I195" s="18" t="inlineStr">
        <is>
          <t>RATE_O7</t>
        </is>
      </c>
      <c r="J195" s="8" t="inlineStr">
        <is>
          <t>Used when type = Variable</t>
        </is>
      </c>
    </row>
    <row r="196">
      <c r="B196" s="36" t="inlineStr">
        <is>
          <t>Variable path – rate in O8</t>
        </is>
      </c>
      <c r="C196" s="116" t="inlineStr">
        <is>
          <t>ተለዋዋጭ ወለድ O8</t>
        </is>
      </c>
      <c r="D196" s="117" t="inlineStr">
        <is>
          <t>% p.a.</t>
        </is>
      </c>
      <c r="E196" s="131" t="n">
        <v>0.15</v>
      </c>
      <c r="F196" s="131" t="n">
        <v>0.14</v>
      </c>
      <c r="G196" s="131" t="n">
        <v>0.15</v>
      </c>
      <c r="H196" s="132">
        <f>CHOOSE(DATA_SET,E196,F196,G196)</f>
        <v>0.15</v>
      </c>
      <c r="I196" s="18" t="inlineStr">
        <is>
          <t>RATE_O8</t>
        </is>
      </c>
      <c r="J196" s="8" t="inlineStr">
        <is>
          <t>Used when type = Variable</t>
        </is>
      </c>
    </row>
    <row r="197">
      <c r="B197" s="36" t="inlineStr">
        <is>
          <t>Variable path – rate in O9</t>
        </is>
      </c>
      <c r="C197" s="116" t="inlineStr">
        <is>
          <t>ተለዋዋጭ ወለድ O9</t>
        </is>
      </c>
      <c r="D197" s="117" t="inlineStr">
        <is>
          <t>% p.a.</t>
        </is>
      </c>
      <c r="E197" s="131" t="n">
        <v>0.15</v>
      </c>
      <c r="F197" s="131" t="n">
        <v>0.14</v>
      </c>
      <c r="G197" s="131" t="n">
        <v>0.15</v>
      </c>
      <c r="H197" s="132">
        <f>CHOOSE(DATA_SET,E197,F197,G197)</f>
        <v>0.15</v>
      </c>
      <c r="I197" s="18" t="inlineStr">
        <is>
          <t>RATE_O9</t>
        </is>
      </c>
      <c r="J197" s="8" t="inlineStr">
        <is>
          <t>Used when type = Variable</t>
        </is>
      </c>
    </row>
    <row r="198">
      <c r="B198" s="36" t="inlineStr">
        <is>
          <t>Variable path – rate in O10</t>
        </is>
      </c>
      <c r="C198" s="116" t="inlineStr">
        <is>
          <t>ተለዋዋጭ ወለድ O10</t>
        </is>
      </c>
      <c r="D198" s="117" t="inlineStr">
        <is>
          <t>% p.a.</t>
        </is>
      </c>
      <c r="E198" s="131" t="n">
        <v>0.15</v>
      </c>
      <c r="F198" s="131" t="n">
        <v>0.14</v>
      </c>
      <c r="G198" s="131" t="n">
        <v>0.15</v>
      </c>
      <c r="H198" s="132">
        <f>CHOOSE(DATA_SET,E198,F198,G198)</f>
        <v>0.15</v>
      </c>
      <c r="I198" s="18" t="inlineStr">
        <is>
          <t>RATE_O10</t>
        </is>
      </c>
      <c r="J198" s="8" t="inlineStr">
        <is>
          <t>Used when type = Variable</t>
        </is>
      </c>
    </row>
    <row r="199">
      <c r="B199" s="36" t="inlineStr">
        <is>
          <t>Grace period after completion</t>
        </is>
      </c>
      <c r="C199" s="116" t="inlineStr">
        <is>
          <t>ከግንባታ በኋላ የእፎይታ ጊዜ</t>
        </is>
      </c>
      <c r="D199" s="117" t="inlineStr">
        <is>
          <t>months</t>
        </is>
      </c>
      <c r="E199" s="128" t="n">
        <v>0</v>
      </c>
      <c r="F199" s="128" t="n">
        <v>0</v>
      </c>
      <c r="G199" s="128" t="n">
        <v>12</v>
      </c>
      <c r="H199" s="121">
        <f>CHOOSE(DATA_SET,E199,F199,G199)</f>
        <v>12</v>
      </c>
      <c r="I199" s="18" t="inlineStr">
        <is>
          <t>GRACE_M</t>
        </is>
      </c>
      <c r="J199" s="8" t="inlineStr">
        <is>
          <t>Interest during construction is always capitalised (IDC)</t>
        </is>
      </c>
    </row>
    <row r="200">
      <c r="B200" s="36" t="inlineStr">
        <is>
          <t>Interest during grace</t>
        </is>
      </c>
      <c r="C200" s="116" t="inlineStr">
        <is>
          <t>በእፎይታ ጊዜ ወለድ</t>
        </is>
      </c>
      <c r="D200" s="117" t="inlineStr">
        <is>
          <t>list</t>
        </is>
      </c>
      <c r="E200" s="120" t="inlineStr">
        <is>
          <t>Interest-only (paid)</t>
        </is>
      </c>
      <c r="F200" s="120" t="inlineStr">
        <is>
          <t>Interest-only (paid)</t>
        </is>
      </c>
      <c r="G200" s="120" t="inlineStr">
        <is>
          <t>Interest-only (paid)</t>
        </is>
      </c>
      <c r="H200" s="121">
        <f>IFERROR(MATCH(CHOOSE(DATA_SET,E200,F200,G200),L_GRACE,0),1)</f>
        <v>1</v>
      </c>
      <c r="I200" s="18" t="inlineStr">
        <is>
          <t>GRACE_TYPE</t>
        </is>
      </c>
      <c r="J200" s="8" t="inlineStr"/>
    </row>
    <row r="201">
      <c r="B201" s="36" t="inlineStr">
        <is>
          <t>Tenor after completion (incl. grace)</t>
        </is>
      </c>
      <c r="C201" s="116" t="inlineStr">
        <is>
          <t>የብድር ጊዜ (እፎይታን ጨምሮ)</t>
        </is>
      </c>
      <c r="D201" s="117" t="inlineStr">
        <is>
          <t>years</t>
        </is>
      </c>
      <c r="E201" s="128" t="n">
        <v>10</v>
      </c>
      <c r="F201" s="128" t="n">
        <v>15</v>
      </c>
      <c r="G201" s="128" t="n">
        <v>10</v>
      </c>
      <c r="H201" s="121">
        <f>CHOOSE(DATA_SET,E201,F201,G201)</f>
        <v>10</v>
      </c>
      <c r="I201" s="18" t="inlineStr">
        <is>
          <t>TENOR_Y</t>
        </is>
      </c>
      <c r="J201" s="8" t="inlineStr">
        <is>
          <t>Max 20</t>
        </is>
      </c>
    </row>
    <row r="202">
      <c r="B202" s="36" t="inlineStr">
        <is>
          <t>Repayment type</t>
        </is>
      </c>
      <c r="C202" s="116" t="inlineStr">
        <is>
          <t>የአከፋፈል ዓይነት</t>
        </is>
      </c>
      <c r="D202" s="117" t="inlineStr">
        <is>
          <t>list</t>
        </is>
      </c>
      <c r="E202" s="120" t="inlineStr">
        <is>
          <t>Annuity (PMT)</t>
        </is>
      </c>
      <c r="F202" s="120" t="inlineStr">
        <is>
          <t>Annuity (PMT)</t>
        </is>
      </c>
      <c r="G202" s="120" t="inlineStr">
        <is>
          <t>Annuity (PMT)</t>
        </is>
      </c>
      <c r="H202" s="121">
        <f>IFERROR(MATCH(CHOOSE(DATA_SET,E202,F202,G202),L_REPAY,0),1)</f>
        <v>1</v>
      </c>
      <c r="I202" s="18" t="inlineStr">
        <is>
          <t>REPAY_TYPE</t>
        </is>
      </c>
      <c r="J202" s="8" t="inlineStr"/>
    </row>
    <row r="203">
      <c r="B203" s="36" t="inlineStr">
        <is>
          <t>Balloon (% of balance at repayment start)</t>
        </is>
      </c>
      <c r="C203" s="116" t="inlineStr">
        <is>
          <t>የመጨረሻ ትልቅ ክፍያ</t>
        </is>
      </c>
      <c r="D203" s="117" t="inlineStr">
        <is>
          <t>%</t>
        </is>
      </c>
      <c r="E203" s="131" t="n">
        <v>0</v>
      </c>
      <c r="F203" s="131" t="n">
        <v>0</v>
      </c>
      <c r="G203" s="131" t="n">
        <v>0</v>
      </c>
      <c r="H203" s="132">
        <f>CHOOSE(DATA_SET,E203,F203,G203)</f>
        <v>0</v>
      </c>
      <c r="I203" s="18" t="inlineStr">
        <is>
          <t>BALLOON_PCT</t>
        </is>
      </c>
      <c r="J203" s="8" t="inlineStr">
        <is>
          <t>Only for repayment type = Balloon</t>
        </is>
      </c>
    </row>
    <row r="204">
      <c r="B204" s="36" t="inlineStr">
        <is>
          <t>Repayment frequency</t>
        </is>
      </c>
      <c r="C204" s="116" t="inlineStr">
        <is>
          <t>የክፍያ ድግግሞሽ</t>
        </is>
      </c>
      <c r="D204" s="117" t="inlineStr">
        <is>
          <t>list</t>
        </is>
      </c>
      <c r="E204" s="120" t="inlineStr">
        <is>
          <t>Monthly</t>
        </is>
      </c>
      <c r="F204" s="120" t="inlineStr">
        <is>
          <t>Monthly</t>
        </is>
      </c>
      <c r="G204" s="120" t="inlineStr">
        <is>
          <t>Quarterly</t>
        </is>
      </c>
      <c r="H204" s="121">
        <f>IFERROR(MATCH(CHOOSE(DATA_SET,E204,F204,G204),L_FREQ,0),1)</f>
        <v>2</v>
      </c>
      <c r="I204" s="18" t="inlineStr">
        <is>
          <t>FREQ</t>
        </is>
      </c>
      <c r="J204" s="8" t="inlineStr"/>
    </row>
    <row r="205">
      <c r="B205" s="36" t="inlineStr">
        <is>
          <t>Arrangement fee (% of facility, excl. IDC)</t>
        </is>
      </c>
      <c r="C205" s="116" t="inlineStr">
        <is>
          <t>የብድር ማመቻቻ ክፍያ</t>
        </is>
      </c>
      <c r="D205" s="117" t="inlineStr">
        <is>
          <t>%</t>
        </is>
      </c>
      <c r="E205" s="131" t="n">
        <v>0.015</v>
      </c>
      <c r="F205" s="131" t="n">
        <v>0.01</v>
      </c>
      <c r="G205" s="131" t="n">
        <v>0.015</v>
      </c>
      <c r="H205" s="132">
        <f>CHOOSE(DATA_SET,E205,F205,G205)</f>
        <v>0.015</v>
      </c>
      <c r="I205" s="18" t="inlineStr">
        <is>
          <t>ARR_FEE</t>
        </is>
      </c>
      <c r="J205" s="8" t="inlineStr">
        <is>
          <t>Base excludes IDC → no circularity</t>
        </is>
      </c>
    </row>
    <row r="206">
      <c r="B206" s="36" t="inlineStr">
        <is>
          <t>Commitment fee on undrawn (% p.a.)</t>
        </is>
      </c>
      <c r="C206" s="116" t="inlineStr">
        <is>
          <t>ባልወጣ ብድር ላይ ክፍያ</t>
        </is>
      </c>
      <c r="D206" s="117" t="inlineStr">
        <is>
          <t>%</t>
        </is>
      </c>
      <c r="E206" s="131" t="n">
        <v>0.005</v>
      </c>
      <c r="F206" s="131" t="n">
        <v>0</v>
      </c>
      <c r="G206" s="131" t="n">
        <v>0.005</v>
      </c>
      <c r="H206" s="132">
        <f>CHOOSE(DATA_SET,E206,F206,G206)</f>
        <v>0.005</v>
      </c>
      <c r="I206" s="18" t="inlineStr">
        <is>
          <t>COMMIT_FEE</t>
        </is>
      </c>
      <c r="J206" s="8" t="inlineStr"/>
    </row>
    <row r="207">
      <c r="B207" s="36" t="inlineStr">
        <is>
          <t>Debt service reserve (months of next year's debt service)</t>
        </is>
      </c>
      <c r="C207" s="116" t="inlineStr">
        <is>
          <t>የዕዳ ክፍያ መጠባበቂያ</t>
        </is>
      </c>
      <c r="D207" s="117" t="inlineStr">
        <is>
          <t>months</t>
        </is>
      </c>
      <c r="E207" s="128" t="n">
        <v>0</v>
      </c>
      <c r="F207" s="128" t="n">
        <v>0</v>
      </c>
      <c r="G207" s="128" t="n">
        <v>6</v>
      </c>
      <c r="H207" s="121">
        <f>CHOOSE(DATA_SET,E207,F207,G207)</f>
        <v>6</v>
      </c>
      <c r="I207" s="18" t="inlineStr">
        <is>
          <t>DSRA_M</t>
        </is>
      </c>
      <c r="J207" s="8" t="inlineStr"/>
    </row>
    <row r="208">
      <c r="B208" s="36" t="inlineStr">
        <is>
          <t>Cash sweep (% of sales proceeds to prepay loan)</t>
        </is>
      </c>
      <c r="C208" s="116" t="inlineStr">
        <is>
          <t>ከሽያጭ ለብድር ቅድመ ክፍያ</t>
        </is>
      </c>
      <c r="D208" s="117" t="inlineStr">
        <is>
          <t>%</t>
        </is>
      </c>
      <c r="E208" s="131" t="n">
        <v>0</v>
      </c>
      <c r="F208" s="131" t="n">
        <v>0</v>
      </c>
      <c r="G208" s="131" t="n">
        <v>0.4</v>
      </c>
      <c r="H208" s="132">
        <f>CHOOSE(DATA_SET,E208,F208,G208)</f>
        <v>0.4</v>
      </c>
      <c r="I208" s="18" t="inlineStr">
        <is>
          <t>SWEEP</t>
        </is>
      </c>
      <c r="J208" s="8" t="inlineStr"/>
    </row>
    <row r="209">
      <c r="B209" s="36" t="inlineStr">
        <is>
          <t>DSCR covenant</t>
        </is>
      </c>
      <c r="C209" s="116" t="inlineStr">
        <is>
          <t>የዕዳ ክፍያ ሽፋን ግዴታ</t>
        </is>
      </c>
      <c r="D209" s="117" t="inlineStr">
        <is>
          <t>x</t>
        </is>
      </c>
      <c r="E209" s="136" t="n">
        <v>1.3</v>
      </c>
      <c r="F209" s="136" t="n">
        <v>1.3</v>
      </c>
      <c r="G209" s="136" t="n">
        <v>1.3</v>
      </c>
      <c r="H209" s="137">
        <f>CHOOSE(DATA_SET,E209,F209,G209)</f>
        <v>1.3</v>
      </c>
      <c r="I209" s="18" t="inlineStr">
        <is>
          <t>DSCR_COV</t>
        </is>
      </c>
      <c r="J209" s="8" t="inlineStr">
        <is>
          <t>Dividends locked up below covenant</t>
        </is>
      </c>
    </row>
    <row r="210">
      <c r="B210" s="36" t="inlineStr">
        <is>
          <t>Return surplus cash to shareholders (capital reduction)</t>
        </is>
      </c>
      <c r="C210" s="116" t="inlineStr">
        <is>
          <t>ትርፍ ገንዘብን ለባለአክሲዮኖች መመለስ</t>
        </is>
      </c>
      <c r="D210" s="117" t="inlineStr">
        <is>
          <t>Y/N</t>
        </is>
      </c>
      <c r="E210" s="120" t="inlineStr">
        <is>
          <t>Yes</t>
        </is>
      </c>
      <c r="F210" s="120" t="inlineStr">
        <is>
          <t>No</t>
        </is>
      </c>
      <c r="G210" s="120" t="inlineStr">
        <is>
          <t>Yes</t>
        </is>
      </c>
      <c r="H210" s="121">
        <f>IF(CHOOSE(DATA_SET,E210,F210,G210)="Yes",1,0)</f>
        <v>1</v>
      </c>
      <c r="I210" s="18" t="inlineStr">
        <is>
          <t>DIST_SURPLUS</t>
        </is>
      </c>
      <c r="J210" s="8" t="inlineStr">
        <is>
          <t>Subject to the DSCR lock-up test: first returns paid-in capital, then pays a special dividend from retained earnings</t>
        </is>
      </c>
    </row>
    <row r="211">
      <c r="B211" s="36" t="inlineStr">
        <is>
          <t>Minimum cash balance (operations)</t>
        </is>
      </c>
      <c r="C211" s="116" t="inlineStr">
        <is>
          <t>ዝቅተኛ ጥሬ ገንዘብ</t>
        </is>
      </c>
      <c r="D211" s="117" t="inlineStr">
        <is>
          <t>ETB</t>
        </is>
      </c>
      <c r="E211" s="122" t="n">
        <v>0</v>
      </c>
      <c r="F211" s="122" t="n">
        <v>0</v>
      </c>
      <c r="G211" s="122" t="n">
        <v>2000000</v>
      </c>
      <c r="H211" s="123">
        <f>CHOOSE(DATA_SET,E211,F211,G211)</f>
        <v>2000000</v>
      </c>
      <c r="I211" s="18" t="inlineStr">
        <is>
          <t>MIN_CASH</t>
        </is>
      </c>
      <c r="J211" s="8" t="inlineStr"/>
    </row>
    <row r="212" ht="20" customHeight="1">
      <c r="B212" s="113" t="inlineStr">
        <is>
          <t>10. Tax &amp; accounting</t>
        </is>
      </c>
      <c r="C212" s="114" t="inlineStr">
        <is>
          <t>10. ግብርና ሂሳብ አያያዝ</t>
        </is>
      </c>
      <c r="D212" s="115" t="n"/>
      <c r="E212" s="115" t="n"/>
      <c r="F212" s="115" t="n"/>
      <c r="G212" s="115" t="n"/>
      <c r="H212" s="115" t="n"/>
      <c r="I212" s="115" t="n"/>
      <c r="J212" s="115" t="n"/>
    </row>
    <row r="213">
      <c r="B213" s="36" t="inlineStr">
        <is>
          <t>Corporate income tax</t>
        </is>
      </c>
      <c r="C213" s="116" t="inlineStr">
        <is>
          <t>የንግድ ሥራ ገቢ ግብር</t>
        </is>
      </c>
      <c r="D213" s="117" t="inlineStr">
        <is>
          <t>%</t>
        </is>
      </c>
      <c r="E213" s="131" t="n">
        <v>0.3</v>
      </c>
      <c r="F213" s="131" t="n">
        <v>0.3</v>
      </c>
      <c r="G213" s="131" t="n">
        <v>0.3</v>
      </c>
      <c r="H213" s="132">
        <f>CHOOSE(DATA_SET,E213,F213,G213)</f>
        <v>0.3</v>
      </c>
      <c r="I213" s="18" t="inlineStr">
        <is>
          <t>CIT</t>
        </is>
      </c>
      <c r="J213" s="8" t="inlineStr">
        <is>
          <t>See TaxLaw register</t>
        </is>
      </c>
    </row>
    <row r="214">
      <c r="B214" s="36" t="inlineStr">
        <is>
          <t>Tax depreciation – buildings (straight line)</t>
        </is>
      </c>
      <c r="C214" s="116" t="inlineStr">
        <is>
          <t>የሕንፃ የግብር እርጅና ቅናሽ</t>
        </is>
      </c>
      <c r="D214" s="117" t="inlineStr">
        <is>
          <t>% p.a.</t>
        </is>
      </c>
      <c r="E214" s="131" t="n">
        <v>0.05</v>
      </c>
      <c r="F214" s="131" t="n">
        <v>0.05</v>
      </c>
      <c r="G214" s="131" t="n">
        <v>0.05</v>
      </c>
      <c r="H214" s="132">
        <f>CHOOSE(DATA_SET,E214,F214,G214)</f>
        <v>0.05</v>
      </c>
      <c r="I214" s="18" t="inlineStr">
        <is>
          <t>TAXDEP_BLD</t>
        </is>
      </c>
      <c r="J214" s="8" t="inlineStr"/>
    </row>
    <row r="215">
      <c r="B215" s="36" t="inlineStr">
        <is>
          <t>Tax depreciation – plant &amp; equipment pool (diminishing)</t>
        </is>
      </c>
      <c r="C215" s="116" t="inlineStr">
        <is>
          <t>የመሣሪያ የግብር እርጅና ቅናሽ</t>
        </is>
      </c>
      <c r="D215" s="117" t="inlineStr">
        <is>
          <t>% p.a.</t>
        </is>
      </c>
      <c r="E215" s="131" t="n">
        <v>0.2</v>
      </c>
      <c r="F215" s="131" t="n">
        <v>0.2</v>
      </c>
      <c r="G215" s="131" t="n">
        <v>0.2</v>
      </c>
      <c r="H215" s="132">
        <f>CHOOSE(DATA_SET,E215,F215,G215)</f>
        <v>0.2</v>
      </c>
      <c r="I215" s="18" t="inlineStr">
        <is>
          <t>TAXDEP_PLANT</t>
        </is>
      </c>
      <c r="J215" s="8" t="inlineStr"/>
    </row>
    <row r="216">
      <c r="B216" s="36" t="inlineStr">
        <is>
          <t>Tax loss carry-forward period</t>
        </is>
      </c>
      <c r="C216" s="116" t="inlineStr">
        <is>
          <t>ኪሳራ የሚሸጋገርበት ጊዜ</t>
        </is>
      </c>
      <c r="D216" s="117" t="inlineStr">
        <is>
          <t>years</t>
        </is>
      </c>
      <c r="E216" s="128" t="n">
        <v>5</v>
      </c>
      <c r="F216" s="128" t="n">
        <v>5</v>
      </c>
      <c r="G216" s="128" t="n">
        <v>5</v>
      </c>
      <c r="H216" s="121">
        <f>CHOOSE(DATA_SET,E216,F216,G216)</f>
        <v>5</v>
      </c>
      <c r="I216" s="18" t="inlineStr">
        <is>
          <t>LCF_YEARS</t>
        </is>
      </c>
      <c r="J216" s="8" t="inlineStr"/>
    </row>
    <row r="217">
      <c r="B217" s="36" t="inlineStr">
        <is>
          <t>Loss offset cap (% of taxable profit)</t>
        </is>
      </c>
      <c r="C217" s="116" t="inlineStr">
        <is>
          <t>የኪሳራ ማካካሻ ጣሪያ</t>
        </is>
      </c>
      <c r="D217" s="117" t="inlineStr">
        <is>
          <t>%</t>
        </is>
      </c>
      <c r="E217" s="131" t="n">
        <v>1</v>
      </c>
      <c r="F217" s="131" t="n">
        <v>1</v>
      </c>
      <c r="G217" s="131" t="n">
        <v>1</v>
      </c>
      <c r="H217" s="132">
        <f>CHOOSE(DATA_SET,E217,F217,G217)</f>
        <v>1</v>
      </c>
      <c r="I217" s="18" t="inlineStr">
        <is>
          <t>LCF_CAP</t>
        </is>
      </c>
      <c r="J217" s="8" t="inlineStr"/>
    </row>
    <row r="218">
      <c r="B218" s="36" t="inlineStr">
        <is>
          <t>VAT rate</t>
        </is>
      </c>
      <c r="C218" s="116" t="inlineStr">
        <is>
          <t>የተጨማሪ እሴት ታክስ መጣኔ</t>
        </is>
      </c>
      <c r="D218" s="117" t="inlineStr">
        <is>
          <t>%</t>
        </is>
      </c>
      <c r="E218" s="131" t="n">
        <v>0.15</v>
      </c>
      <c r="F218" s="131" t="n">
        <v>0.15</v>
      </c>
      <c r="G218" s="131" t="n">
        <v>0.15</v>
      </c>
      <c r="H218" s="132">
        <f>CHOOSE(DATA_SET,E218,F218,G218)</f>
        <v>0.15</v>
      </c>
      <c r="I218" s="18" t="inlineStr">
        <is>
          <t>VAT_R</t>
        </is>
      </c>
      <c r="J218" s="8" t="inlineStr"/>
    </row>
    <row r="219">
      <c r="B219" s="36" t="inlineStr">
        <is>
          <t>Excess input VAT refunded next year?</t>
        </is>
      </c>
      <c r="C219" s="116" t="inlineStr">
        <is>
          <t>ትርፍ የግብዓት ታክስ ይመለሳል?</t>
        </is>
      </c>
      <c r="D219" s="117" t="inlineStr">
        <is>
          <t>Y/N</t>
        </is>
      </c>
      <c r="E219" s="120" t="inlineStr">
        <is>
          <t>Yes</t>
        </is>
      </c>
      <c r="F219" s="120" t="inlineStr">
        <is>
          <t>Yes</t>
        </is>
      </c>
      <c r="G219" s="120" t="inlineStr">
        <is>
          <t>Yes</t>
        </is>
      </c>
      <c r="H219" s="121">
        <f>IF(CHOOSE(DATA_SET,E219,F219,G219)="Yes",1,0)</f>
        <v>1</v>
      </c>
      <c r="I219" s="18" t="inlineStr">
        <is>
          <t>VAT_REFUND_F</t>
        </is>
      </c>
      <c r="J219" s="8" t="inlineStr">
        <is>
          <t>No = carried forward against output VAT</t>
        </is>
      </c>
    </row>
    <row r="220">
      <c r="B220" s="36" t="inlineStr">
        <is>
          <t>Undistributed profits tax</t>
        </is>
      </c>
      <c r="C220" s="116" t="inlineStr">
        <is>
          <t>ያልተከፋፈለ ትርፍ ግብር</t>
        </is>
      </c>
      <c r="D220" s="117" t="inlineStr">
        <is>
          <t>%</t>
        </is>
      </c>
      <c r="E220" s="131" t="n">
        <v>0.1</v>
      </c>
      <c r="F220" s="131" t="n">
        <v>0.1</v>
      </c>
      <c r="G220" s="131" t="n">
        <v>0.1</v>
      </c>
      <c r="H220" s="132">
        <f>CHOOSE(DATA_SET,E220,F220,G220)</f>
        <v>0.1</v>
      </c>
      <c r="I220" s="18" t="inlineStr">
        <is>
          <t>UPT_R</t>
        </is>
      </c>
      <c r="J220" s="8" t="inlineStr">
        <is>
          <t>Closed-form, no circularity</t>
        </is>
      </c>
    </row>
    <row r="221">
      <c r="B221" s="36" t="inlineStr">
        <is>
          <t>Dividend payout ratio</t>
        </is>
      </c>
      <c r="C221" s="116" t="inlineStr">
        <is>
          <t>የትርፍ ድርሻ ክፍፍል መጠን</t>
        </is>
      </c>
      <c r="D221" s="117" t="inlineStr">
        <is>
          <t>%</t>
        </is>
      </c>
      <c r="E221" s="131" t="n">
        <v>0.5</v>
      </c>
      <c r="F221" s="131" t="n">
        <v>0</v>
      </c>
      <c r="G221" s="131" t="n">
        <v>0.5</v>
      </c>
      <c r="H221" s="132">
        <f>CHOOSE(DATA_SET,E221,F221,G221)</f>
        <v>0.5</v>
      </c>
      <c r="I221" s="18" t="inlineStr">
        <is>
          <t>DIV_PAYOUT</t>
        </is>
      </c>
      <c r="J221" s="8" t="inlineStr"/>
    </row>
    <row r="222">
      <c r="B222" s="36" t="inlineStr">
        <is>
          <t>Dividend withholding tax (memo)</t>
        </is>
      </c>
      <c r="C222" s="116" t="inlineStr">
        <is>
          <t>የትርፍ ድርሻ ተቀናሽ ግብር</t>
        </is>
      </c>
      <c r="D222" s="117" t="inlineStr">
        <is>
          <t>%</t>
        </is>
      </c>
      <c r="E222" s="131" t="n">
        <v>0.1</v>
      </c>
      <c r="F222" s="131" t="n">
        <v>0.1</v>
      </c>
      <c r="G222" s="131" t="n">
        <v>0.1</v>
      </c>
      <c r="H222" s="132">
        <f>CHOOSE(DATA_SET,E222,F222,G222)</f>
        <v>0.1</v>
      </c>
      <c r="I222" s="18" t="inlineStr">
        <is>
          <t>DIV_WHT</t>
        </is>
      </c>
      <c r="J222" s="8" t="inlineStr"/>
    </row>
    <row r="223">
      <c r="B223" s="36" t="inlineStr">
        <is>
          <t>Legal reserve transfer (% of profit)</t>
        </is>
      </c>
      <c r="C223" s="116" t="inlineStr">
        <is>
          <t>ሕጋዊ መጠባበቂያ</t>
        </is>
      </c>
      <c r="D223" s="117" t="inlineStr">
        <is>
          <t>%</t>
        </is>
      </c>
      <c r="E223" s="131" t="n">
        <v>0.05</v>
      </c>
      <c r="F223" s="131" t="n">
        <v>0.05</v>
      </c>
      <c r="G223" s="131" t="n">
        <v>0.05</v>
      </c>
      <c r="H223" s="132">
        <f>CHOOSE(DATA_SET,E223,F223,G223)</f>
        <v>0.05</v>
      </c>
      <c r="I223" s="18" t="inlineStr">
        <is>
          <t>LR_PCT</t>
        </is>
      </c>
      <c r="J223" s="8" t="inlineStr"/>
    </row>
    <row r="224">
      <c r="B224" s="36" t="inlineStr">
        <is>
          <t>Legal reserve cap (% of share capital)</t>
        </is>
      </c>
      <c r="C224" s="116" t="inlineStr">
        <is>
          <t>የሕጋዊ መጠባበቂያ ጣሪያ</t>
        </is>
      </c>
      <c r="D224" s="117" t="inlineStr">
        <is>
          <t>%</t>
        </is>
      </c>
      <c r="E224" s="131" t="n">
        <v>0.1</v>
      </c>
      <c r="F224" s="131" t="n">
        <v>0.1</v>
      </c>
      <c r="G224" s="131" t="n">
        <v>0.1</v>
      </c>
      <c r="H224" s="132">
        <f>CHOOSE(DATA_SET,E224,F224,G224)</f>
        <v>0.1</v>
      </c>
      <c r="I224" s="18" t="inlineStr">
        <is>
          <t>LR_CAP</t>
        </is>
      </c>
      <c r="J224" s="8" t="inlineStr"/>
    </row>
    <row r="225">
      <c r="B225" s="36" t="inlineStr">
        <is>
          <t>Useful life – building structure</t>
        </is>
      </c>
      <c r="C225" s="116" t="inlineStr">
        <is>
          <t>የሕንፃ አገልግሎት ዘመን</t>
        </is>
      </c>
      <c r="D225" s="117" t="inlineStr">
        <is>
          <t>years</t>
        </is>
      </c>
      <c r="E225" s="128" t="n">
        <v>50</v>
      </c>
      <c r="F225" s="128" t="n">
        <v>50</v>
      </c>
      <c r="G225" s="128" t="n">
        <v>50</v>
      </c>
      <c r="H225" s="121">
        <f>CHOOSE(DATA_SET,E225,F225,G225)</f>
        <v>50</v>
      </c>
      <c r="I225" s="18" t="inlineStr">
        <is>
          <t>LIFE_BLD</t>
        </is>
      </c>
      <c r="J225" s="8" t="inlineStr"/>
    </row>
    <row r="226">
      <c r="B226" s="36" t="inlineStr">
        <is>
          <t>Useful life – building systems (MEP, lifts)</t>
        </is>
      </c>
      <c r="C226" s="116" t="inlineStr">
        <is>
          <t>የሲስተሞች አገልግሎት ዘመን</t>
        </is>
      </c>
      <c r="D226" s="117" t="inlineStr">
        <is>
          <t>years</t>
        </is>
      </c>
      <c r="E226" s="128" t="n">
        <v>20</v>
      </c>
      <c r="F226" s="128" t="n">
        <v>20</v>
      </c>
      <c r="G226" s="128" t="n">
        <v>20</v>
      </c>
      <c r="H226" s="121">
        <f>CHOOSE(DATA_SET,E226,F226,G226)</f>
        <v>20</v>
      </c>
      <c r="I226" s="18" t="inlineStr">
        <is>
          <t>LIFE_SYS</t>
        </is>
      </c>
      <c r="J226" s="8" t="inlineStr"/>
    </row>
    <row r="227">
      <c r="B227" s="36" t="inlineStr">
        <is>
          <t>Useful life – FF&amp;E</t>
        </is>
      </c>
      <c r="C227" s="116" t="inlineStr">
        <is>
          <t>የዕቃዎች አገልግሎት ዘመን</t>
        </is>
      </c>
      <c r="D227" s="117" t="inlineStr">
        <is>
          <t>years</t>
        </is>
      </c>
      <c r="E227" s="128" t="n">
        <v>7</v>
      </c>
      <c r="F227" s="128" t="n">
        <v>7</v>
      </c>
      <c r="G227" s="128" t="n">
        <v>7</v>
      </c>
      <c r="H227" s="121">
        <f>CHOOSE(DATA_SET,E227,F227,G227)</f>
        <v>7</v>
      </c>
      <c r="I227" s="18" t="inlineStr">
        <is>
          <t>LIFE_FFE</t>
        </is>
      </c>
      <c r="J227" s="8" t="inlineStr"/>
    </row>
    <row r="228">
      <c r="B228" s="36" t="inlineStr">
        <is>
          <t>FF&amp;E life cap</t>
        </is>
      </c>
      <c r="C228" s="116" t="inlineStr">
        <is>
          <t>የዕቃዎች ዘመን ጣሪያ</t>
        </is>
      </c>
      <c r="D228" s="117" t="inlineStr">
        <is>
          <t>years</t>
        </is>
      </c>
      <c r="E228" s="128" t="n">
        <v>10</v>
      </c>
      <c r="F228" s="128" t="n">
        <v>10</v>
      </c>
      <c r="G228" s="128" t="n">
        <v>10</v>
      </c>
      <c r="H228" s="121">
        <f>CHOOSE(DATA_SET,E228,F228,G228)</f>
        <v>10</v>
      </c>
      <c r="I228" s="18" t="inlineStr">
        <is>
          <t>FFE_LIFE_CAP</t>
        </is>
      </c>
      <c r="J228" s="8" t="inlineStr">
        <is>
          <t>Fix from reference model</t>
        </is>
      </c>
    </row>
    <row r="229" ht="20" customHeight="1">
      <c r="B229" s="113" t="inlineStr">
        <is>
          <t>11. Valuation</t>
        </is>
      </c>
      <c r="C229" s="114" t="inlineStr">
        <is>
          <t>11. ግምገማ</t>
        </is>
      </c>
      <c r="D229" s="115" t="n"/>
      <c r="E229" s="115" t="n"/>
      <c r="F229" s="115" t="n"/>
      <c r="G229" s="115" t="n"/>
      <c r="H229" s="115" t="n"/>
      <c r="I229" s="115" t="n"/>
      <c r="J229" s="115" t="n"/>
    </row>
    <row r="230">
      <c r="B230" s="36" t="inlineStr">
        <is>
          <t>Project discount rate</t>
        </is>
      </c>
      <c r="C230" s="116" t="inlineStr">
        <is>
          <t>የፕሮጀክት የቅናሽ መጠን</t>
        </is>
      </c>
      <c r="D230" s="117" t="inlineStr">
        <is>
          <t>%</t>
        </is>
      </c>
      <c r="E230" s="131" t="n">
        <v>0.18</v>
      </c>
      <c r="F230" s="131" t="n">
        <v>0.18</v>
      </c>
      <c r="G230" s="131" t="n">
        <v>0.18</v>
      </c>
      <c r="H230" s="132">
        <f>CHOOSE(DATA_SET,E230,F230,G230)</f>
        <v>0.18</v>
      </c>
      <c r="I230" s="18" t="inlineStr">
        <is>
          <t>DISC</t>
        </is>
      </c>
      <c r="J230" s="8" t="inlineStr"/>
    </row>
    <row r="231">
      <c r="B231" s="36" t="inlineStr">
        <is>
          <t>Cost of equity</t>
        </is>
      </c>
      <c r="C231" s="116" t="inlineStr">
        <is>
          <t>የባለቤት ካፒታል ወጪ</t>
        </is>
      </c>
      <c r="D231" s="117" t="inlineStr">
        <is>
          <t>%</t>
        </is>
      </c>
      <c r="E231" s="131" t="n">
        <v>0.22</v>
      </c>
      <c r="F231" s="131" t="n">
        <v>0.22</v>
      </c>
      <c r="G231" s="131" t="n">
        <v>0.22</v>
      </c>
      <c r="H231" s="132">
        <f>CHOOSE(DATA_SET,E231,F231,G231)</f>
        <v>0.22</v>
      </c>
      <c r="I231" s="18" t="inlineStr">
        <is>
          <t>COE</t>
        </is>
      </c>
      <c r="J231" s="8" t="inlineStr"/>
    </row>
    <row r="232">
      <c r="B232" s="36" t="inlineStr">
        <is>
          <t>Terminal value method</t>
        </is>
      </c>
      <c r="C232" s="116" t="inlineStr">
        <is>
          <t>የመጨረሻ ዋጋ ዘዴ</t>
        </is>
      </c>
      <c r="D232" s="117" t="inlineStr">
        <is>
          <t>list</t>
        </is>
      </c>
      <c r="E232" s="120" t="inlineStr">
        <is>
          <t>Exit cap rate</t>
        </is>
      </c>
      <c r="F232" s="120" t="inlineStr">
        <is>
          <t>Exit cap rate</t>
        </is>
      </c>
      <c r="G232" s="120" t="inlineStr">
        <is>
          <t>Exit cap rate</t>
        </is>
      </c>
      <c r="H232" s="121">
        <f>IFERROR(MATCH(CHOOSE(DATA_SET,E232,F232,G232),L_EXIT,0),1)</f>
        <v>1</v>
      </c>
      <c r="I232" s="18" t="inlineStr">
        <is>
          <t>EXIT_METHOD</t>
        </is>
      </c>
      <c r="J232" s="8" t="inlineStr"/>
    </row>
    <row r="233">
      <c r="B233" s="36" t="inlineStr">
        <is>
          <t>Exit cap rate</t>
        </is>
      </c>
      <c r="C233" s="116" t="inlineStr">
        <is>
          <t>የመውጫ ካፕ ሬት</t>
        </is>
      </c>
      <c r="D233" s="117" t="inlineStr">
        <is>
          <t>%</t>
        </is>
      </c>
      <c r="E233" s="131" t="n">
        <v>0.09</v>
      </c>
      <c r="F233" s="131" t="n">
        <v>0.09</v>
      </c>
      <c r="G233" s="131" t="n">
        <v>0.09</v>
      </c>
      <c r="H233" s="132">
        <f>CHOOSE(DATA_SET,E233,F233,G233)</f>
        <v>0.09</v>
      </c>
      <c r="I233" s="18" t="inlineStr">
        <is>
          <t>EXIT_CAP</t>
        </is>
      </c>
      <c r="J233" s="8" t="inlineStr">
        <is>
          <t>On next-year NOI</t>
        </is>
      </c>
    </row>
    <row r="234">
      <c r="B234" s="36" t="inlineStr">
        <is>
          <t>Exit EBITDA multiple</t>
        </is>
      </c>
      <c r="C234" s="116" t="inlineStr">
        <is>
          <t>የመውጫ ብዜት</t>
        </is>
      </c>
      <c r="D234" s="117" t="inlineStr">
        <is>
          <t>x</t>
        </is>
      </c>
      <c r="E234" s="136" t="n">
        <v>10</v>
      </c>
      <c r="F234" s="136" t="n">
        <v>10</v>
      </c>
      <c r="G234" s="136" t="n">
        <v>10</v>
      </c>
      <c r="H234" s="137">
        <f>CHOOSE(DATA_SET,E234,F234,G234)</f>
        <v>10</v>
      </c>
      <c r="I234" s="18" t="inlineStr">
        <is>
          <t>EXIT_MULT</t>
        </is>
      </c>
      <c r="J234" s="8" t="inlineStr"/>
    </row>
    <row r="235">
      <c r="B235" s="36" t="inlineStr">
        <is>
          <t>Exit / disposal costs</t>
        </is>
      </c>
      <c r="C235" s="116" t="inlineStr">
        <is>
          <t>የሽያጭ ወጪ</t>
        </is>
      </c>
      <c r="D235" s="117" t="inlineStr">
        <is>
          <t>%</t>
        </is>
      </c>
      <c r="E235" s="131" t="n">
        <v>0.02</v>
      </c>
      <c r="F235" s="131" t="n">
        <v>0.02</v>
      </c>
      <c r="G235" s="131" t="n">
        <v>0.02</v>
      </c>
      <c r="H235" s="132">
        <f>CHOOSE(DATA_SET,E235,F235,G235)</f>
        <v>0.02</v>
      </c>
      <c r="I235" s="18" t="inlineStr">
        <is>
          <t>EXIT_COST</t>
        </is>
      </c>
      <c r="J235" s="8" t="inlineStr"/>
    </row>
    <row r="236">
      <c r="B236" s="36" t="inlineStr">
        <is>
          <t>Equity IRR hurdle</t>
        </is>
      </c>
      <c r="C236" s="116" t="inlineStr">
        <is>
          <t>ዝቅተኛ ተፈላጊ ተመላሽ</t>
        </is>
      </c>
      <c r="D236" s="117" t="inlineStr">
        <is>
          <t>%</t>
        </is>
      </c>
      <c r="E236" s="131" t="n">
        <v>0.2</v>
      </c>
      <c r="F236" s="131" t="n">
        <v>0.2</v>
      </c>
      <c r="G236" s="131" t="n">
        <v>0.2</v>
      </c>
      <c r="H236" s="132">
        <f>CHOOSE(DATA_SET,E236,F236,G236)</f>
        <v>0.2</v>
      </c>
      <c r="I236" s="18" t="inlineStr">
        <is>
          <t>HURDLE</t>
        </is>
      </c>
      <c r="J236" s="8" t="inlineStr"/>
    </row>
    <row r="237">
      <c r="B237" s="36" t="inlineStr">
        <is>
          <t>Marginal band below hurdle</t>
        </is>
      </c>
      <c r="C237" s="116" t="inlineStr">
        <is>
          <t>የድንበር ክልል</t>
        </is>
      </c>
      <c r="D237" s="117" t="inlineStr">
        <is>
          <t>%</t>
        </is>
      </c>
      <c r="E237" s="131" t="n">
        <v>0.03</v>
      </c>
      <c r="F237" s="131" t="n">
        <v>0.03</v>
      </c>
      <c r="G237" s="131" t="n">
        <v>0.03</v>
      </c>
      <c r="H237" s="132">
        <f>CHOOSE(DATA_SET,E237,F237,G237)</f>
        <v>0.03</v>
      </c>
      <c r="I237" s="18" t="inlineStr">
        <is>
          <t>MARGIN_BAND</t>
        </is>
      </c>
      <c r="J237" s="8" t="inlineStr">
        <is>
          <t>Within this band below the hurdle = MARGINAL</t>
        </is>
      </c>
    </row>
    <row r="239">
      <c r="B239" s="113" t="inlineStr">
        <is>
          <t>12. Cost library – ETB per m² GFA, budget-date prices (link-ready to the Rapha Construction Cost Index)</t>
        </is>
      </c>
      <c r="C239" s="114" t="inlineStr">
        <is>
          <t>12. የወጪ መረጃ ቋት</t>
        </is>
      </c>
      <c r="D239" s="115" t="n"/>
      <c r="E239" s="115" t="n"/>
      <c r="F239" s="115" t="n"/>
      <c r="G239" s="115" t="n"/>
      <c r="H239" s="115" t="n"/>
      <c r="I239" s="115" t="n"/>
      <c r="J239" s="115" t="n"/>
    </row>
    <row r="240">
      <c r="E240" s="138" t="inlineStr">
        <is>
          <t>Basic</t>
        </is>
      </c>
      <c r="F240" s="138" t="inlineStr">
        <is>
          <t>Standard</t>
        </is>
      </c>
      <c r="G240" s="138" t="inlineStr">
        <is>
          <t>Premium</t>
        </is>
      </c>
      <c r="J240" s="8" t="inlineStr">
        <is>
          <t>Applies to all data sets. Replace with Rapha Construction Cost Index rates when available.</t>
        </is>
      </c>
    </row>
    <row r="241">
      <c r="B241" s="36" t="inlineStr">
        <is>
          <t>Preliminaries</t>
        </is>
      </c>
      <c r="C241" s="116" t="inlineStr">
        <is>
          <t>ቅድመ-ሥራዎች</t>
        </is>
      </c>
      <c r="D241" s="117" t="inlineStr">
        <is>
          <t>ETB/m²</t>
        </is>
      </c>
      <c r="E241" s="139" t="n">
        <v>1300</v>
      </c>
      <c r="F241" s="139" t="n">
        <v>1600</v>
      </c>
      <c r="G241" s="139" t="n">
        <v>2000</v>
      </c>
      <c r="H241" s="140">
        <f>INDEX(E241:G241,FIN_IX)</f>
        <v>1600</v>
      </c>
      <c r="I241" s="18" t="inlineStr">
        <is>
          <t>RATE_LIB</t>
        </is>
      </c>
    </row>
    <row r="242">
      <c r="B242" s="36" t="inlineStr">
        <is>
          <t>Substructure</t>
        </is>
      </c>
      <c r="C242" s="116" t="inlineStr">
        <is>
          <t>የመሠረት ሥራ</t>
        </is>
      </c>
      <c r="D242" s="117" t="inlineStr">
        <is>
          <t>ETB/m²</t>
        </is>
      </c>
      <c r="E242" s="139" t="n">
        <v>3500</v>
      </c>
      <c r="F242" s="139" t="n">
        <v>3800</v>
      </c>
      <c r="G242" s="139" t="n">
        <v>4100</v>
      </c>
      <c r="H242" s="140">
        <f>INDEX(E242:G242,FIN_IX)</f>
        <v>3800</v>
      </c>
      <c r="I242" s="18" t="inlineStr">
        <is>
          <t>RATE_LIB</t>
        </is>
      </c>
    </row>
    <row r="243">
      <c r="B243" s="36" t="inlineStr">
        <is>
          <t>Superstructure (frame)</t>
        </is>
      </c>
      <c r="C243" s="116" t="inlineStr">
        <is>
          <t>ከመሬት በላይ መዋቅር (ፍሬም)</t>
        </is>
      </c>
      <c r="D243" s="117" t="inlineStr">
        <is>
          <t>ETB/m²</t>
        </is>
      </c>
      <c r="E243" s="139" t="n">
        <v>7300</v>
      </c>
      <c r="F243" s="139" t="n">
        <v>7800</v>
      </c>
      <c r="G243" s="139" t="n">
        <v>8300</v>
      </c>
      <c r="H243" s="140">
        <f>INDEX(E243:G243,FIN_IX)</f>
        <v>7800</v>
      </c>
      <c r="I243" s="18" t="inlineStr">
        <is>
          <t>RATE_LIB</t>
        </is>
      </c>
    </row>
    <row r="244">
      <c r="B244" s="36" t="inlineStr">
        <is>
          <t>Envelope (walls, windows, roof)</t>
        </is>
      </c>
      <c r="C244" s="116" t="inlineStr">
        <is>
          <t>ግድግዳ፣ መስኮትና ጣሪያ</t>
        </is>
      </c>
      <c r="D244" s="117" t="inlineStr">
        <is>
          <t>ETB/m²</t>
        </is>
      </c>
      <c r="E244" s="139" t="n">
        <v>3800</v>
      </c>
      <c r="F244" s="139" t="n">
        <v>4800</v>
      </c>
      <c r="G244" s="139" t="n">
        <v>6600</v>
      </c>
      <c r="H244" s="140">
        <f>INDEX(E244:G244,FIN_IX)</f>
        <v>4800</v>
      </c>
      <c r="I244" s="18" t="inlineStr">
        <is>
          <t>RATE_LIB</t>
        </is>
      </c>
    </row>
    <row r="245">
      <c r="B245" s="36" t="inlineStr">
        <is>
          <t>Internal works (partitions, doors)</t>
        </is>
      </c>
      <c r="C245" s="116" t="inlineStr">
        <is>
          <t>የውስጥ ሥራዎች (ክፍልፋይ፣ በር)</t>
        </is>
      </c>
      <c r="D245" s="117" t="inlineStr">
        <is>
          <t>ETB/m²</t>
        </is>
      </c>
      <c r="E245" s="139" t="n">
        <v>1800</v>
      </c>
      <c r="F245" s="139" t="n">
        <v>2400</v>
      </c>
      <c r="G245" s="139" t="n">
        <v>3400</v>
      </c>
      <c r="H245" s="140">
        <f>INDEX(E245:G245,FIN_IX)</f>
        <v>2400</v>
      </c>
      <c r="I245" s="18" t="inlineStr">
        <is>
          <t>RATE_LIB</t>
        </is>
      </c>
    </row>
    <row r="246">
      <c r="B246" s="36" t="inlineStr">
        <is>
          <t>Finishes</t>
        </is>
      </c>
      <c r="C246" s="116" t="inlineStr">
        <is>
          <t>የማጠናቀቂያ ሥራዎች</t>
        </is>
      </c>
      <c r="D246" s="117" t="inlineStr">
        <is>
          <t>ETB/m²</t>
        </is>
      </c>
      <c r="E246" s="139" t="n">
        <v>3300</v>
      </c>
      <c r="F246" s="139" t="n">
        <v>5600</v>
      </c>
      <c r="G246" s="139" t="n">
        <v>9200</v>
      </c>
      <c r="H246" s="140">
        <f>INDEX(E246:G246,FIN_IX)</f>
        <v>5600</v>
      </c>
      <c r="I246" s="18" t="inlineStr">
        <is>
          <t>RATE_LIB</t>
        </is>
      </c>
    </row>
    <row r="247">
      <c r="B247" s="36" t="inlineStr">
        <is>
          <t>MEP (electrical, mechanical, plumbing)</t>
        </is>
      </c>
      <c r="C247" s="116" t="inlineStr">
        <is>
          <t>ኤሌክትሪክ፣ ሜካኒካልና ቧንቧ</t>
        </is>
      </c>
      <c r="D247" s="117" t="inlineStr">
        <is>
          <t>ETB/m²</t>
        </is>
      </c>
      <c r="E247" s="139" t="n">
        <v>3000</v>
      </c>
      <c r="F247" s="139" t="n">
        <v>4400</v>
      </c>
      <c r="G247" s="139" t="n">
        <v>6600</v>
      </c>
      <c r="H247" s="140">
        <f>INDEX(E247:G247,FIN_IX)</f>
        <v>4400</v>
      </c>
      <c r="I247" s="18" t="inlineStr">
        <is>
          <t>RATE_LIB</t>
        </is>
      </c>
    </row>
    <row r="248">
      <c r="B248" s="36" t="inlineStr">
        <is>
          <t>External works</t>
        </is>
      </c>
      <c r="C248" s="116" t="inlineStr">
        <is>
          <t>የውጭ ሥራዎች</t>
        </is>
      </c>
      <c r="D248" s="117" t="inlineStr">
        <is>
          <t>ETB/m²</t>
        </is>
      </c>
      <c r="E248" s="139" t="n">
        <v>800</v>
      </c>
      <c r="F248" s="139" t="n">
        <v>1200</v>
      </c>
      <c r="G248" s="139" t="n">
        <v>1800</v>
      </c>
      <c r="H248" s="140">
        <f>INDEX(E248:G248,FIN_IX)</f>
        <v>1200</v>
      </c>
      <c r="I248" s="18" t="inlineStr">
        <is>
          <t>RATE_LIB</t>
        </is>
      </c>
    </row>
    <row r="249">
      <c r="B249" s="36" t="inlineStr">
        <is>
          <t>Specialist systems (lifts, fire, CCTV)</t>
        </is>
      </c>
      <c r="C249" s="116" t="inlineStr">
        <is>
          <t>ልዩ ሲስተሞች (ሊፍት፣ እሳት፣ ካሜራ)</t>
        </is>
      </c>
      <c r="D249" s="117" t="inlineStr">
        <is>
          <t>ETB/m²</t>
        </is>
      </c>
      <c r="E249" s="139" t="n">
        <v>0</v>
      </c>
      <c r="F249" s="139" t="n">
        <v>400</v>
      </c>
      <c r="G249" s="139" t="n">
        <v>1200</v>
      </c>
      <c r="H249" s="140">
        <f>INDEX(E249:G249,FIN_IX)</f>
        <v>400</v>
      </c>
      <c r="I249" s="18" t="inlineStr">
        <is>
          <t>RATE_LIB</t>
        </is>
      </c>
    </row>
    <row r="250">
      <c r="B250" s="141" t="inlineStr">
        <is>
          <t>Total library rate (sum of elements)</t>
        </is>
      </c>
      <c r="E250" s="142">
        <f>SUM(E241:E249)</f>
        <v>24800</v>
      </c>
      <c r="F250" s="142">
        <f>SUM(F241:F249)</f>
        <v>32000</v>
      </c>
      <c r="G250" s="142">
        <f>SUM(G241:G249)</f>
        <v>43200</v>
      </c>
    </row>
    <row r="252">
      <c r="B252" s="36" t="inlineStr">
        <is>
          <t>Location factor – Addis Ababa</t>
        </is>
      </c>
      <c r="D252" s="117" t="inlineStr">
        <is>
          <t>x</t>
        </is>
      </c>
      <c r="E252" s="143" t="n">
        <v>1</v>
      </c>
      <c r="I252" s="18" t="inlineStr">
        <is>
          <t>LOCF_ADDIS</t>
        </is>
      </c>
      <c r="J252" s="8" t="inlineStr">
        <is>
          <t>Base = 1.00</t>
        </is>
      </c>
    </row>
    <row r="253">
      <c r="B253" s="36" t="inlineStr">
        <is>
          <t>Location factor – regional town</t>
        </is>
      </c>
      <c r="D253" s="117" t="inlineStr">
        <is>
          <t>x</t>
        </is>
      </c>
      <c r="E253" s="143" t="n">
        <v>0.92</v>
      </c>
      <c r="I253" s="18" t="inlineStr">
        <is>
          <t>LOCF_REG</t>
        </is>
      </c>
      <c r="J253" s="8" t="inlineStr">
        <is>
          <t>Lower labour cost, higher transport</t>
        </is>
      </c>
    </row>
  </sheetData>
  <dataValidations count="242">
    <dataValidation sqref="E12:G12" showDropDown="0" showInputMessage="0" showErrorMessage="0" allowBlank="1" type="list">
      <formula1>=L_LOC</formula1>
    </dataValidation>
    <dataValidation sqref="E13:G13" showDropDown="0" showInputMessage="0" showErrorMessage="1" allowBlank="1" error="Enter a value between 0 and 1e+07" type="decimal" operator="between">
      <formula1>0</formula1>
      <formula2>10000000.0</formula2>
    </dataValidation>
    <dataValidation sqref="E14:G14" showDropDown="0" showInputMessage="0" showErrorMessage="1" allowBlank="1" error="Enter a value between 0 and 50" type="decimal" operator="between">
      <formula1>0</formula1>
      <formula2>50</formula2>
    </dataValidation>
    <dataValidation sqref="E16:G16" showDropDown="0" showInputMessage="0" showErrorMessage="1" allowBlank="1" error="Enter a value between 1 and 48" type="whole" operator="between">
      <formula1>1</formula1>
      <formula2>48</formula2>
    </dataValidation>
    <dataValidation sqref="E17:G17" showDropDown="0" showInputMessage="0" showErrorMessage="1" allowBlank="1" error="Enter a value between 0 and 10000" type="decimal" operator="between">
      <formula1>0</formula1>
      <formula2>10000</formula2>
    </dataValidation>
    <dataValidation sqref="E19:G19" showDropDown="0" showInputMessage="0" showErrorMessage="0" allowBlank="1" type="list">
      <formula1>=L_BTYPE</formula1>
    </dataValidation>
    <dataValidation sqref="E20:G20" showDropDown="0" showInputMessage="0" showErrorMessage="0" allowBlank="1" type="list">
      <formula1>=L_YN</formula1>
    </dataValidation>
    <dataValidation sqref="E21:G21" showDropDown="0" showInputMessage="0" showErrorMessage="0" allowBlank="1" type="list">
      <formula1>=L_FINISH</formula1>
    </dataValidation>
    <dataValidation sqref="E22:G22" showDropDown="0" showInputMessage="0" showErrorMessage="1" allowBlank="1" error="Enter a value between 0 and 1e+09" type="decimal" operator="between">
      <formula1>0</formula1>
      <formula2>1000000000.0</formula2>
    </dataValidation>
    <dataValidation sqref="E23:G23" showDropDown="0" showInputMessage="0" showErrorMessage="1" allowBlank="1" error="Enter a value between 0 and 1" type="decimal" operator="between">
      <formula1>0</formula1>
      <formula2>1</formula2>
    </dataValidation>
    <dataValidation sqref="E24:G24" showDropDown="0" showInputMessage="0" showErrorMessage="1" allowBlank="1" error="Enter a value between -0.9 and 0" type="decimal" operator="between">
      <formula1>-0.9</formula1>
      <formula2>0</formula2>
    </dataValidation>
    <dataValidation sqref="E25:G25" showDropDown="0" showInputMessage="0" showErrorMessage="1" allowBlank="1" error="Enter a value between 0 and 2" type="decimal" operator="between">
      <formula1>0</formula1>
      <formula2>2</formula2>
    </dataValidation>
    <dataValidation sqref="E26:G26" showDropDown="0" showInputMessage="0" showErrorMessage="1" allowBlank="1" error="Enter a value between 0 and 1e+12" type="decimal" operator="between">
      <formula1>0</formula1>
      <formula2>1000000000000.0</formula2>
    </dataValidation>
    <dataValidation sqref="E27:G27" showDropDown="0" showInputMessage="0" showErrorMessage="1" allowBlank="1" error="Enter a value between 0 and 1e+12" type="decimal" operator="between">
      <formula1>0</formula1>
      <formula2>1000000000000.0</formula2>
    </dataValidation>
    <dataValidation sqref="E28:G28" showDropDown="0" showInputMessage="0" showErrorMessage="1" allowBlank="1" error="Enter a value between 0 and 1e+12" type="decimal" operator="between">
      <formula1>0</formula1>
      <formula2>1000000000000.0</formula2>
    </dataValidation>
    <dataValidation sqref="E29:G29" showDropDown="0" showInputMessage="0" showErrorMessage="0" allowBlank="1" type="list">
      <formula1>=L_YN</formula1>
    </dataValidation>
    <dataValidation sqref="E30:G30" showDropDown="0" showInputMessage="0" showErrorMessage="1" allowBlank="1" error="Enter a value between 0 and 1e+06" type="decimal" operator="between">
      <formula1>0</formula1>
      <formula2>1000000.0</formula2>
    </dataValidation>
    <dataValidation sqref="E31:G31" showDropDown="0" showInputMessage="0" showErrorMessage="1" allowBlank="1" error="Enter a value between 0 and 1e+09" type="decimal" operator="between">
      <formula1>0</formula1>
      <formula2>1000000000.0</formula2>
    </dataValidation>
    <dataValidation sqref="E33:G33" showDropDown="0" showInputMessage="0" showErrorMessage="1" allowBlank="1" error="Enter a value between 0 and 1e+06" type="decimal" operator="between">
      <formula1>0</formula1>
      <formula2>1000000.0</formula2>
    </dataValidation>
    <dataValidation sqref="E34:G34" showDropDown="0" showInputMessage="0" showErrorMessage="1" allowBlank="1" error="Enter a value between 0 and 1e+06" type="decimal" operator="between">
      <formula1>0</formula1>
      <formula2>1000000.0</formula2>
    </dataValidation>
    <dataValidation sqref="E35:G35" showDropDown="0" showInputMessage="0" showErrorMessage="1" allowBlank="1" error="Enter a value between 0 and 1e+06" type="decimal" operator="between">
      <formula1>0</formula1>
      <formula2>1000000.0</formula2>
    </dataValidation>
    <dataValidation sqref="E36:G36" showDropDown="0" showInputMessage="0" showErrorMessage="1" allowBlank="1" error="Enter a value between 0 and 1e+06" type="decimal" operator="between">
      <formula1>0</formula1>
      <formula2>1000000.0</formula2>
    </dataValidation>
    <dataValidation sqref="E37:G37" showDropDown="0" showInputMessage="0" showErrorMessage="1" allowBlank="1" error="Enter a value between 0 and 1e+06" type="decimal" operator="between">
      <formula1>0</formula1>
      <formula2>1000000.0</formula2>
    </dataValidation>
    <dataValidation sqref="E38:G38" showDropDown="0" showInputMessage="0" showErrorMessage="1" allowBlank="1" error="Enter a value between 0 and 1e+06" type="decimal" operator="between">
      <formula1>0</formula1>
      <formula2>1000000.0</formula2>
    </dataValidation>
    <dataValidation sqref="E39:G39" showDropDown="0" showInputMessage="0" showErrorMessage="1" allowBlank="1" error="Enter a value between 0 and 1e+06" type="decimal" operator="between">
      <formula1>0</formula1>
      <formula2>1000000.0</formula2>
    </dataValidation>
    <dataValidation sqref="E40:G40" showDropDown="0" showInputMessage="0" showErrorMessage="1" allowBlank="1" error="Enter a value between 0 and 1e+06" type="decimal" operator="between">
      <formula1>0</formula1>
      <formula2>1000000.0</formula2>
    </dataValidation>
    <dataValidation sqref="E41:G41" showDropDown="0" showInputMessage="0" showErrorMessage="1" allowBlank="1" error="Enter a value between 0 and 1e+06" type="decimal" operator="between">
      <formula1>0</formula1>
      <formula2>1000000.0</formula2>
    </dataValidation>
    <dataValidation sqref="E42:G42" showDropDown="0" showInputMessage="0" showErrorMessage="1" allowBlank="1" error="Enter a value between 0 and 1e+06" type="decimal" operator="between">
      <formula1>0</formula1>
      <formula2>1000000.0</formula2>
    </dataValidation>
    <dataValidation sqref="E43:G43" showDropDown="0" showInputMessage="0" showErrorMessage="1" allowBlank="1" error="Enter a value between 0 and 1e+06" type="decimal" operator="between">
      <formula1>0</formula1>
      <formula2>1000000.0</formula2>
    </dataValidation>
    <dataValidation sqref="E44:G44" showDropDown="0" showInputMessage="0" showErrorMessage="1" allowBlank="1" error="Enter a value between 0 and 1e+06" type="decimal" operator="between">
      <formula1>0</formula1>
      <formula2>1000000.0</formula2>
    </dataValidation>
    <dataValidation sqref="E45:G45" showDropDown="0" showInputMessage="0" showErrorMessage="1" allowBlank="1" error="Enter a value between 0 and 1e+06" type="decimal" operator="between">
      <formula1>0</formula1>
      <formula2>1000000.0</formula2>
    </dataValidation>
    <dataValidation sqref="E46:G46" showDropDown="0" showInputMessage="0" showErrorMessage="1" allowBlank="1" error="Enter a value between 0 and 1e+06" type="decimal" operator="between">
      <formula1>0</formula1>
      <formula2>1000000.0</formula2>
    </dataValidation>
    <dataValidation sqref="E47:G47" showDropDown="0" showInputMessage="0" showErrorMessage="1" allowBlank="1" error="Enter a value between 0 and 1e+06" type="decimal" operator="between">
      <formula1>0</formula1>
      <formula2>1000000.0</formula2>
    </dataValidation>
    <dataValidation sqref="E48:G48" showDropDown="0" showInputMessage="0" showErrorMessage="1" allowBlank="1" error="Enter a value between 0 and 1e+06" type="decimal" operator="between">
      <formula1>0</formula1>
      <formula2>1000000.0</formula2>
    </dataValidation>
    <dataValidation sqref="E50:G50" showDropDown="0" showInputMessage="0" showErrorMessage="0" allowBlank="1" type="list">
      <formula1>=L_USE</formula1>
    </dataValidation>
    <dataValidation sqref="E51:G51" showDropDown="0" showInputMessage="0" showErrorMessage="0" allowBlank="1" type="list">
      <formula1>=L_USE</formula1>
    </dataValidation>
    <dataValidation sqref="E52:G52" showDropDown="0" showInputMessage="0" showErrorMessage="0" allowBlank="1" type="list">
      <formula1>=L_USE</formula1>
    </dataValidation>
    <dataValidation sqref="E53:G53" showDropDown="0" showInputMessage="0" showErrorMessage="0" allowBlank="1" type="list">
      <formula1>=L_USE</formula1>
    </dataValidation>
    <dataValidation sqref="E54:G54" showDropDown="0" showInputMessage="0" showErrorMessage="0" allowBlank="1" type="list">
      <formula1>=L_USE</formula1>
    </dataValidation>
    <dataValidation sqref="E55:G55" showDropDown="0" showInputMessage="0" showErrorMessage="0" allowBlank="1" type="list">
      <formula1>=L_USE</formula1>
    </dataValidation>
    <dataValidation sqref="E56:G56" showDropDown="0" showInputMessage="0" showErrorMessage="0" allowBlank="1" type="list">
      <formula1>=L_USE</formula1>
    </dataValidation>
    <dataValidation sqref="E57:G57" showDropDown="0" showInputMessage="0" showErrorMessage="0" allowBlank="1" type="list">
      <formula1>=L_USE</formula1>
    </dataValidation>
    <dataValidation sqref="E58:G58" showDropDown="0" showInputMessage="0" showErrorMessage="0" allowBlank="1" type="list">
      <formula1>=L_USE</formula1>
    </dataValidation>
    <dataValidation sqref="E59:G59" showDropDown="0" showInputMessage="0" showErrorMessage="0" allowBlank="1" type="list">
      <formula1>=L_USE</formula1>
    </dataValidation>
    <dataValidation sqref="E60:G60" showDropDown="0" showInputMessage="0" showErrorMessage="0" allowBlank="1" type="list">
      <formula1>=L_USE</formula1>
    </dataValidation>
    <dataValidation sqref="E61:G61" showDropDown="0" showInputMessage="0" showErrorMessage="0" allowBlank="1" type="list">
      <formula1>=L_USE</formula1>
    </dataValidation>
    <dataValidation sqref="E62:G62" showDropDown="0" showInputMessage="0" showErrorMessage="0" allowBlank="1" type="list">
      <formula1>=L_USE</formula1>
    </dataValidation>
    <dataValidation sqref="E63:G63" showDropDown="0" showInputMessage="0" showErrorMessage="0" allowBlank="1" type="list">
      <formula1>=L_USE</formula1>
    </dataValidation>
    <dataValidation sqref="E64:G64" showDropDown="0" showInputMessage="0" showErrorMessage="0" allowBlank="1" type="list">
      <formula1>=L_USE</formula1>
    </dataValidation>
    <dataValidation sqref="E65:G65" showDropDown="0" showInputMessage="0" showErrorMessage="0" allowBlank="1" type="list">
      <formula1>=L_USE</formula1>
    </dataValidation>
    <dataValidation sqref="E67:G67" showDropDown="0" showInputMessage="0" showErrorMessage="1" allowBlank="1" error="Enter a value between 0 and 1" type="decimal" operator="between">
      <formula1>0</formula1>
      <formula2>1</formula2>
    </dataValidation>
    <dataValidation sqref="E68:G68" showDropDown="0" showInputMessage="0" showErrorMessage="1" allowBlank="1" error="Enter a value between 0 and 1" type="decimal" operator="between">
      <formula1>0</formula1>
      <formula2>1</formula2>
    </dataValidation>
    <dataValidation sqref="E69:G69" showDropDown="0" showInputMessage="0" showErrorMessage="1" allowBlank="1" error="Enter a value between 0 and 1" type="decimal" operator="between">
      <formula1>0</formula1>
      <formula2>1</formula2>
    </dataValidation>
    <dataValidation sqref="E70:G70" showDropDown="0" showInputMessage="0" showErrorMessage="1" allowBlank="1" error="Enter a value between 0 and 1" type="decimal" operator="between">
      <formula1>0</formula1>
      <formula2>1</formula2>
    </dataValidation>
    <dataValidation sqref="E71:G71" showDropDown="0" showInputMessage="0" showErrorMessage="1" allowBlank="1" error="Enter a value between 0 and 1" type="decimal" operator="between">
      <formula1>0</formula1>
      <formula2>1</formula2>
    </dataValidation>
    <dataValidation sqref="E72:G72" showDropDown="0" showInputMessage="0" showErrorMessage="1" allowBlank="1" error="Enter a value between 0 and 1" type="decimal" operator="between">
      <formula1>0</formula1>
      <formula2>1</formula2>
    </dataValidation>
    <dataValidation sqref="E73:G73" showDropDown="0" showInputMessage="0" showErrorMessage="1" allowBlank="1" error="Enter a value between 0 and 1" type="decimal" operator="between">
      <formula1>0</formula1>
      <formula2>1</formula2>
    </dataValidation>
    <dataValidation sqref="E74:G74" showDropDown="0" showInputMessage="0" showErrorMessage="1" allowBlank="1" error="Enter a value between 0 and 1" type="decimal" operator="between">
      <formula1>0</formula1>
      <formula2>1</formula2>
    </dataValidation>
    <dataValidation sqref="E75:G75" showDropDown="0" showInputMessage="0" showErrorMessage="1" allowBlank="1" error="Enter a value between 0 and 1" type="decimal" operator="between">
      <formula1>0</formula1>
      <formula2>1</formula2>
    </dataValidation>
    <dataValidation sqref="E76:G76" showDropDown="0" showInputMessage="0" showErrorMessage="1" allowBlank="1" error="Enter a value between 0 and 1" type="decimal" operator="between">
      <formula1>0</formula1>
      <formula2>1</formula2>
    </dataValidation>
    <dataValidation sqref="E77:G77" showDropDown="0" showInputMessage="0" showErrorMessage="1" allowBlank="1" error="Enter a value between 0 and 1" type="decimal" operator="between">
      <formula1>0</formula1>
      <formula2>1</formula2>
    </dataValidation>
    <dataValidation sqref="E79:G79" showDropDown="0" showInputMessage="0" showErrorMessage="0" allowBlank="1" type="list">
      <formula1>=L_METHOD</formula1>
    </dataValidation>
    <dataValidation sqref="E80:G80" showDropDown="0" showInputMessage="0" showErrorMessage="0" allowBlank="1" type="list">
      <formula1>=L_METHOD</formula1>
    </dataValidation>
    <dataValidation sqref="E81:G81" showDropDown="0" showInputMessage="0" showErrorMessage="0" allowBlank="1" type="list">
      <formula1>=L_METHOD</formula1>
    </dataValidation>
    <dataValidation sqref="E82:G82" showDropDown="0" showInputMessage="0" showErrorMessage="0" allowBlank="1" type="list">
      <formula1>=L_METHOD</formula1>
    </dataValidation>
    <dataValidation sqref="E83:G83" showDropDown="0" showInputMessage="0" showErrorMessage="0" allowBlank="1" type="list">
      <formula1>=L_METHOD</formula1>
    </dataValidation>
    <dataValidation sqref="E84:G84" showDropDown="0" showInputMessage="0" showErrorMessage="0" allowBlank="1" type="list">
      <formula1>=L_METHOD</formula1>
    </dataValidation>
    <dataValidation sqref="E85:G85" showDropDown="0" showInputMessage="0" showErrorMessage="0" allowBlank="1" type="list">
      <formula1>=L_METHOD</formula1>
    </dataValidation>
    <dataValidation sqref="E86:G86" showDropDown="0" showInputMessage="0" showErrorMessage="0" allowBlank="1" type="list">
      <formula1>=L_METHOD</formula1>
    </dataValidation>
    <dataValidation sqref="E87:G87" showDropDown="0" showInputMessage="0" showErrorMessage="0" allowBlank="1" type="list">
      <formula1>=L_METHOD</formula1>
    </dataValidation>
    <dataValidation sqref="E88:G88" showDropDown="0" showInputMessage="0" showErrorMessage="1" allowBlank="1" error="Enter a value between 0 and 1e+13" type="decimal" operator="between">
      <formula1>0</formula1>
      <formula2>10000000000000.0</formula2>
    </dataValidation>
    <dataValidation sqref="E89:G89" showDropDown="0" showInputMessage="0" showErrorMessage="1" allowBlank="1" error="Enter a value between 0 and 1e+13" type="decimal" operator="between">
      <formula1>0</formula1>
      <formula2>10000000000000.0</formula2>
    </dataValidation>
    <dataValidation sqref="E90:G90" showDropDown="0" showInputMessage="0" showErrorMessage="1" allowBlank="1" error="Enter a value between 0 and 1e+13" type="decimal" operator="between">
      <formula1>0</formula1>
      <formula2>10000000000000.0</formula2>
    </dataValidation>
    <dataValidation sqref="E91:G91" showDropDown="0" showInputMessage="0" showErrorMessage="1" allowBlank="1" error="Enter a value between 0 and 1e+13" type="decimal" operator="between">
      <formula1>0</formula1>
      <formula2>10000000000000.0</formula2>
    </dataValidation>
    <dataValidation sqref="E92:G92" showDropDown="0" showInputMessage="0" showErrorMessage="1" allowBlank="1" error="Enter a value between 0 and 1e+13" type="decimal" operator="between">
      <formula1>0</formula1>
      <formula2>10000000000000.0</formula2>
    </dataValidation>
    <dataValidation sqref="E93:G93" showDropDown="0" showInputMessage="0" showErrorMessage="1" allowBlank="1" error="Enter a value between 0 and 1e+13" type="decimal" operator="between">
      <formula1>0</formula1>
      <formula2>10000000000000.0</formula2>
    </dataValidation>
    <dataValidation sqref="E94:G94" showDropDown="0" showInputMessage="0" showErrorMessage="1" allowBlank="1" error="Enter a value between 0 and 1e+13" type="decimal" operator="between">
      <formula1>0</formula1>
      <formula2>10000000000000.0</formula2>
    </dataValidation>
    <dataValidation sqref="E95:G95" showDropDown="0" showInputMessage="0" showErrorMessage="1" allowBlank="1" error="Enter a value between 0 and 1e+13" type="decimal" operator="between">
      <formula1>0</formula1>
      <formula2>10000000000000.0</formula2>
    </dataValidation>
    <dataValidation sqref="E96:G96" showDropDown="0" showInputMessage="0" showErrorMessage="1" allowBlank="1" error="Enter a value between 0 and 1e+13" type="decimal" operator="between">
      <formula1>0</formula1>
      <formula2>10000000000000.0</formula2>
    </dataValidation>
    <dataValidation sqref="E97:G97" showDropDown="0" showInputMessage="0" showErrorMessage="1" allowBlank="1" error="Enter a value between 0 and 0.2" type="decimal" operator="between">
      <formula1>0</formula1>
      <formula2>0.2</formula2>
    </dataValidation>
    <dataValidation sqref="E98:G98" showDropDown="0" showInputMessage="0" showErrorMessage="1" allowBlank="1" error="Enter a value between 0 and 1e+06" type="decimal" operator="between">
      <formula1>0</formula1>
      <formula2>1000000.0</formula2>
    </dataValidation>
    <dataValidation sqref="E99:G99" showDropDown="0" showInputMessage="0" showErrorMessage="0" allowBlank="1" type="list">
      <formula1>=L_YN</formula1>
    </dataValidation>
    <dataValidation sqref="E100:G100" showDropDown="0" showInputMessage="0" showErrorMessage="1" allowBlank="1" error="Enter a value between 0 and 100000" type="decimal" operator="between">
      <formula1>0</formula1>
      <formula2>100000.0</formula2>
    </dataValidation>
    <dataValidation sqref="E101:G101" showDropDown="0" showInputMessage="0" showErrorMessage="1" allowBlank="1" error="Enter a value between 0 and 1e+07" type="decimal" operator="between">
      <formula1>0</formula1>
      <formula2>10000000.0</formula2>
    </dataValidation>
    <dataValidation sqref="E102:G102" showDropDown="0" showInputMessage="0" showErrorMessage="0" allowBlank="1" type="list">
      <formula1>=L_YN</formula1>
    </dataValidation>
    <dataValidation sqref="E103:G103" showDropDown="0" showInputMessage="0" showErrorMessage="1" allowBlank="1" error="Enter a value between 0 and 100" type="decimal" operator="between">
      <formula1>0</formula1>
      <formula2>100</formula2>
    </dataValidation>
    <dataValidation sqref="E104:G104" showDropDown="0" showInputMessage="0" showErrorMessage="1" allowBlank="1" error="Enter a value between 0 and 1e+09" type="decimal" operator="between">
      <formula1>0</formula1>
      <formula2>1000000000.0</formula2>
    </dataValidation>
    <dataValidation sqref="E105:G105" showDropDown="0" showInputMessage="0" showErrorMessage="0" allowBlank="1" type="list">
      <formula1>=L_YN</formula1>
    </dataValidation>
    <dataValidation sqref="E106:G106" showDropDown="0" showInputMessage="0" showErrorMessage="1" allowBlank="1" error="Enter a value between 0 and 100" type="decimal" operator="between">
      <formula1>0</formula1>
      <formula2>100</formula2>
    </dataValidation>
    <dataValidation sqref="E107:G107" showDropDown="0" showInputMessage="0" showErrorMessage="1" allowBlank="1" error="Enter a value between 0 and 1e+09" type="decimal" operator="between">
      <formula1>0</formula1>
      <formula2>1000000000.0</formula2>
    </dataValidation>
    <dataValidation sqref="E108:G108" showDropDown="0" showInputMessage="0" showErrorMessage="1" allowBlank="1" error="Enter a value between 0 and 1e+06" type="decimal" operator="between">
      <formula1>0</formula1>
      <formula2>1000000.0</formula2>
    </dataValidation>
    <dataValidation sqref="E109:G109" showDropDown="0" showInputMessage="0" showErrorMessage="1" allowBlank="1" error="Enter a value between 0 and 1e+06" type="decimal" operator="between">
      <formula1>0</formula1>
      <formula2>1000000.0</formula2>
    </dataValidation>
    <dataValidation sqref="E110:G110" showDropDown="0" showInputMessage="0" showErrorMessage="1" allowBlank="1" error="Enter a value between 0 and 1" type="decimal" operator="between">
      <formula1>0</formula1>
      <formula2>1</formula2>
    </dataValidation>
    <dataValidation sqref="E111:G111" showDropDown="0" showInputMessage="0" showErrorMessage="1" allowBlank="1" error="Enter a value between 0 and 1" type="decimal" operator="between">
      <formula1>0</formula1>
      <formula2>1</formula2>
    </dataValidation>
    <dataValidation sqref="E112:G112" showDropDown="0" showInputMessage="0" showErrorMessage="1" allowBlank="1" error="Enter a value between 0 and 1" type="decimal" operator="between">
      <formula1>0</formula1>
      <formula2>1</formula2>
    </dataValidation>
    <dataValidation sqref="E113:G113" showDropDown="0" showInputMessage="0" showErrorMessage="1" allowBlank="1" error="Enter a value between 0 and 1" type="decimal" operator="between">
      <formula1>0</formula1>
      <formula2>1</formula2>
    </dataValidation>
    <dataValidation sqref="E114:G114" showDropDown="0" showInputMessage="0" showErrorMessage="1" allowBlank="1" error="Enter a value between 0 and 1e+12" type="decimal" operator="between">
      <formula1>0</formula1>
      <formula2>1000000000000.0</formula2>
    </dataValidation>
    <dataValidation sqref="E115:G115" showDropDown="0" showInputMessage="0" showErrorMessage="1" allowBlank="1" error="Enter a value between 0 and 1e+12" type="decimal" operator="between">
      <formula1>0</formula1>
      <formula2>1000000000000.0</formula2>
    </dataValidation>
    <dataValidation sqref="E116:G116" showDropDown="0" showInputMessage="0" showErrorMessage="1" allowBlank="1" error="Enter a value between -0.5 and 2" type="decimal" operator="between">
      <formula1>-0.5</formula1>
      <formula2>2</formula2>
    </dataValidation>
    <dataValidation sqref="E117:G117" showDropDown="0" showInputMessage="0" showErrorMessage="0" allowBlank="1" type="list">
      <formula1>=L_YN</formula1>
    </dataValidation>
    <dataValidation sqref="E118:G118" showDropDown="0" showInputMessage="0" showErrorMessage="1" allowBlank="1" error="Enter a value between 0 and 1e+06" type="decimal" operator="between">
      <formula1>0</formula1>
      <formula2>1000000.0</formula2>
    </dataValidation>
    <dataValidation sqref="E119:G119" showDropDown="0" showInputMessage="0" showErrorMessage="0" allowBlank="1" type="list">
      <formula1>=L_SCURVE</formula1>
    </dataValidation>
    <dataValidation sqref="E120:G120" showDropDown="0" showInputMessage="0" showErrorMessage="1" allowBlank="1" error="Enter a value between 0.5 and 6" type="decimal" operator="between">
      <formula1>0.5</formula1>
      <formula2>6</formula2>
    </dataValidation>
    <dataValidation sqref="E121:G121" showDropDown="0" showInputMessage="0" showErrorMessage="1" allowBlank="1" error="Enter a value between 0 and 0.5" type="decimal" operator="between">
      <formula1>0</formula1>
      <formula2>0.5</formula2>
    </dataValidation>
    <dataValidation sqref="E122:G122" showDropDown="0" showInputMessage="0" showErrorMessage="1" allowBlank="1" error="Enter a value between 0 and 60" type="whole" operator="between">
      <formula1>0</formula1>
      <formula2>60</formula2>
    </dataValidation>
    <dataValidation sqref="E123:G123" showDropDown="0" showInputMessage="0" showErrorMessage="1" allowBlank="1" error="Enter a value between 0 and 1" type="decimal" operator="between">
      <formula1>0</formula1>
      <formula2>1</formula2>
    </dataValidation>
    <dataValidation sqref="E125:G125" showDropDown="0" showInputMessage="0" showErrorMessage="0" allowBlank="1" type="list">
      <formula1>=L_LAND</formula1>
    </dataValidation>
    <dataValidation sqref="E126:G126" showDropDown="0" showInputMessage="0" showErrorMessage="1" allowBlank="1" error="Enter a value between 0 and 1e+13" type="decimal" operator="between">
      <formula1>0</formula1>
      <formula2>10000000000000.0</formula2>
    </dataValidation>
    <dataValidation sqref="E127:G127" showDropDown="0" showInputMessage="0" showErrorMessage="1" allowBlank="1" error="Enter a value between 0 and 1" type="decimal" operator="between">
      <formula1>0</formula1>
      <formula2>1</formula2>
    </dataValidation>
    <dataValidation sqref="E128:G128" showDropDown="0" showInputMessage="0" showErrorMessage="1" allowBlank="1" error="Enter a value between 1 and 99" type="whole" operator="between">
      <formula1>1</formula1>
      <formula2>99</formula2>
    </dataValidation>
    <dataValidation sqref="E129:G129" showDropDown="0" showInputMessage="0" showErrorMessage="1" allowBlank="1" error="Enter a value between 0 and 1" type="decimal" operator="between">
      <formula1>0</formula1>
      <formula2>1</formula2>
    </dataValidation>
    <dataValidation sqref="E131:G131" showDropDown="0" showInputMessage="0" showErrorMessage="1" allowBlank="1" error="Enter a value between 0 and 1e+09" type="decimal" operator="between">
      <formula1>0</formula1>
      <formula2>1000000000.0</formula2>
    </dataValidation>
    <dataValidation sqref="E132:G132" showDropDown="0" showInputMessage="0" showErrorMessage="1" allowBlank="1" error="Enter a value between 0 and 1e+09" type="decimal" operator="between">
      <formula1>0</formula1>
      <formula2>1000000000.0</formula2>
    </dataValidation>
    <dataValidation sqref="E133:G133" showDropDown="0" showInputMessage="0" showErrorMessage="1" allowBlank="1" error="Enter a value between 0 and 1e+09" type="decimal" operator="between">
      <formula1>0</formula1>
      <formula2>1000000000.0</formula2>
    </dataValidation>
    <dataValidation sqref="E134:G134" showDropDown="0" showInputMessage="0" showErrorMessage="1" allowBlank="1" error="Enter a value between 0 and 1e+09" type="decimal" operator="between">
      <formula1>0</formula1>
      <formula2>1000000000.0</formula2>
    </dataValidation>
    <dataValidation sqref="E135:G135" showDropDown="0" showInputMessage="0" showErrorMessage="1" allowBlank="1" error="Enter a value between 0 and 1e+09" type="decimal" operator="between">
      <formula1>0</formula1>
      <formula2>1000000000.0</formula2>
    </dataValidation>
    <dataValidation sqref="E136:G136" showDropDown="0" showInputMessage="0" showErrorMessage="1" allowBlank="1" error="Enter a value between -0.5 and 2" type="decimal" operator="between">
      <formula1>-0.5</formula1>
      <formula2>2</formula2>
    </dataValidation>
    <dataValidation sqref="E137:G137" showDropDown="0" showInputMessage="0" showErrorMessage="1" allowBlank="1" error="Enter a value between 0 and 1" type="decimal" operator="between">
      <formula1>0</formula1>
      <formula2>1</formula2>
    </dataValidation>
    <dataValidation sqref="E138:G138" showDropDown="0" showInputMessage="0" showErrorMessage="1" allowBlank="1" error="Enter a value between 0 and 1" type="decimal" operator="between">
      <formula1>0</formula1>
      <formula2>1</formula2>
    </dataValidation>
    <dataValidation sqref="E139:G139" showDropDown="0" showInputMessage="0" showErrorMessage="1" allowBlank="1" error="Enter a value between 0 and 1" type="decimal" operator="between">
      <formula1>0</formula1>
      <formula2>1</formula2>
    </dataValidation>
    <dataValidation sqref="E140:G140" showDropDown="0" showInputMessage="0" showErrorMessage="1" allowBlank="1" error="Enter a value between 0 and 1" type="decimal" operator="between">
      <formula1>0</formula1>
      <formula2>1</formula2>
    </dataValidation>
    <dataValidation sqref="E141:G141" showDropDown="0" showInputMessage="0" showErrorMessage="1" allowBlank="1" error="Enter a value between 0 and 1" type="decimal" operator="between">
      <formula1>0</formula1>
      <formula2>1</formula2>
    </dataValidation>
    <dataValidation sqref="E142:G142" showDropDown="0" showInputMessage="0" showErrorMessage="1" allowBlank="1" error="Enter a value between 0 and 1" type="decimal" operator="between">
      <formula1>0</formula1>
      <formula2>1</formula2>
    </dataValidation>
    <dataValidation sqref="E143:G143" showDropDown="0" showInputMessage="0" showErrorMessage="1" allowBlank="1" error="Enter a value between 0 and 1" type="decimal" operator="between">
      <formula1>0</formula1>
      <formula2>1</formula2>
    </dataValidation>
    <dataValidation sqref="E144:G144" showDropDown="0" showInputMessage="0" showErrorMessage="1" allowBlank="1" error="Enter a value between 0 and 1" type="decimal" operator="between">
      <formula1>0</formula1>
      <formula2>1</formula2>
    </dataValidation>
    <dataValidation sqref="E145:G145" showDropDown="0" showInputMessage="0" showErrorMessage="1" allowBlank="1" error="Enter a value between 0 and 1" type="decimal" operator="between">
      <formula1>0</formula1>
      <formula2>1</formula2>
    </dataValidation>
    <dataValidation sqref="E146:G146" showDropDown="0" showInputMessage="0" showErrorMessage="1" allowBlank="1" error="Enter a value between 0 and 1" type="decimal" operator="between">
      <formula1>0</formula1>
      <formula2>1</formula2>
    </dataValidation>
    <dataValidation sqref="E147:G147" showDropDown="0" showInputMessage="0" showErrorMessage="1" allowBlank="1" error="Enter a value between 0 and 0.2" type="decimal" operator="between">
      <formula1>0</formula1>
      <formula2>0.2</formula2>
    </dataValidation>
    <dataValidation sqref="E148:G148" showDropDown="0" showInputMessage="0" showErrorMessage="1" allowBlank="1" error="Enter a value between 0 and 0.5" type="decimal" operator="between">
      <formula1>0</formula1>
      <formula2>0.5</formula2>
    </dataValidation>
    <dataValidation sqref="E149:G149" showDropDown="0" showInputMessage="0" showErrorMessage="1" allowBlank="1" error="Enter a value between 0 and 0.2" type="decimal" operator="between">
      <formula1>0</formula1>
      <formula2>0.2</formula2>
    </dataValidation>
    <dataValidation sqref="E150:G150" showDropDown="0" showInputMessage="0" showErrorMessage="0" allowBlank="1" type="list">
      <formula1>=L_REV</formula1>
    </dataValidation>
    <dataValidation sqref="E151:G151" showDropDown="0" showInputMessage="0" showErrorMessage="1" allowBlank="1" error="Enter a value between 0 and 1" type="decimal" operator="between">
      <formula1>0</formula1>
      <formula2>1</formula2>
    </dataValidation>
    <dataValidation sqref="E153:G153" showDropDown="0" showInputMessage="0" showErrorMessage="1" allowBlank="1" error="Enter a value between 0 and 1e+07" type="decimal" operator="between">
      <formula1>0</formula1>
      <formula2>10000000.0</formula2>
    </dataValidation>
    <dataValidation sqref="E154:G154" showDropDown="0" showInputMessage="0" showErrorMessage="1" allowBlank="1" error="Enter a value between 0 and 1e+07" type="decimal" operator="between">
      <formula1>0</formula1>
      <formula2>10000000.0</formula2>
    </dataValidation>
    <dataValidation sqref="E155:G155" showDropDown="0" showInputMessage="0" showErrorMessage="1" allowBlank="1" error="Enter a value between 0 and 1e+07" type="decimal" operator="between">
      <formula1>0</formula1>
      <formula2>10000000.0</formula2>
    </dataValidation>
    <dataValidation sqref="E156:G156" showDropDown="0" showInputMessage="0" showErrorMessage="1" allowBlank="1" error="Enter a value between 0 and 1e+07" type="decimal" operator="between">
      <formula1>0</formula1>
      <formula2>10000000.0</formula2>
    </dataValidation>
    <dataValidation sqref="E157:G157" showDropDown="0" showInputMessage="0" showErrorMessage="1" allowBlank="1" error="Enter a value between 0 and 1e+07" type="decimal" operator="between">
      <formula1>0</formula1>
      <formula2>10000000.0</formula2>
    </dataValidation>
    <dataValidation sqref="E158:G158" showDropDown="0" showInputMessage="0" showErrorMessage="1" allowBlank="1" error="Enter a value between 0 and 1" type="decimal" operator="between">
      <formula1>0</formula1>
      <formula2>1</formula2>
    </dataValidation>
    <dataValidation sqref="E159:G159" showDropDown="0" showInputMessage="0" showErrorMessage="1" allowBlank="1" error="Enter a value between 0 and 1" type="decimal" operator="between">
      <formula1>0</formula1>
      <formula2>1</formula2>
    </dataValidation>
    <dataValidation sqref="E160:G160" showDropDown="0" showInputMessage="0" showErrorMessage="1" allowBlank="1" error="Enter a value between 0 and 1" type="decimal" operator="between">
      <formula1>0</formula1>
      <formula2>1</formula2>
    </dataValidation>
    <dataValidation sqref="E161:G161" showDropDown="0" showInputMessage="0" showErrorMessage="1" allowBlank="1" error="Enter a value between -0.5 and 2" type="decimal" operator="between">
      <formula1>-0.5</formula1>
      <formula2>2</formula2>
    </dataValidation>
    <dataValidation sqref="E162:G162" showDropDown="0" showInputMessage="0" showErrorMessage="1" allowBlank="1" error="Enter a value between 0 and 60" type="decimal" operator="between">
      <formula1>0</formula1>
      <formula2>60</formula2>
    </dataValidation>
    <dataValidation sqref="E163:G163" showDropDown="0" showInputMessage="0" showErrorMessage="1" allowBlank="1" error="Enter a value between 1 and 10" type="whole" operator="between">
      <formula1>1</formula1>
      <formula2>10</formula2>
    </dataValidation>
    <dataValidation sqref="E164:G164" showDropDown="0" showInputMessage="0" showErrorMessage="1" allowBlank="1" error="Enter a value between 0 and 1" type="decimal" operator="between">
      <formula1>0</formula1>
      <formula2>1</formula2>
    </dataValidation>
    <dataValidation sqref="E165:G165" showDropDown="0" showInputMessage="0" showErrorMessage="1" allowBlank="1" error="Enter a value between 0 and 1" type="decimal" operator="between">
      <formula1>0</formula1>
      <formula2>1</formula2>
    </dataValidation>
    <dataValidation sqref="E166:G166" showDropDown="0" showInputMessage="0" showErrorMessage="1" allowBlank="1" error="Enter a value between 0 and 1e+12" type="decimal" operator="between">
      <formula1>0</formula1>
      <formula2>1000000000000.0</formula2>
    </dataValidation>
    <dataValidation sqref="E167:G167" showDropDown="0" showInputMessage="0" showErrorMessage="1" allowBlank="1" error="Enter a value between 0 and 1" type="decimal" operator="between">
      <formula1>0</formula1>
      <formula2>1</formula2>
    </dataValidation>
    <dataValidation sqref="E169:G169" showDropDown="0" showInputMessage="0" showErrorMessage="0" allowBlank="1" type="list">
      <formula1>=L_OPEXM</formula1>
    </dataValidation>
    <dataValidation sqref="E170:G170" showDropDown="0" showInputMessage="0" showErrorMessage="1" allowBlank="1" error="Enter a value between 0 and 1" type="decimal" operator="between">
      <formula1>0</formula1>
      <formula2>1</formula2>
    </dataValidation>
    <dataValidation sqref="E171:G171" showDropDown="0" showInputMessage="0" showErrorMessage="1" allowBlank="1" error="Enter a value between 0 and 1e+06" type="decimal" operator="between">
      <formula1>0</formula1>
      <formula2>1000000.0</formula2>
    </dataValidation>
    <dataValidation sqref="E172:G172" showDropDown="0" showInputMessage="0" showErrorMessage="1" allowBlank="1" error="Enter a value between 0 and 1" type="decimal" operator="between">
      <formula1>0</formula1>
      <formula2>1</formula2>
    </dataValidation>
    <dataValidation sqref="E173:G173" showDropDown="0" showInputMessage="0" showErrorMessage="1" allowBlank="1" error="Enter a value between 0 and 0.1" type="decimal" operator="between">
      <formula1>0</formula1>
      <formula2>0.1</formula2>
    </dataValidation>
    <dataValidation sqref="E174:G174" showDropDown="0" showInputMessage="0" showErrorMessage="1" allowBlank="1" error="Enter a value between 0 and 0.1" type="decimal" operator="between">
      <formula1>0</formula1>
      <formula2>0.1</formula2>
    </dataValidation>
    <dataValidation sqref="E175:G175" showDropDown="0" showInputMessage="0" showErrorMessage="1" allowBlank="1" error="Enter a value between 0 and 0.2" type="decimal" operator="between">
      <formula1>0</formula1>
      <formula2>0.2</formula2>
    </dataValidation>
    <dataValidation sqref="E176:G176" showDropDown="0" showInputMessage="0" showErrorMessage="1" allowBlank="1" error="Enter a value between 0 and 1e+12" type="decimal" operator="between">
      <formula1>0</formula1>
      <formula2>1000000000000.0</formula2>
    </dataValidation>
    <dataValidation sqref="E177:G177" showDropDown="0" showInputMessage="0" showErrorMessage="1" allowBlank="1" error="Enter a value between -0.5 and 2" type="decimal" operator="between">
      <formula1>-0.5</formula1>
      <formula2>2</formula2>
    </dataValidation>
    <dataValidation sqref="E178:G178" showDropDown="0" showInputMessage="0" showErrorMessage="1" allowBlank="1" error="Enter a value between 0 and 1" type="decimal" operator="between">
      <formula1>0</formula1>
      <formula2>1</formula2>
    </dataValidation>
    <dataValidation sqref="E179:G179" showDropDown="0" showInputMessage="0" showErrorMessage="1" allowBlank="1" error="Enter a value between 0 and 365" type="whole" operator="between">
      <formula1>0</formula1>
      <formula2>365</formula2>
    </dataValidation>
    <dataValidation sqref="E180:G180" showDropDown="0" showInputMessage="0" showErrorMessage="1" allowBlank="1" error="Enter a value between 0 and 365" type="whole" operator="between">
      <formula1>0</formula1>
      <formula2>365</formula2>
    </dataValidation>
    <dataValidation sqref="E182:G182" showDropDown="0" showInputMessage="0" showErrorMessage="1" allowBlank="1" error="Enter a value between 0 and 1" type="decimal" operator="between">
      <formula1>0</formula1>
      <formula2>1</formula2>
    </dataValidation>
    <dataValidation sqref="E183:G183" showDropDown="0" showInputMessage="0" showErrorMessage="0" allowBlank="1" type="list">
      <formula1>=L_DRAW</formula1>
    </dataValidation>
    <dataValidation sqref="E184:G184" showDropDown="0" showInputMessage="0" showErrorMessage="0" allowBlank="1" type="list">
      <formula1>=L_YN</formula1>
    </dataValidation>
    <dataValidation sqref="E185:G185" showDropDown="0" showInputMessage="0" showErrorMessage="1" allowBlank="1" error="Enter a value between 0 and 1" type="decimal" operator="between">
      <formula1>0</formula1>
      <formula2>1</formula2>
    </dataValidation>
    <dataValidation sqref="E186:G186" showDropDown="0" showInputMessage="0" showErrorMessage="1" allowBlank="1" error="Enter a value between 0 and 1e+13" type="decimal" operator="between">
      <formula1>0</formula1>
      <formula2>10000000000000.0</formula2>
    </dataValidation>
    <dataValidation sqref="E187:G187" showDropDown="0" showInputMessage="0" showErrorMessage="0" allowBlank="1" type="list">
      <formula1>=L_RATETYPE</formula1>
    </dataValidation>
    <dataValidation sqref="E188:G188" showDropDown="0" showInputMessage="0" showErrorMessage="1" allowBlank="1" error="Enter a value between 0 and 1" type="decimal" operator="between">
      <formula1>0</formula1>
      <formula2>1</formula2>
    </dataValidation>
    <dataValidation sqref="E189:G189" showDropDown="0" showInputMessage="0" showErrorMessage="1" allowBlank="1" error="Enter a value between 0 and 1" type="decimal" operator="between">
      <formula1>0</formula1>
      <formula2>1</formula2>
    </dataValidation>
    <dataValidation sqref="E190:G190" showDropDown="0" showInputMessage="0" showErrorMessage="1" allowBlank="1" error="Enter a value between 0 and 1" type="decimal" operator="between">
      <formula1>0</formula1>
      <formula2>1</formula2>
    </dataValidation>
    <dataValidation sqref="E191:G191" showDropDown="0" showInputMessage="0" showErrorMessage="1" allowBlank="1" error="Enter a value between 0 and 1" type="decimal" operator="between">
      <formula1>0</formula1>
      <formula2>1</formula2>
    </dataValidation>
    <dataValidation sqref="E192:G192" showDropDown="0" showInputMessage="0" showErrorMessage="1" allowBlank="1" error="Enter a value between 0 and 1" type="decimal" operator="between">
      <formula1>0</formula1>
      <formula2>1</formula2>
    </dataValidation>
    <dataValidation sqref="E193:G193" showDropDown="0" showInputMessage="0" showErrorMessage="1" allowBlank="1" error="Enter a value between 0 and 1" type="decimal" operator="between">
      <formula1>0</formula1>
      <formula2>1</formula2>
    </dataValidation>
    <dataValidation sqref="E194:G194" showDropDown="0" showInputMessage="0" showErrorMessage="1" allowBlank="1" error="Enter a value between 0 and 1" type="decimal" operator="between">
      <formula1>0</formula1>
      <formula2>1</formula2>
    </dataValidation>
    <dataValidation sqref="E195:G195" showDropDown="0" showInputMessage="0" showErrorMessage="1" allowBlank="1" error="Enter a value between 0 and 1" type="decimal" operator="between">
      <formula1>0</formula1>
      <formula2>1</formula2>
    </dataValidation>
    <dataValidation sqref="E196:G196" showDropDown="0" showInputMessage="0" showErrorMessage="1" allowBlank="1" error="Enter a value between 0 and 1" type="decimal" operator="between">
      <formula1>0</formula1>
      <formula2>1</formula2>
    </dataValidation>
    <dataValidation sqref="E197:G197" showDropDown="0" showInputMessage="0" showErrorMessage="1" allowBlank="1" error="Enter a value between 0 and 1" type="decimal" operator="between">
      <formula1>0</formula1>
      <formula2>1</formula2>
    </dataValidation>
    <dataValidation sqref="E198:G198" showDropDown="0" showInputMessage="0" showErrorMessage="1" allowBlank="1" error="Enter a value between 0 and 1" type="decimal" operator="between">
      <formula1>0</formula1>
      <formula2>1</formula2>
    </dataValidation>
    <dataValidation sqref="E199:G199" showDropDown="0" showInputMessage="0" showErrorMessage="1" allowBlank="1" error="Enter a value between 0 and 120" type="whole" operator="between">
      <formula1>0</formula1>
      <formula2>120</formula2>
    </dataValidation>
    <dataValidation sqref="E200:G200" showDropDown="0" showInputMessage="0" showErrorMessage="0" allowBlank="1" type="list">
      <formula1>=L_GRACE</formula1>
    </dataValidation>
    <dataValidation sqref="E201:G201" showDropDown="0" showInputMessage="0" showErrorMessage="1" allowBlank="1" error="Enter a value between 1 and 20" type="whole" operator="between">
      <formula1>1</formula1>
      <formula2>20</formula2>
    </dataValidation>
    <dataValidation sqref="E202:G202" showDropDown="0" showInputMessage="0" showErrorMessage="0" allowBlank="1" type="list">
      <formula1>=L_REPAY</formula1>
    </dataValidation>
    <dataValidation sqref="E203:G203" showDropDown="0" showInputMessage="0" showErrorMessage="1" allowBlank="1" error="Enter a value between 0 and 1" type="decimal" operator="between">
      <formula1>0</formula1>
      <formula2>1</formula2>
    </dataValidation>
    <dataValidation sqref="E204:G204" showDropDown="0" showInputMessage="0" showErrorMessage="0" allowBlank="1" type="list">
      <formula1>=L_FREQ</formula1>
    </dataValidation>
    <dataValidation sqref="E205:G205" showDropDown="0" showInputMessage="0" showErrorMessage="1" allowBlank="1" error="Enter a value between 0 and 0.2" type="decimal" operator="between">
      <formula1>0</formula1>
      <formula2>0.2</formula2>
    </dataValidation>
    <dataValidation sqref="E206:G206" showDropDown="0" showInputMessage="0" showErrorMessage="1" allowBlank="1" error="Enter a value between 0 and 0.2" type="decimal" operator="between">
      <formula1>0</formula1>
      <formula2>0.2</formula2>
    </dataValidation>
    <dataValidation sqref="E207:G207" showDropDown="0" showInputMessage="0" showErrorMessage="1" allowBlank="1" error="Enter a value between 0 and 24" type="whole" operator="between">
      <formula1>0</formula1>
      <formula2>24</formula2>
    </dataValidation>
    <dataValidation sqref="E208:G208" showDropDown="0" showInputMessage="0" showErrorMessage="1" allowBlank="1" error="Enter a value between 0 and 1" type="decimal" operator="between">
      <formula1>0</formula1>
      <formula2>1</formula2>
    </dataValidation>
    <dataValidation sqref="E209:G209" showDropDown="0" showInputMessage="0" showErrorMessage="1" allowBlank="1" error="Enter a value between 0 and 10" type="decimal" operator="between">
      <formula1>0</formula1>
      <formula2>10</formula2>
    </dataValidation>
    <dataValidation sqref="E210:G210" showDropDown="0" showInputMessage="0" showErrorMessage="0" allowBlank="1" type="list">
      <formula1>=L_YN</formula1>
    </dataValidation>
    <dataValidation sqref="E211:G211" showDropDown="0" showInputMessage="0" showErrorMessage="1" allowBlank="1" error="Enter a value between 0 and 1e+12" type="decimal" operator="between">
      <formula1>0</formula1>
      <formula2>1000000000000.0</formula2>
    </dataValidation>
    <dataValidation sqref="E213:G213" showDropDown="0" showInputMessage="0" showErrorMessage="1" allowBlank="1" error="Enter a value between 0 and 1" type="decimal" operator="between">
      <formula1>0</formula1>
      <formula2>1</formula2>
    </dataValidation>
    <dataValidation sqref="E214:G214" showDropDown="0" showInputMessage="0" showErrorMessage="1" allowBlank="1" error="Enter a value between 0 and 1" type="decimal" operator="between">
      <formula1>0</formula1>
      <formula2>1</formula2>
    </dataValidation>
    <dataValidation sqref="E215:G215" showDropDown="0" showInputMessage="0" showErrorMessage="1" allowBlank="1" error="Enter a value between 0 and 1" type="decimal" operator="between">
      <formula1>0</formula1>
      <formula2>1</formula2>
    </dataValidation>
    <dataValidation sqref="E216:G216" showDropDown="0" showInputMessage="0" showErrorMessage="1" allowBlank="1" error="Enter a value between 0 and 20" type="whole" operator="between">
      <formula1>0</formula1>
      <formula2>20</formula2>
    </dataValidation>
    <dataValidation sqref="E217:G217" showDropDown="0" showInputMessage="0" showErrorMessage="1" allowBlank="1" error="Enter a value between 0 and 1" type="decimal" operator="between">
      <formula1>0</formula1>
      <formula2>1</formula2>
    </dataValidation>
    <dataValidation sqref="E218:G218" showDropDown="0" showInputMessage="0" showErrorMessage="1" allowBlank="1" error="Enter a value between 0 and 1" type="decimal" operator="between">
      <formula1>0</formula1>
      <formula2>1</formula2>
    </dataValidation>
    <dataValidation sqref="E219:G219" showDropDown="0" showInputMessage="0" showErrorMessage="0" allowBlank="1" type="list">
      <formula1>=L_YN</formula1>
    </dataValidation>
    <dataValidation sqref="E220:G220" showDropDown="0" showInputMessage="0" showErrorMessage="1" allowBlank="1" error="Enter a value between 0 and 1" type="decimal" operator="between">
      <formula1>0</formula1>
      <formula2>1</formula2>
    </dataValidation>
    <dataValidation sqref="E221:G221" showDropDown="0" showInputMessage="0" showErrorMessage="1" allowBlank="1" error="Enter a value between 0 and 1" type="decimal" operator="between">
      <formula1>0</formula1>
      <formula2>1</formula2>
    </dataValidation>
    <dataValidation sqref="E222:G222" showDropDown="0" showInputMessage="0" showErrorMessage="1" allowBlank="1" error="Enter a value between 0 and 1" type="decimal" operator="between">
      <formula1>0</formula1>
      <formula2>1</formula2>
    </dataValidation>
    <dataValidation sqref="E223:G223" showDropDown="0" showInputMessage="0" showErrorMessage="1" allowBlank="1" error="Enter a value between 0 and 1" type="decimal" operator="between">
      <formula1>0</formula1>
      <formula2>1</formula2>
    </dataValidation>
    <dataValidation sqref="E224:G224" showDropDown="0" showInputMessage="0" showErrorMessage="1" allowBlank="1" error="Enter a value between 0 and 1" type="decimal" operator="between">
      <formula1>0</formula1>
      <formula2>1</formula2>
    </dataValidation>
    <dataValidation sqref="E225:G225" showDropDown="0" showInputMessage="0" showErrorMessage="1" allowBlank="1" error="Enter a value between 1 and 100" type="whole" operator="between">
      <formula1>1</formula1>
      <formula2>100</formula2>
    </dataValidation>
    <dataValidation sqref="E226:G226" showDropDown="0" showInputMessage="0" showErrorMessage="1" allowBlank="1" error="Enter a value between 1 and 100" type="whole" operator="between">
      <formula1>1</formula1>
      <formula2>100</formula2>
    </dataValidation>
    <dataValidation sqref="E227:G227" showDropDown="0" showInputMessage="0" showErrorMessage="1" allowBlank="1" error="Enter a value between 1 and 50" type="whole" operator="between">
      <formula1>1</formula1>
      <formula2>50</formula2>
    </dataValidation>
    <dataValidation sqref="E228:G228" showDropDown="0" showInputMessage="0" showErrorMessage="1" allowBlank="1" error="Enter a value between 1 and 50" type="whole" operator="between">
      <formula1>1</formula1>
      <formula2>50</formula2>
    </dataValidation>
    <dataValidation sqref="E230:G230" showDropDown="0" showInputMessage="0" showErrorMessage="1" allowBlank="1" error="Enter a value between 0 and 1" type="decimal" operator="between">
      <formula1>0</formula1>
      <formula2>1</formula2>
    </dataValidation>
    <dataValidation sqref="E231:G231" showDropDown="0" showInputMessage="0" showErrorMessage="1" allowBlank="1" error="Enter a value between 0 and 1" type="decimal" operator="between">
      <formula1>0</formula1>
      <formula2>1</formula2>
    </dataValidation>
    <dataValidation sqref="E232:G232" showDropDown="0" showInputMessage="0" showErrorMessage="0" allowBlank="1" type="list">
      <formula1>=L_EXIT</formula1>
    </dataValidation>
    <dataValidation sqref="E233:G233" showDropDown="0" showInputMessage="0" showErrorMessage="1" allowBlank="1" error="Enter a value between 0.001 and 1" type="decimal" operator="between">
      <formula1>0.001</formula1>
      <formula2>1</formula2>
    </dataValidation>
    <dataValidation sqref="E234:G234" showDropDown="0" showInputMessage="0" showErrorMessage="1" allowBlank="1" error="Enter a value between 0 and 100" type="decimal" operator="between">
      <formula1>0</formula1>
      <formula2>100</formula2>
    </dataValidation>
    <dataValidation sqref="E235:G235" showDropDown="0" showInputMessage="0" showErrorMessage="1" allowBlank="1" error="Enter a value between 0 and 0.5" type="decimal" operator="between">
      <formula1>0</formula1>
      <formula2>0.5</formula2>
    </dataValidation>
    <dataValidation sqref="E236:G236" showDropDown="0" showInputMessage="0" showErrorMessage="1" allowBlank="1" error="Enter a value between 0 and 2" type="decimal" operator="between">
      <formula1>0</formula1>
      <formula2>2</formula2>
    </dataValidation>
    <dataValidation sqref="E237:G237" showDropDown="0" showInputMessage="0" showErrorMessage="1" allowBlank="1" error="Enter a value between 0 and 1" type="decimal" operator="between">
      <formula1>0</formula1>
      <formula2>1</formula2>
    </dataValidation>
    <dataValidation sqref="E241" showDropDown="0" showInputMessage="0" showErrorMessage="1" allowBlank="1" error="Enter a value between 0 and 1e+07" type="decimal" operator="between">
      <formula1>0</formula1>
      <formula2>10000000.0</formula2>
    </dataValidation>
    <dataValidation sqref="F241" showDropDown="0" showInputMessage="0" showErrorMessage="1" allowBlank="1" error="Enter a value between 0 and 1e+07" type="decimal" operator="between">
      <formula1>0</formula1>
      <formula2>10000000.0</formula2>
    </dataValidation>
    <dataValidation sqref="G241" showDropDown="0" showInputMessage="0" showErrorMessage="1" allowBlank="1" error="Enter a value between 0 and 1e+07" type="decimal" operator="between">
      <formula1>0</formula1>
      <formula2>10000000.0</formula2>
    </dataValidation>
    <dataValidation sqref="E242" showDropDown="0" showInputMessage="0" showErrorMessage="1" allowBlank="1" error="Enter a value between 0 and 1e+07" type="decimal" operator="between">
      <formula1>0</formula1>
      <formula2>10000000.0</formula2>
    </dataValidation>
    <dataValidation sqref="F242" showDropDown="0" showInputMessage="0" showErrorMessage="1" allowBlank="1" error="Enter a value between 0 and 1e+07" type="decimal" operator="between">
      <formula1>0</formula1>
      <formula2>10000000.0</formula2>
    </dataValidation>
    <dataValidation sqref="G242" showDropDown="0" showInputMessage="0" showErrorMessage="1" allowBlank="1" error="Enter a value between 0 and 1e+07" type="decimal" operator="between">
      <formula1>0</formula1>
      <formula2>10000000.0</formula2>
    </dataValidation>
    <dataValidation sqref="E243" showDropDown="0" showInputMessage="0" showErrorMessage="1" allowBlank="1" error="Enter a value between 0 and 1e+07" type="decimal" operator="between">
      <formula1>0</formula1>
      <formula2>10000000.0</formula2>
    </dataValidation>
    <dataValidation sqref="F243" showDropDown="0" showInputMessage="0" showErrorMessage="1" allowBlank="1" error="Enter a value between 0 and 1e+07" type="decimal" operator="between">
      <formula1>0</formula1>
      <formula2>10000000.0</formula2>
    </dataValidation>
    <dataValidation sqref="G243" showDropDown="0" showInputMessage="0" showErrorMessage="1" allowBlank="1" error="Enter a value between 0 and 1e+07" type="decimal" operator="between">
      <formula1>0</formula1>
      <formula2>10000000.0</formula2>
    </dataValidation>
    <dataValidation sqref="E244" showDropDown="0" showInputMessage="0" showErrorMessage="1" allowBlank="1" error="Enter a value between 0 and 1e+07" type="decimal" operator="between">
      <formula1>0</formula1>
      <formula2>10000000.0</formula2>
    </dataValidation>
    <dataValidation sqref="F244" showDropDown="0" showInputMessage="0" showErrorMessage="1" allowBlank="1" error="Enter a value between 0 and 1e+07" type="decimal" operator="between">
      <formula1>0</formula1>
      <formula2>10000000.0</formula2>
    </dataValidation>
    <dataValidation sqref="G244" showDropDown="0" showInputMessage="0" showErrorMessage="1" allowBlank="1" error="Enter a value between 0 and 1e+07" type="decimal" operator="between">
      <formula1>0</formula1>
      <formula2>10000000.0</formula2>
    </dataValidation>
    <dataValidation sqref="E245" showDropDown="0" showInputMessage="0" showErrorMessage="1" allowBlank="1" error="Enter a value between 0 and 1e+07" type="decimal" operator="between">
      <formula1>0</formula1>
      <formula2>10000000.0</formula2>
    </dataValidation>
    <dataValidation sqref="F245" showDropDown="0" showInputMessage="0" showErrorMessage="1" allowBlank="1" error="Enter a value between 0 and 1e+07" type="decimal" operator="between">
      <formula1>0</formula1>
      <formula2>10000000.0</formula2>
    </dataValidation>
    <dataValidation sqref="G245" showDropDown="0" showInputMessage="0" showErrorMessage="1" allowBlank="1" error="Enter a value between 0 and 1e+07" type="decimal" operator="between">
      <formula1>0</formula1>
      <formula2>10000000.0</formula2>
    </dataValidation>
    <dataValidation sqref="E246" showDropDown="0" showInputMessage="0" showErrorMessage="1" allowBlank="1" error="Enter a value between 0 and 1e+07" type="decimal" operator="between">
      <formula1>0</formula1>
      <formula2>10000000.0</formula2>
    </dataValidation>
    <dataValidation sqref="F246" showDropDown="0" showInputMessage="0" showErrorMessage="1" allowBlank="1" error="Enter a value between 0 and 1e+07" type="decimal" operator="between">
      <formula1>0</formula1>
      <formula2>10000000.0</formula2>
    </dataValidation>
    <dataValidation sqref="G246" showDropDown="0" showInputMessage="0" showErrorMessage="1" allowBlank="1" error="Enter a value between 0 and 1e+07" type="decimal" operator="between">
      <formula1>0</formula1>
      <formula2>10000000.0</formula2>
    </dataValidation>
    <dataValidation sqref="E247" showDropDown="0" showInputMessage="0" showErrorMessage="1" allowBlank="1" error="Enter a value between 0 and 1e+07" type="decimal" operator="between">
      <formula1>0</formula1>
      <formula2>10000000.0</formula2>
    </dataValidation>
    <dataValidation sqref="F247" showDropDown="0" showInputMessage="0" showErrorMessage="1" allowBlank="1" error="Enter a value between 0 and 1e+07" type="decimal" operator="between">
      <formula1>0</formula1>
      <formula2>10000000.0</formula2>
    </dataValidation>
    <dataValidation sqref="G247" showDropDown="0" showInputMessage="0" showErrorMessage="1" allowBlank="1" error="Enter a value between 0 and 1e+07" type="decimal" operator="between">
      <formula1>0</formula1>
      <formula2>10000000.0</formula2>
    </dataValidation>
    <dataValidation sqref="E248" showDropDown="0" showInputMessage="0" showErrorMessage="1" allowBlank="1" error="Enter a value between 0 and 1e+07" type="decimal" operator="between">
      <formula1>0</formula1>
      <formula2>10000000.0</formula2>
    </dataValidation>
    <dataValidation sqref="F248" showDropDown="0" showInputMessage="0" showErrorMessage="1" allowBlank="1" error="Enter a value between 0 and 1e+07" type="decimal" operator="between">
      <formula1>0</formula1>
      <formula2>10000000.0</formula2>
    </dataValidation>
    <dataValidation sqref="G248" showDropDown="0" showInputMessage="0" showErrorMessage="1" allowBlank="1" error="Enter a value between 0 and 1e+07" type="decimal" operator="between">
      <formula1>0</formula1>
      <formula2>10000000.0</formula2>
    </dataValidation>
    <dataValidation sqref="E249" showDropDown="0" showInputMessage="0" showErrorMessage="1" allowBlank="1" error="Enter a value between 0 and 1e+07" type="decimal" operator="between">
      <formula1>0</formula1>
      <formula2>10000000.0</formula2>
    </dataValidation>
    <dataValidation sqref="F249" showDropDown="0" showInputMessage="0" showErrorMessage="1" allowBlank="1" error="Enter a value between 0 and 1e+07" type="decimal" operator="between">
      <formula1>0</formula1>
      <formula2>10000000.0</formula2>
    </dataValidation>
    <dataValidation sqref="G249" showDropDown="0" showInputMessage="0" showErrorMessage="1" allowBlank="1" error="Enter a value between 0 and 1e+07" type="decimal" operator="between">
      <formula1>0</formula1>
      <formula2>10000000.0</formula2>
    </dataValidation>
    <dataValidation sqref="E252" showDropDown="0" showInputMessage="0" showErrorMessage="1" allowBlank="1" error="Enter a value between 0.1 and 5" type="decimal" operator="between">
      <formula1>0.1</formula1>
      <formula2>5</formula2>
    </dataValidation>
    <dataValidation sqref="E253" showDropDown="0" showInputMessage="0" showErrorMessage="1" allowBlank="1" error="Enter a value between 0.1 and 5" type="decimal" operator="between">
      <formula1>0.1</formula1>
      <formula2>5</formula2>
    </dataValidation>
  </dataValidations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4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1" t="n"/>
      <c r="B1" s="2" t="inlineStr">
        <is>
          <t>11 · Scenarios – Base / Upside / Downside / Lender</t>
        </is>
      </c>
      <c r="C1" s="1" t="n"/>
      <c r="D1" s="1" t="n"/>
      <c r="E1" s="1" t="n"/>
      <c r="F1" s="1" t="n"/>
      <c r="G1" s="1" t="n"/>
      <c r="H1" s="1" t="n"/>
      <c r="I1" s="1" t="n"/>
      <c r="J1" s="3" t="str">
        <f>HYPERLINK("#'00_Start'!A1","◂ Start")</f>
        <v>◂ Start</v>
      </c>
    </row>
    <row r="2" ht="20" customHeight="1">
      <c r="A2" s="1" t="n"/>
      <c r="B2" s="4" t="inlineStr">
        <is>
          <t>ሁኔታዎች – መሠረታዊ፣ ብሩህ፣ አስቸጋሪ፣ ባንክ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10" ht="20" customHeight="1">
      <c r="B10" s="113" t="inlineStr">
        <is>
          <t>Scenario adjustments (applied on top of the Inputs). Active = CHOOSE(SCEN, Base, Upside, Downside, Lender)</t>
        </is>
      </c>
      <c r="C10" s="37" t="inlineStr">
        <is>
          <t>የሁኔታ ማስተካከያዎች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93" t="inlineStr">
        <is>
          <t>Driver</t>
        </is>
      </c>
      <c r="C11" s="93" t="inlineStr">
        <is>
          <t>ነጂ</t>
        </is>
      </c>
      <c r="D11" s="93" t="inlineStr">
        <is>
          <t>Unit</t>
        </is>
      </c>
      <c r="E11" s="138" t="inlineStr">
        <is>
          <t>Base</t>
        </is>
      </c>
      <c r="F11" s="138" t="inlineStr">
        <is>
          <t>Upside</t>
        </is>
      </c>
      <c r="G11" s="138" t="inlineStr">
        <is>
          <t>Downside</t>
        </is>
      </c>
      <c r="H11" s="138" t="inlineStr">
        <is>
          <t>Lender</t>
        </is>
      </c>
      <c r="I11" s="138" t="inlineStr">
        <is>
          <t>ACTIVE</t>
        </is>
      </c>
      <c r="J11" s="138" t="inlineStr">
        <is>
          <t>Name</t>
        </is>
      </c>
    </row>
    <row r="12">
      <c r="B12" s="36" t="inlineStr">
        <is>
          <t>Sale price</t>
        </is>
      </c>
      <c r="C12" s="116" t="inlineStr">
        <is>
          <t>የሽያጭ ዋጋ</t>
        </is>
      </c>
      <c r="D12" s="117" t="inlineStr">
        <is>
          <t>%</t>
        </is>
      </c>
      <c r="E12" s="144" t="n">
        <v>0</v>
      </c>
      <c r="F12" s="144" t="n">
        <v>0.1</v>
      </c>
      <c r="G12" s="144" t="n">
        <v>-0.1</v>
      </c>
      <c r="H12" s="144" t="n">
        <v>-0.15</v>
      </c>
      <c r="I12" s="145">
        <f>CHOOSE(SCEN,E12,F12,G12,H12)</f>
        <v>0</v>
      </c>
      <c r="J12" s="18" t="inlineStr">
        <is>
          <t>SC_PRICE</t>
        </is>
      </c>
    </row>
    <row r="13">
      <c r="B13" s="36" t="inlineStr">
        <is>
          <t>Rent</t>
        </is>
      </c>
      <c r="C13" s="116" t="inlineStr">
        <is>
          <t>ኪራይ</t>
        </is>
      </c>
      <c r="D13" s="117" t="inlineStr">
        <is>
          <t>%</t>
        </is>
      </c>
      <c r="E13" s="144" t="n">
        <v>0</v>
      </c>
      <c r="F13" s="144" t="n">
        <v>0.1</v>
      </c>
      <c r="G13" s="144" t="n">
        <v>-0.1</v>
      </c>
      <c r="H13" s="144" t="n">
        <v>-0.15</v>
      </c>
      <c r="I13" s="145">
        <f>CHOOSE(SCEN,E13,F13,G13,H13)</f>
        <v>0</v>
      </c>
      <c r="J13" s="18" t="inlineStr">
        <is>
          <t>SC_RENT</t>
        </is>
      </c>
    </row>
    <row r="14">
      <c r="B14" s="36" t="inlineStr">
        <is>
          <t>Occupancy (points)</t>
        </is>
      </c>
      <c r="C14" s="116" t="inlineStr">
        <is>
          <t>የተያዘ መጠን</t>
        </is>
      </c>
      <c r="D14" s="117" t="inlineStr">
        <is>
          <t>pts</t>
        </is>
      </c>
      <c r="E14" s="144" t="n">
        <v>0</v>
      </c>
      <c r="F14" s="144" t="n">
        <v>0.03</v>
      </c>
      <c r="G14" s="144" t="n">
        <v>-0.1</v>
      </c>
      <c r="H14" s="144" t="n">
        <v>-0.15</v>
      </c>
      <c r="I14" s="145">
        <f>CHOOSE(SCEN,E14,F14,G14,H14)</f>
        <v>0</v>
      </c>
      <c r="J14" s="18" t="inlineStr">
        <is>
          <t>SC_OCC</t>
        </is>
      </c>
    </row>
    <row r="15">
      <c r="B15" s="36" t="inlineStr">
        <is>
          <t>Construction cost</t>
        </is>
      </c>
      <c r="C15" s="116" t="inlineStr">
        <is>
          <t>የግንባታ ወጪ</t>
        </is>
      </c>
      <c r="D15" s="117" t="inlineStr">
        <is>
          <t>%</t>
        </is>
      </c>
      <c r="E15" s="144" t="n">
        <v>0</v>
      </c>
      <c r="F15" s="144" t="n">
        <v>-0.05</v>
      </c>
      <c r="G15" s="144" t="n">
        <v>0.1</v>
      </c>
      <c r="H15" s="144" t="n">
        <v>0.15</v>
      </c>
      <c r="I15" s="145">
        <f>CHOOSE(SCEN,E15,F15,G15,H15)</f>
        <v>0</v>
      </c>
      <c r="J15" s="18" t="inlineStr">
        <is>
          <t>SC_COST</t>
        </is>
      </c>
    </row>
    <row r="16">
      <c r="B16" s="36" t="inlineStr">
        <is>
          <t>Construction delay</t>
        </is>
      </c>
      <c r="C16" s="116" t="inlineStr">
        <is>
          <t>የግንባታ መዘግየት</t>
        </is>
      </c>
      <c r="D16" s="117" t="inlineStr">
        <is>
          <t>months</t>
        </is>
      </c>
      <c r="E16" s="146" t="n">
        <v>0</v>
      </c>
      <c r="F16" s="146" t="n">
        <v>0</v>
      </c>
      <c r="G16" s="146" t="n">
        <v>6</v>
      </c>
      <c r="H16" s="146" t="n">
        <v>6</v>
      </c>
      <c r="I16" s="147">
        <f>CHOOSE(SCEN,E16,F16,G16,H16)</f>
        <v>0</v>
      </c>
      <c r="J16" s="18" t="inlineStr">
        <is>
          <t>SC_DELAY</t>
        </is>
      </c>
    </row>
    <row r="17">
      <c r="B17" s="36" t="inlineStr">
        <is>
          <t>Interest rate (points)</t>
        </is>
      </c>
      <c r="C17" s="116" t="inlineStr">
        <is>
          <t>የወለድ መጠን</t>
        </is>
      </c>
      <c r="D17" s="117" t="inlineStr">
        <is>
          <t>pts</t>
        </is>
      </c>
      <c r="E17" s="144" t="n">
        <v>0</v>
      </c>
      <c r="F17" s="144" t="n">
        <v>-0.01</v>
      </c>
      <c r="G17" s="144" t="n">
        <v>0.02</v>
      </c>
      <c r="H17" s="144" t="n">
        <v>0.03</v>
      </c>
      <c r="I17" s="145">
        <f>CHOOSE(SCEN,E17,F17,G17,H17)</f>
        <v>0</v>
      </c>
      <c r="J17" s="18" t="inlineStr">
        <is>
          <t>SC_RATE</t>
        </is>
      </c>
    </row>
    <row r="18">
      <c r="B18" s="36" t="inlineStr">
        <is>
          <t>Presales achieved</t>
        </is>
      </c>
      <c r="C18" s="116" t="inlineStr">
        <is>
          <t>ቅድመ-ሽያጭ</t>
        </is>
      </c>
      <c r="D18" s="117" t="inlineStr">
        <is>
          <t>%</t>
        </is>
      </c>
      <c r="E18" s="144" t="n">
        <v>0</v>
      </c>
      <c r="F18" s="144" t="n">
        <v>0.1</v>
      </c>
      <c r="G18" s="144" t="n">
        <v>-0.25</v>
      </c>
      <c r="H18" s="144" t="n">
        <v>-0.4</v>
      </c>
      <c r="I18" s="145">
        <f>CHOOSE(SCEN,E18,F18,G18,H18)</f>
        <v>0</v>
      </c>
      <c r="J18" s="18" t="inlineStr">
        <is>
          <t>SC_PRESALE</t>
        </is>
      </c>
    </row>
    <row r="19">
      <c r="B19" s="36" t="inlineStr">
        <is>
          <t>Exit cap rate (points)</t>
        </is>
      </c>
      <c r="C19" s="116" t="inlineStr">
        <is>
          <t>የመውጫ ካፕ ሬት</t>
        </is>
      </c>
      <c r="D19" s="117" t="inlineStr">
        <is>
          <t>pts</t>
        </is>
      </c>
      <c r="E19" s="144" t="n">
        <v>0</v>
      </c>
      <c r="F19" s="144" t="n">
        <v>-0.005</v>
      </c>
      <c r="G19" s="144" t="n">
        <v>0.01</v>
      </c>
      <c r="H19" s="144" t="n">
        <v>0.015</v>
      </c>
      <c r="I19" s="145">
        <f>CHOOSE(SCEN,E19,F19,G19,H19)</f>
        <v>0</v>
      </c>
      <c r="J19" s="18" t="inlineStr">
        <is>
          <t>SC_EXITCAP</t>
        </is>
      </c>
    </row>
    <row r="20">
      <c r="B20" s="36" t="inlineStr">
        <is>
          <t>Operating costs</t>
        </is>
      </c>
      <c r="C20" s="116" t="inlineStr">
        <is>
          <t>የሥራ ማስኬጃ ወጪ</t>
        </is>
      </c>
      <c r="D20" s="117" t="inlineStr">
        <is>
          <t>%</t>
        </is>
      </c>
      <c r="E20" s="144" t="n">
        <v>0</v>
      </c>
      <c r="F20" s="144" t="n">
        <v>-0.05</v>
      </c>
      <c r="G20" s="144" t="n">
        <v>0.1</v>
      </c>
      <c r="H20" s="144" t="n">
        <v>0.15</v>
      </c>
      <c r="I20" s="145">
        <f>CHOOSE(SCEN,E20,F20,G20,H20)</f>
        <v>0</v>
      </c>
      <c r="J20" s="18" t="inlineStr">
        <is>
          <t>SC_OPEX</t>
        </is>
      </c>
    </row>
    <row r="21">
      <c r="B21" s="36" t="inlineStr">
        <is>
          <t>Cost escalation (points)</t>
        </is>
      </c>
      <c r="C21" s="116" t="inlineStr">
        <is>
          <t>የዋጋ ጭማሪ</t>
        </is>
      </c>
      <c r="D21" s="117" t="inlineStr">
        <is>
          <t>pts</t>
        </is>
      </c>
      <c r="E21" s="144" t="n">
        <v>0</v>
      </c>
      <c r="F21" s="144" t="n">
        <v>-0.02</v>
      </c>
      <c r="G21" s="144" t="n">
        <v>0.05</v>
      </c>
      <c r="H21" s="144" t="n">
        <v>0.05</v>
      </c>
      <c r="I21" s="145">
        <f>CHOOSE(SCEN,E21,F21,G21,H21)</f>
        <v>0</v>
      </c>
      <c r="J21" s="18" t="inlineStr">
        <is>
          <t>SC_ESC</t>
        </is>
      </c>
    </row>
    <row r="22">
      <c r="B22" s="36" t="inlineStr">
        <is>
          <t>Rent escalation (points)</t>
        </is>
      </c>
      <c r="C22" s="116" t="inlineStr">
        <is>
          <t>የኪራይ ጭማሪ</t>
        </is>
      </c>
      <c r="D22" s="117" t="inlineStr">
        <is>
          <t>pts</t>
        </is>
      </c>
      <c r="E22" s="144" t="n">
        <v>0</v>
      </c>
      <c r="F22" s="144" t="n">
        <v>0.01</v>
      </c>
      <c r="G22" s="144" t="n">
        <v>-0.02</v>
      </c>
      <c r="H22" s="144" t="n">
        <v>-0.03</v>
      </c>
      <c r="I22" s="145">
        <f>CHOOSE(SCEN,E22,F22,G22,H22)</f>
        <v>0</v>
      </c>
      <c r="J22" s="18" t="inlineStr">
        <is>
          <t>SC_RESC</t>
        </is>
      </c>
    </row>
    <row r="23">
      <c r="B23" s="36" t="inlineStr">
        <is>
          <t>Sale price escalation (points)</t>
        </is>
      </c>
      <c r="C23" s="116" t="inlineStr">
        <is>
          <t>የሽያጭ ዋጋ ጭማሪ</t>
        </is>
      </c>
      <c r="D23" s="117" t="inlineStr">
        <is>
          <t>pts</t>
        </is>
      </c>
      <c r="E23" s="144" t="n">
        <v>0</v>
      </c>
      <c r="F23" s="144" t="n">
        <v>0.02</v>
      </c>
      <c r="G23" s="144" t="n">
        <v>-0.03</v>
      </c>
      <c r="H23" s="144" t="n">
        <v>-0.05</v>
      </c>
      <c r="I23" s="145">
        <f>CHOOSE(SCEN,E23,F23,G23,H23)</f>
        <v>0</v>
      </c>
      <c r="J23" s="18" t="inlineStr">
        <is>
          <t>SC_PESC</t>
        </is>
      </c>
    </row>
    <row r="24">
      <c r="B24" s="36" t="inlineStr">
        <is>
          <t>Default / cancellations (points)</t>
        </is>
      </c>
      <c r="C24" s="116" t="inlineStr">
        <is>
          <t>የውል ማፍረስ</t>
        </is>
      </c>
      <c r="D24" s="117" t="inlineStr">
        <is>
          <t>pts</t>
        </is>
      </c>
      <c r="E24" s="144" t="n">
        <v>0</v>
      </c>
      <c r="F24" s="144" t="n">
        <v>-0.01</v>
      </c>
      <c r="G24" s="144" t="n">
        <v>0.03</v>
      </c>
      <c r="H24" s="144" t="n">
        <v>0.05</v>
      </c>
      <c r="I24" s="145">
        <f>CHOOSE(SCEN,E24,F24,G24,H24)</f>
        <v>0</v>
      </c>
      <c r="J24" s="18" t="inlineStr">
        <is>
          <t>SC_DEFAULT</t>
        </is>
      </c>
    </row>
    <row r="25">
      <c r="B25" s="36" t="inlineStr">
        <is>
          <t>Discount rates (points)</t>
        </is>
      </c>
      <c r="C25" s="116" t="inlineStr">
        <is>
          <t>የቅናሽ መጠን</t>
        </is>
      </c>
      <c r="D25" s="117" t="inlineStr">
        <is>
          <t>pts</t>
        </is>
      </c>
      <c r="E25" s="144" t="n">
        <v>0</v>
      </c>
      <c r="F25" s="144" t="n">
        <v>0</v>
      </c>
      <c r="G25" s="144" t="n">
        <v>0.01</v>
      </c>
      <c r="H25" s="144" t="n">
        <v>0.02</v>
      </c>
      <c r="I25" s="145">
        <f>CHOOSE(SCEN,E25,F25,G25,H25)</f>
        <v>0</v>
      </c>
      <c r="J25" s="18" t="inlineStr">
        <is>
          <t>SC_DISC</t>
        </is>
      </c>
    </row>
    <row r="26">
      <c r="B26" s="36" t="inlineStr">
        <is>
          <t>Sales absorption speed</t>
        </is>
      </c>
      <c r="C26" s="116" t="inlineStr">
        <is>
          <t>የሽያጭ ፍጥነት</t>
        </is>
      </c>
      <c r="D26" s="117" t="inlineStr">
        <is>
          <t>%</t>
        </is>
      </c>
      <c r="E26" s="144" t="n">
        <v>0</v>
      </c>
      <c r="F26" s="144" t="n">
        <v>0.2</v>
      </c>
      <c r="G26" s="144" t="n">
        <v>-0.3</v>
      </c>
      <c r="H26" s="144" t="n">
        <v>-0.5</v>
      </c>
      <c r="I26" s="145">
        <f>CHOOSE(SCEN,E26,F26,G26,H26)</f>
        <v>0</v>
      </c>
      <c r="J26" s="18" t="inlineStr">
        <is>
          <t>SC_ABS</t>
        </is>
      </c>
    </row>
    <row r="28" ht="20" customHeight="1">
      <c r="B28" s="113" t="inlineStr">
        <is>
          <t>Effective drivers used by the engine (scenario × flex cell)</t>
        </is>
      </c>
      <c r="C28" s="37" t="inlineStr">
        <is>
          <t>ሞዴሉ የሚጠቀማቸው ውጤታማ ነጂዎች</t>
        </is>
      </c>
      <c r="D28" s="115" t="n"/>
      <c r="E28" s="115" t="n"/>
      <c r="F28" s="115" t="n"/>
      <c r="G28" s="115" t="n"/>
      <c r="H28" s="115" t="n"/>
      <c r="I28" s="115" t="n"/>
      <c r="J28" s="115" t="n"/>
    </row>
    <row r="29">
      <c r="B29" s="36" t="inlineStr">
        <is>
          <t>Active scenario (1–4)</t>
        </is>
      </c>
      <c r="C29" s="117" t="inlineStr"/>
      <c r="D29" s="148">
        <f>IF(SCEN_OVR&gt;0,SCEN_OVR,SCEN_SEL)</f>
        <v>1</v>
      </c>
    </row>
    <row r="30">
      <c r="B30" s="36" t="inlineStr">
        <is>
          <t>Sale price factor</t>
        </is>
      </c>
      <c r="C30" s="117" t="inlineStr"/>
      <c r="D30" s="149">
        <f>(1+SC_PRICE)*FLX_PRICE</f>
        <v>1</v>
      </c>
    </row>
    <row r="31">
      <c r="B31" s="36" t="inlineStr">
        <is>
          <t>Rent factor</t>
        </is>
      </c>
      <c r="C31" s="117" t="inlineStr"/>
      <c r="D31" s="149">
        <f>(1+SC_RENT)*FLX_RENT</f>
        <v>1</v>
      </c>
    </row>
    <row r="32">
      <c r="B32" s="36" t="inlineStr">
        <is>
          <t>Construction cost factor</t>
        </is>
      </c>
      <c r="C32" s="117" t="inlineStr"/>
      <c r="D32" s="149">
        <f>(1+SC_COST)*FLX_COST</f>
        <v>1</v>
      </c>
    </row>
    <row r="33">
      <c r="B33" s="36" t="inlineStr">
        <is>
          <t>Opex factor</t>
        </is>
      </c>
      <c r="C33" s="117" t="inlineStr"/>
      <c r="D33" s="149">
        <f>(1+SC_OPEX)*FLX_OPEX</f>
        <v>1</v>
      </c>
    </row>
    <row r="34">
      <c r="B34" s="36" t="inlineStr">
        <is>
          <t>Occupancy points added</t>
        </is>
      </c>
      <c r="C34" s="117" t="inlineStr"/>
      <c r="D34" s="150">
        <f>SC_OCC</f>
        <v>0</v>
      </c>
    </row>
    <row r="35">
      <c r="B35" s="36" t="inlineStr">
        <is>
          <t>Occupancy factor</t>
        </is>
      </c>
      <c r="C35" s="117" t="inlineStr"/>
      <c r="D35" s="151">
        <f>FLX_OCC</f>
        <v>1</v>
      </c>
    </row>
    <row r="36">
      <c r="B36" s="36" t="inlineStr">
        <is>
          <t>Interest rate points added</t>
        </is>
      </c>
      <c r="C36" s="117" t="inlineStr"/>
      <c r="D36" s="152">
        <f>SC_RATE</f>
        <v>0</v>
      </c>
    </row>
    <row r="37">
      <c r="B37" s="36" t="inlineStr">
        <is>
          <t>Interest rate factor</t>
        </is>
      </c>
      <c r="C37" s="117" t="inlineStr"/>
      <c r="D37" s="151">
        <f>FLX_RATE</f>
        <v>1</v>
      </c>
    </row>
    <row r="38">
      <c r="B38" s="36" t="inlineStr">
        <is>
          <t>Effective base interest rate</t>
        </is>
      </c>
      <c r="C38" s="117" t="inlineStr"/>
      <c r="D38" s="153">
        <f>MAX(0,(RATE+D_RATE_ADD)*D_RATE_F)</f>
        <v>0.15</v>
      </c>
    </row>
    <row r="39">
      <c r="B39" s="36" t="inlineStr">
        <is>
          <t>Effective construction months (incl. delay)</t>
        </is>
      </c>
      <c r="C39" s="117" t="inlineStr"/>
      <c r="D39" s="148">
        <f>MAX(1,MIN(48,ROUND(CONSTR_M+SC_DELAY+FLX_DELAY,0)))</f>
        <v>30</v>
      </c>
    </row>
    <row r="40">
      <c r="B40" s="36" t="inlineStr">
        <is>
          <t>Presale factor</t>
        </is>
      </c>
      <c r="C40" s="117" t="inlineStr"/>
      <c r="D40" s="149">
        <f>MAX(0,1+SC_PRESALE)</f>
        <v>1</v>
      </c>
    </row>
    <row r="41">
      <c r="B41" s="36" t="inlineStr">
        <is>
          <t>Effective exit cap rate</t>
        </is>
      </c>
      <c r="C41" s="117" t="inlineStr"/>
      <c r="D41" s="153">
        <f>MAX(0.001,EXIT_CAP+SC_EXITCAP)</f>
        <v>0.09</v>
      </c>
    </row>
    <row r="42">
      <c r="B42" s="36" t="inlineStr">
        <is>
          <t>Effective cost escalation</t>
        </is>
      </c>
      <c r="C42" s="117" t="inlineStr"/>
      <c r="D42" s="154">
        <f>ESC_PA+SC_ESC</f>
        <v>0.15</v>
      </c>
    </row>
    <row r="43">
      <c r="B43" s="36" t="inlineStr">
        <is>
          <t>Effective rent escalation</t>
        </is>
      </c>
      <c r="C43" s="117" t="inlineStr"/>
      <c r="D43" s="154">
        <f>RENT_ESC+SC_RESC</f>
        <v>0.08</v>
      </c>
    </row>
    <row r="44">
      <c r="B44" s="36" t="inlineStr">
        <is>
          <t>Effective sale-price escalation</t>
        </is>
      </c>
      <c r="C44" s="117" t="inlineStr"/>
      <c r="D44" s="154">
        <f>PRICE_ESC+SC_PESC</f>
        <v>0.1</v>
      </c>
    </row>
    <row r="45">
      <c r="B45" s="36" t="inlineStr">
        <is>
          <t>Effective default allowance</t>
        </is>
      </c>
      <c r="C45" s="117" t="inlineStr"/>
      <c r="D45" s="154">
        <f>MIN(1,MAX(0,DEFAULT_PCT+SC_DEFAULT))</f>
        <v>0.02</v>
      </c>
    </row>
    <row r="46">
      <c r="B46" s="36" t="inlineStr">
        <is>
          <t>Effective project discount rate</t>
        </is>
      </c>
      <c r="C46" s="117" t="inlineStr"/>
      <c r="D46" s="154">
        <f>DISC+SC_DISC</f>
        <v>0.18</v>
      </c>
    </row>
    <row r="47">
      <c r="B47" s="36" t="inlineStr">
        <is>
          <t>Effective cost of equity</t>
        </is>
      </c>
      <c r="C47" s="117" t="inlineStr"/>
      <c r="D47" s="154">
        <f>COE+SC_DISC</f>
        <v>0.22</v>
      </c>
    </row>
    <row r="48">
      <c r="B48" s="36" t="inlineStr">
        <is>
          <t>Absorption factor</t>
        </is>
      </c>
      <c r="C48" s="117" t="inlineStr"/>
      <c r="D48" s="149">
        <f>MAX(0,1+SC_ABS)</f>
        <v>1</v>
      </c>
    </row>
  </sheetData>
  <conditionalFormatting sqref="E12:H26">
    <cfRule type="expression" priority="1" dxfId="6">
      <formula>COLUMN(E12)-4=SCEN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8E2B"/>
    <outlinePr summaryBelow="1" summaryRight="1"/>
    <pageSetUpPr fitToPage="1"/>
  </sheetPr>
  <dimension ref="A1:J3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70" customWidth="1" min="4" max="4"/>
    <col width="14" customWidth="1" min="5" max="5"/>
    <col width="15" customWidth="1" min="6" max="6"/>
    <col width="16" customWidth="1" min="7" max="7"/>
  </cols>
  <sheetData>
    <row r="1" ht="30" customHeight="1">
      <c r="A1" s="1" t="n"/>
      <c r="B1" s="2" t="inlineStr">
        <is>
          <t>12 · Tax law register</t>
        </is>
      </c>
      <c r="C1" s="1" t="n"/>
      <c r="D1" s="1" t="n"/>
      <c r="E1" s="1" t="n"/>
      <c r="F1" s="1" t="n"/>
      <c r="G1" s="3" t="str">
        <f>HYPERLINK("#'00_Start'!A1","◂ Start")</f>
        <v>◂ Start</v>
      </c>
    </row>
    <row r="2" ht="20" customHeight="1">
      <c r="A2" s="1" t="n"/>
      <c r="B2" s="4" t="inlineStr">
        <is>
          <t>የግብር ሕግ መዝገብ</t>
        </is>
      </c>
      <c r="C2" s="1" t="n"/>
      <c r="D2" s="1" t="n"/>
      <c r="E2" s="1" t="n"/>
      <c r="F2" s="1" t="n"/>
      <c r="G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</row>
    <row r="10" ht="20" customHeight="1">
      <c r="B10" s="113" t="inlineStr">
        <is>
          <t>Rates used by the model and their statutory source – YOU MUST CONFIRM CURRENT RATES BEFORE USE</t>
        </is>
      </c>
      <c r="C10" s="37" t="inlineStr">
        <is>
          <t>የግብር መጣኔዎች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72" t="inlineStr">
        <is>
          <t>Item</t>
        </is>
      </c>
      <c r="C11" s="72" t="inlineStr">
        <is>
          <t>Rate used</t>
        </is>
      </c>
      <c r="D11" s="72" t="inlineStr">
        <is>
          <t>Statutory source</t>
        </is>
      </c>
      <c r="E11" s="72" t="inlineStr">
        <is>
          <t>Last verified</t>
        </is>
      </c>
      <c r="F11" s="72" t="inlineStr">
        <is>
          <t>Verify before use</t>
        </is>
      </c>
      <c r="G11" s="72" t="inlineStr">
        <is>
          <t>Model name</t>
        </is>
      </c>
    </row>
    <row r="12" ht="30" customHeight="1">
      <c r="B12" s="36" t="inlineStr">
        <is>
          <t>Corporate income tax</t>
        </is>
      </c>
      <c r="C12" s="155">
        <f>CIT</f>
        <v>0.3</v>
      </c>
      <c r="D12" s="156" t="inlineStr">
        <is>
          <t>Federal Income Tax Proclamation No. 979/2016, Art. 19(1) – 30% for bodies</t>
        </is>
      </c>
      <c r="E12" s="157" t="n">
        <v>46300</v>
      </c>
      <c r="F12" s="158" t="inlineStr">
        <is>
          <t>YES – verify</t>
        </is>
      </c>
      <c r="G12" s="18" t="inlineStr">
        <is>
          <t>CIT</t>
        </is>
      </c>
    </row>
    <row r="13" ht="30" customHeight="1">
      <c r="B13" s="36" t="inlineStr">
        <is>
          <t>Tax depreciation – buildings</t>
        </is>
      </c>
      <c r="C13" s="155">
        <f>TAXDEP_BLD</f>
        <v>0.05</v>
      </c>
      <c r="D13" s="156" t="inlineStr">
        <is>
          <t>Proc. 979/2016, Art. 25 &amp; Income Tax Regulation No. 410/2017 – buildings 5% straight line</t>
        </is>
      </c>
      <c r="E13" s="157" t="n">
        <v>46300</v>
      </c>
      <c r="F13" s="158" t="inlineStr">
        <is>
          <t>YES – verify</t>
        </is>
      </c>
      <c r="G13" s="18" t="inlineStr">
        <is>
          <t>TAXDEP_BLD</t>
        </is>
      </c>
    </row>
    <row r="14" ht="30" customHeight="1">
      <c r="B14" s="36" t="inlineStr">
        <is>
          <t>Tax depreciation – plant &amp; equipment</t>
        </is>
      </c>
      <c r="C14" s="155">
        <f>TAXDEP_PLANT</f>
        <v>0.2</v>
      </c>
      <c r="D14" s="156" t="inlineStr">
        <is>
          <t>Proc. 979/2016, Art. 25 – other business assets 20% (pool / diminishing value per spec)</t>
        </is>
      </c>
      <c r="E14" s="157" t="n">
        <v>46300</v>
      </c>
      <c r="F14" s="158" t="inlineStr">
        <is>
          <t>YES – verify</t>
        </is>
      </c>
      <c r="G14" s="18" t="inlineStr">
        <is>
          <t>TAXDEP_PLANT</t>
        </is>
      </c>
    </row>
    <row r="15" ht="30" customHeight="1">
      <c r="B15" s="36" t="inlineStr">
        <is>
          <t>Loss carry-forward period</t>
        </is>
      </c>
      <c r="C15" s="155">
        <f>LCF_YEARS</f>
        <v>5</v>
      </c>
      <c r="D15" s="156" t="inlineStr">
        <is>
          <t>Proc. 979/2016, Art. 26 – losses carried forward up to 5 years (limits on number of carry-forwards apply)</t>
        </is>
      </c>
      <c r="E15" s="157" t="n">
        <v>46300</v>
      </c>
      <c r="F15" s="158" t="inlineStr">
        <is>
          <t>YES – verify</t>
        </is>
      </c>
      <c r="G15" s="18" t="inlineStr">
        <is>
          <t>LCF_YEARS</t>
        </is>
      </c>
    </row>
    <row r="16" ht="30" customHeight="1">
      <c r="B16" s="36" t="inlineStr">
        <is>
          <t>Loss offset cap</t>
        </is>
      </c>
      <c r="C16" s="155">
        <f>LCF_CAP</f>
        <v>1</v>
      </c>
      <c r="D16" s="156" t="inlineStr">
        <is>
          <t>Model assumption – no statutory cap identified; set below 100% if a cap applies</t>
        </is>
      </c>
      <c r="E16" s="157" t="n">
        <v>46300</v>
      </c>
      <c r="F16" s="158" t="inlineStr">
        <is>
          <t>YES – verify</t>
        </is>
      </c>
      <c r="G16" s="18" t="inlineStr">
        <is>
          <t>LCF_CAP</t>
        </is>
      </c>
    </row>
    <row r="17" ht="30" customHeight="1">
      <c r="B17" s="36" t="inlineStr">
        <is>
          <t>VAT – standard rate</t>
        </is>
      </c>
      <c r="C17" s="155">
        <f>VAT_R</f>
        <v>0.15</v>
      </c>
      <c r="D17" s="156" t="inlineStr">
        <is>
          <t>Value Added Tax Proclamation No. 1341/2024 – 15% standard rate</t>
        </is>
      </c>
      <c r="E17" s="157" t="n">
        <v>46300</v>
      </c>
      <c r="F17" s="158" t="inlineStr">
        <is>
          <t>YES – verify</t>
        </is>
      </c>
      <c r="G17" s="18" t="inlineStr">
        <is>
          <t>VAT_R</t>
        </is>
      </c>
    </row>
    <row r="18" ht="30" customHeight="1">
      <c r="B18" s="36" t="inlineStr">
        <is>
          <t>VAT on sale of buildings (share taxable)</t>
        </is>
      </c>
      <c r="C18" s="155">
        <f>VAT_SALES_PCT</f>
        <v>0</v>
      </c>
      <c r="D18" s="156" t="inlineStr">
        <is>
          <t>Proc. 1341/2024 – exemptions for residential dwellings; confirm treatment of new-build sales</t>
        </is>
      </c>
      <c r="E18" s="157" t="n">
        <v>46300</v>
      </c>
      <c r="F18" s="158" t="inlineStr">
        <is>
          <t>YES – verify</t>
        </is>
      </c>
      <c r="G18" s="18" t="inlineStr">
        <is>
          <t>VAT_SALES_PCT</t>
        </is>
      </c>
    </row>
    <row r="19" ht="30" customHeight="1">
      <c r="B19" s="36" t="inlineStr">
        <is>
          <t>VAT on rent (share taxable)</t>
        </is>
      </c>
      <c r="C19" s="155">
        <f>RENT_VAT_PCT</f>
        <v>1</v>
      </c>
      <c r="D19" s="156" t="inlineStr">
        <is>
          <t>Proc. 1341/2024 – residential rent exempt; commercial rent taxable</t>
        </is>
      </c>
      <c r="E19" s="157" t="n">
        <v>46300</v>
      </c>
      <c r="F19" s="158" t="inlineStr">
        <is>
          <t>YES – verify</t>
        </is>
      </c>
      <c r="G19" s="18" t="inlineStr">
        <is>
          <t>RENT_VAT_PCT</t>
        </is>
      </c>
    </row>
    <row r="20" ht="30" customHeight="1">
      <c r="B20" s="36" t="inlineStr">
        <is>
          <t>Undistributed profits tax</t>
        </is>
      </c>
      <c r="C20" s="155">
        <f>UPT_R</f>
        <v>0.1</v>
      </c>
      <c r="D20" s="156" t="inlineStr">
        <is>
          <t>Proc. 979/2016, Art. 55 – undistributed / non-reinvested profits treated as dividend (10%)</t>
        </is>
      </c>
      <c r="E20" s="157" t="n">
        <v>46300</v>
      </c>
      <c r="F20" s="158" t="inlineStr">
        <is>
          <t>YES – verify</t>
        </is>
      </c>
      <c r="G20" s="18" t="inlineStr">
        <is>
          <t>UPT_R</t>
        </is>
      </c>
    </row>
    <row r="21" ht="30" customHeight="1">
      <c r="B21" s="36" t="inlineStr">
        <is>
          <t>Dividend withholding tax</t>
        </is>
      </c>
      <c r="C21" s="155">
        <f>DIV_WHT</f>
        <v>0.1</v>
      </c>
      <c r="D21" s="156" t="inlineStr">
        <is>
          <t>Proc. 979/2016, Art. 55 – 10% on dividends</t>
        </is>
      </c>
      <c r="E21" s="157" t="n">
        <v>46300</v>
      </c>
      <c r="F21" s="158" t="inlineStr">
        <is>
          <t>YES – verify</t>
        </is>
      </c>
      <c r="G21" s="18" t="inlineStr">
        <is>
          <t>DIV_WHT</t>
        </is>
      </c>
    </row>
    <row r="22" ht="30" customHeight="1">
      <c r="B22" s="36" t="inlineStr">
        <is>
          <t>Legal reserve transfer</t>
        </is>
      </c>
      <c r="C22" s="155">
        <f>LR_PCT</f>
        <v>0.05</v>
      </c>
      <c r="D22" s="156" t="inlineStr">
        <is>
          <t>Commercial Code of Ethiopia, Proc. No. 1243/2021, Art. 434 – 5% of profits</t>
        </is>
      </c>
      <c r="E22" s="157" t="n">
        <v>46300</v>
      </c>
      <c r="F22" s="158" t="inlineStr">
        <is>
          <t>YES – verify</t>
        </is>
      </c>
      <c r="G22" s="18" t="inlineStr">
        <is>
          <t>LR_PCT</t>
        </is>
      </c>
    </row>
    <row r="23" ht="30" customHeight="1">
      <c r="B23" s="36" t="inlineStr">
        <is>
          <t>Legal reserve cap</t>
        </is>
      </c>
      <c r="C23" s="155">
        <f>LR_CAP</f>
        <v>0.1</v>
      </c>
      <c r="D23" s="156" t="inlineStr">
        <is>
          <t>Commercial Code, Art. 434 – until reserve reaches 10% of capital</t>
        </is>
      </c>
      <c r="E23" s="157" t="n">
        <v>46300</v>
      </c>
      <c r="F23" s="158" t="inlineStr">
        <is>
          <t>YES – verify</t>
        </is>
      </c>
      <c r="G23" s="18" t="inlineStr">
        <is>
          <t>LR_CAP</t>
        </is>
      </c>
    </row>
    <row r="24" ht="30" customHeight="1">
      <c r="B24" s="36" t="inlineStr">
        <is>
          <t>Property tax</t>
        </is>
      </c>
      <c r="C24" s="159">
        <f>PROPTAX_PCT</f>
        <v>0.001</v>
      </c>
      <c r="D24" s="156" t="inlineStr">
        <is>
          <t>City property-tax proclamation (Addis Ababa) – rate and base to be confirmed</t>
        </is>
      </c>
      <c r="E24" s="157" t="n">
        <v>46300</v>
      </c>
      <c r="F24" s="158" t="inlineStr">
        <is>
          <t>YES – verify</t>
        </is>
      </c>
      <c r="G24" s="18" t="inlineStr">
        <is>
          <t>PROPTAX_PCT</t>
        </is>
      </c>
    </row>
    <row r="25" ht="30" customHeight="1">
      <c r="B25" s="36" t="inlineStr">
        <is>
          <t>Land lease down payment</t>
        </is>
      </c>
      <c r="C25" s="155">
        <f>LEASE_DP</f>
        <v>0.1</v>
      </c>
      <c r="D25" s="156" t="inlineStr">
        <is>
          <t>Urban Lands Lease Holding Proclamation No. 721/2011 and city regulations – minimum down payment</t>
        </is>
      </c>
      <c r="E25" s="157" t="n">
        <v>46300</v>
      </c>
      <c r="F25" s="158" t="inlineStr">
        <is>
          <t>YES – verify</t>
        </is>
      </c>
      <c r="G25" s="18" t="inlineStr">
        <is>
          <t>LEASE_DP</t>
        </is>
      </c>
    </row>
    <row r="26" ht="30" customHeight="1">
      <c r="B26" s="36" t="inlineStr">
        <is>
          <t>Land lease instalment period</t>
        </is>
      </c>
      <c r="C26" s="160">
        <f>LEASE_N</f>
        <v>30</v>
      </c>
      <c r="D26" s="156" t="inlineStr">
        <is>
          <t>Proc. 721/2011 – instalment period per lease contract</t>
        </is>
      </c>
      <c r="E26" s="157" t="n">
        <v>46300</v>
      </c>
      <c r="F26" s="158" t="inlineStr">
        <is>
          <t>YES – verify</t>
        </is>
      </c>
      <c r="G26" s="18" t="inlineStr">
        <is>
          <t>LEASE_N</t>
        </is>
      </c>
    </row>
    <row r="27" ht="30" customHeight="1">
      <c r="B27" s="36" t="inlineStr">
        <is>
          <t>Interest on unpaid lease</t>
        </is>
      </c>
      <c r="C27" s="155">
        <f>LEASE_INT</f>
        <v>0.07</v>
      </c>
      <c r="D27" s="156" t="inlineStr">
        <is>
          <t>Lease contract / city regulation – usually linked to the NBE / bank lending rate</t>
        </is>
      </c>
      <c r="E27" s="157" t="n">
        <v>46300</v>
      </c>
      <c r="F27" s="158" t="inlineStr">
        <is>
          <t>YES – verify</t>
        </is>
      </c>
      <c r="G27" s="18" t="inlineStr">
        <is>
          <t>LEASE_INT</t>
        </is>
      </c>
    </row>
    <row r="29">
      <c r="B29" s="161" t="inlineStr">
        <is>
          <t>Note: 'Last verified' records a desk review on that date, not confirmation against the official gazette. Tax law in Ethiopia changes frequently – confirm every rate with the Ministry of Revenue, the city administration or a licensed tax adviser before relying on results.</t>
        </is>
      </c>
    </row>
    <row r="30">
      <c r="B30" s="162" t="inlineStr">
        <is>
          <t>ማሳሰቢያ፡ ሞዴሉን ከመጠቀምዎ በፊት ሁሉንም የግብር መጣኔዎች ከገቢዎች ሚኒስቴር ወይም ፈቃድ ካለው የግብር አማካሪ ያረጋግጡ።</t>
        </is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KF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20 · Timeline &amp; flags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የጊዜ ሰሌዳና ጠቋሚዎች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6">
      <c r="B6" s="78" t="inlineStr">
        <is>
          <t>Period</t>
        </is>
      </c>
      <c r="D6" s="108" t="inlineStr">
        <is>
          <t>Total</t>
        </is>
      </c>
      <c r="E6" s="163" t="str">
        <f>E12</f>
        <v>C1</v>
      </c>
      <c r="F6" s="163" t="str">
        <f>F12</f>
        <v>C2</v>
      </c>
      <c r="G6" s="163" t="str">
        <f>G12</f>
        <v>C3</v>
      </c>
      <c r="H6" s="163" t="str">
        <f>H12</f>
        <v>C4</v>
      </c>
      <c r="I6" s="163" t="str">
        <f>I12</f>
        <v>O1</v>
      </c>
      <c r="J6" s="163" t="str">
        <f>J12</f>
        <v>O2</v>
      </c>
      <c r="K6" s="163" t="str">
        <f>K12</f>
        <v>O3</v>
      </c>
      <c r="L6" s="163" t="str">
        <f>L12</f>
        <v>O4</v>
      </c>
      <c r="M6" s="163" t="str">
        <f>M12</f>
        <v>O5</v>
      </c>
      <c r="N6" s="163" t="str">
        <f>N12</f>
        <v>O6</v>
      </c>
      <c r="O6" s="163" t="str">
        <f>O12</f>
        <v>O7</v>
      </c>
      <c r="P6" s="163" t="str">
        <f>P12</f>
        <v>O8</v>
      </c>
      <c r="Q6" s="163" t="str">
        <f>Q12</f>
        <v>O9</v>
      </c>
      <c r="R6" s="163" t="str">
        <f>R12</f>
        <v>O10</v>
      </c>
    </row>
    <row r="7">
      <c r="B7" s="117" t="inlineStr">
        <is>
          <t>Period end (Gregorian)</t>
        </is>
      </c>
      <c r="E7" s="164">
        <f>E22</f>
        <v>46752.0</v>
      </c>
      <c r="F7" s="164">
        <f>F22</f>
        <v>47118.0</v>
      </c>
      <c r="G7" s="164">
        <f>G22</f>
        <v>47299.0</v>
      </c>
      <c r="H7" s="164">
        <f>H22</f>
        <v>47299.0</v>
      </c>
      <c r="I7" s="164">
        <f>I22</f>
        <v>47664.0</v>
      </c>
      <c r="J7" s="164">
        <f>J22</f>
        <v>48029.0</v>
      </c>
      <c r="K7" s="164">
        <f>K22</f>
        <v>48395.0</v>
      </c>
      <c r="L7" s="164">
        <f>L22</f>
        <v>48760.0</v>
      </c>
      <c r="M7" s="164">
        <f>M22</f>
        <v>49125.0</v>
      </c>
      <c r="N7" s="164">
        <f>N22</f>
        <v>49490.0</v>
      </c>
      <c r="O7" s="164">
        <f>O22</f>
        <v>49856.0</v>
      </c>
      <c r="P7" s="164">
        <f>P22</f>
        <v>50221.0</v>
      </c>
      <c r="Q7" s="164">
        <f>Q22</f>
        <v>50586.0</v>
      </c>
      <c r="R7" s="164">
        <f>R22</f>
        <v>50951.0</v>
      </c>
    </row>
    <row r="8">
      <c r="B8" s="117" t="inlineStr">
        <is>
          <t>Ethiopian calendar year</t>
        </is>
      </c>
      <c r="E8" s="165" t="str">
        <f>E26</f>
        <v>EC 2020</v>
      </c>
      <c r="F8" s="165" t="str">
        <f>F26</f>
        <v>EC 2021</v>
      </c>
      <c r="G8" s="165" t="str">
        <f>G26</f>
        <v>EC 2021</v>
      </c>
      <c r="H8" s="165" t="str">
        <f>H26</f>
        <v>EC 2021</v>
      </c>
      <c r="I8" s="165" t="str">
        <f>I26</f>
        <v>EC 2022</v>
      </c>
      <c r="J8" s="165" t="str">
        <f>J26</f>
        <v>EC 2023</v>
      </c>
      <c r="K8" s="165" t="str">
        <f>K26</f>
        <v>EC 2024</v>
      </c>
      <c r="L8" s="165" t="str">
        <f>L26</f>
        <v>EC 2025</v>
      </c>
      <c r="M8" s="165" t="str">
        <f>M26</f>
        <v>EC 2026</v>
      </c>
      <c r="N8" s="165" t="str">
        <f>N26</f>
        <v>EC 2027</v>
      </c>
      <c r="O8" s="165" t="str">
        <f>O26</f>
        <v>EC 2028</v>
      </c>
      <c r="P8" s="165" t="str">
        <f>P26</f>
        <v>EC 2029</v>
      </c>
      <c r="Q8" s="165" t="str">
        <f>Q26</f>
        <v>EC 2030</v>
      </c>
      <c r="R8" s="165" t="str">
        <f>R26</f>
        <v>EC 2031</v>
      </c>
    </row>
    <row r="10" ht="20" customHeight="1">
      <c r="B10" s="113" t="inlineStr">
        <is>
          <t>Annual periods: C1–C4 construction years, O1–O10 operating years</t>
        </is>
      </c>
      <c r="C10" s="37" t="inlineStr">
        <is>
          <t>ዓመታዊ ጊዜያት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Period number</t>
        </is>
      </c>
      <c r="C11" s="117" t="inlineStr">
        <is>
          <t>no.</t>
        </is>
      </c>
      <c r="E11" s="148" t="n">
        <v>1</v>
      </c>
      <c r="F11" s="148" t="n">
        <v>2</v>
      </c>
      <c r="G11" s="148" t="n">
        <v>3</v>
      </c>
      <c r="H11" s="148" t="n">
        <v>4</v>
      </c>
      <c r="I11" s="148" t="n">
        <v>5</v>
      </c>
      <c r="J11" s="148" t="n">
        <v>6</v>
      </c>
      <c r="K11" s="148" t="n">
        <v>7</v>
      </c>
      <c r="L11" s="148" t="n">
        <v>8</v>
      </c>
      <c r="M11" s="148" t="n">
        <v>9</v>
      </c>
      <c r="N11" s="148" t="n">
        <v>10</v>
      </c>
      <c r="O11" s="148" t="n">
        <v>11</v>
      </c>
      <c r="P11" s="148" t="n">
        <v>12</v>
      </c>
      <c r="Q11" s="148" t="n">
        <v>13</v>
      </c>
      <c r="R11" s="148" t="n">
        <v>14</v>
      </c>
    </row>
    <row r="12">
      <c r="B12" s="36" t="inlineStr">
        <is>
          <t>Period label</t>
        </is>
      </c>
      <c r="C12" s="117" t="inlineStr"/>
      <c r="E12" s="108" t="inlineStr">
        <is>
          <t>C1</t>
        </is>
      </c>
      <c r="F12" s="108" t="inlineStr">
        <is>
          <t>C2</t>
        </is>
      </c>
      <c r="G12" s="108" t="inlineStr">
        <is>
          <t>C3</t>
        </is>
      </c>
      <c r="H12" s="108" t="inlineStr">
        <is>
          <t>C4</t>
        </is>
      </c>
      <c r="I12" s="108" t="inlineStr">
        <is>
          <t>O1</t>
        </is>
      </c>
      <c r="J12" s="108" t="inlineStr">
        <is>
          <t>O2</t>
        </is>
      </c>
      <c r="K12" s="108" t="inlineStr">
        <is>
          <t>O3</t>
        </is>
      </c>
      <c r="L12" s="108" t="inlineStr">
        <is>
          <t>O4</t>
        </is>
      </c>
      <c r="M12" s="108" t="inlineStr">
        <is>
          <t>O5</t>
        </is>
      </c>
      <c r="N12" s="108" t="inlineStr">
        <is>
          <t>O6</t>
        </is>
      </c>
      <c r="O12" s="108" t="inlineStr">
        <is>
          <t>O7</t>
        </is>
      </c>
      <c r="P12" s="108" t="inlineStr">
        <is>
          <t>O8</t>
        </is>
      </c>
      <c r="Q12" s="108" t="inlineStr">
        <is>
          <t>O9</t>
        </is>
      </c>
      <c r="R12" s="108" t="inlineStr">
        <is>
          <t>O10</t>
        </is>
      </c>
    </row>
    <row r="13">
      <c r="B13" s="36" t="inlineStr">
        <is>
          <t>Construction-year index</t>
        </is>
      </c>
      <c r="C13" s="117" t="inlineStr">
        <is>
          <t>no.</t>
        </is>
      </c>
      <c r="E13" s="148" t="n">
        <v>1</v>
      </c>
      <c r="F13" s="148" t="n">
        <v>2</v>
      </c>
      <c r="G13" s="148" t="n">
        <v>3</v>
      </c>
      <c r="H13" s="148" t="n">
        <v>4</v>
      </c>
      <c r="I13" s="148" t="n">
        <v>0</v>
      </c>
      <c r="J13" s="148" t="n">
        <v>0</v>
      </c>
      <c r="K13" s="148" t="n">
        <v>0</v>
      </c>
      <c r="L13" s="148" t="n">
        <v>0</v>
      </c>
      <c r="M13" s="148" t="n">
        <v>0</v>
      </c>
      <c r="N13" s="148" t="n">
        <v>0</v>
      </c>
      <c r="O13" s="148" t="n">
        <v>0</v>
      </c>
      <c r="P13" s="148" t="n">
        <v>0</v>
      </c>
      <c r="Q13" s="148" t="n">
        <v>0</v>
      </c>
      <c r="R13" s="148" t="n">
        <v>0</v>
      </c>
    </row>
    <row r="14">
      <c r="B14" s="36" t="inlineStr">
        <is>
          <t>Operating-year index</t>
        </is>
      </c>
      <c r="C14" s="117" t="inlineStr">
        <is>
          <t>no.</t>
        </is>
      </c>
      <c r="E14" s="148" t="n">
        <v>0</v>
      </c>
      <c r="F14" s="148" t="n">
        <v>0</v>
      </c>
      <c r="G14" s="148" t="n">
        <v>0</v>
      </c>
      <c r="H14" s="148" t="n">
        <v>0</v>
      </c>
      <c r="I14" s="148" t="n">
        <v>1</v>
      </c>
      <c r="J14" s="148" t="n">
        <v>2</v>
      </c>
      <c r="K14" s="148" t="n">
        <v>3</v>
      </c>
      <c r="L14" s="148" t="n">
        <v>4</v>
      </c>
      <c r="M14" s="148" t="n">
        <v>5</v>
      </c>
      <c r="N14" s="148" t="n">
        <v>6</v>
      </c>
      <c r="O14" s="148" t="n">
        <v>7</v>
      </c>
      <c r="P14" s="148" t="n">
        <v>8</v>
      </c>
      <c r="Q14" s="148" t="n">
        <v>9</v>
      </c>
      <c r="R14" s="148" t="n">
        <v>10</v>
      </c>
    </row>
    <row r="15">
      <c r="B15" s="36" t="inlineStr">
        <is>
          <t>Months in period</t>
        </is>
      </c>
      <c r="C15" s="117" t="inlineStr">
        <is>
          <t>months</t>
        </is>
      </c>
      <c r="D15" s="147">
        <f>SUM(E15:R15)</f>
        <v>150</v>
      </c>
      <c r="E15" s="148">
        <f>MAX(0,MIN(12,CONSTR_EFF-12*(E13-1)))</f>
        <v>12</v>
      </c>
      <c r="F15" s="148">
        <f>MAX(0,MIN(12,CONSTR_EFF-12*(F13-1)))</f>
        <v>12</v>
      </c>
      <c r="G15" s="148">
        <f>MAX(0,MIN(12,CONSTR_EFF-12*(G13-1)))</f>
        <v>6</v>
      </c>
      <c r="H15" s="148">
        <f>MAX(0,MIN(12,CONSTR_EFF-12*(H13-1)))</f>
        <v>0</v>
      </c>
      <c r="I15" s="148" t="n">
        <v>12</v>
      </c>
      <c r="J15" s="148" t="n">
        <v>12</v>
      </c>
      <c r="K15" s="148" t="n">
        <v>12</v>
      </c>
      <c r="L15" s="148" t="n">
        <v>12</v>
      </c>
      <c r="M15" s="148" t="n">
        <v>12</v>
      </c>
      <c r="N15" s="148" t="n">
        <v>12</v>
      </c>
      <c r="O15" s="148" t="n">
        <v>12</v>
      </c>
      <c r="P15" s="148" t="n">
        <v>12</v>
      </c>
      <c r="Q15" s="148" t="n">
        <v>12</v>
      </c>
      <c r="R15" s="148" t="n">
        <v>12</v>
      </c>
    </row>
    <row r="16">
      <c r="B16" s="36" t="inlineStr">
        <is>
          <t>Period active flag</t>
        </is>
      </c>
      <c r="C16" s="117" t="inlineStr">
        <is>
          <t>flag</t>
        </is>
      </c>
      <c r="E16" s="148">
        <f>IF(E15&gt;0,1,0)</f>
        <v>1</v>
      </c>
      <c r="F16" s="148">
        <f>IF(F15&gt;0,1,0)</f>
        <v>1</v>
      </c>
      <c r="G16" s="148">
        <f>IF(G15&gt;0,1,0)</f>
        <v>1</v>
      </c>
      <c r="H16" s="148">
        <f>IF(H15&gt;0,1,0)</f>
        <v>0</v>
      </c>
      <c r="I16" s="148">
        <f>IF(I15&gt;0,1,0)</f>
        <v>1</v>
      </c>
      <c r="J16" s="148">
        <f>IF(J15&gt;0,1,0)</f>
        <v>1</v>
      </c>
      <c r="K16" s="148">
        <f>IF(K15&gt;0,1,0)</f>
        <v>1</v>
      </c>
      <c r="L16" s="148">
        <f>IF(L15&gt;0,1,0)</f>
        <v>1</v>
      </c>
      <c r="M16" s="148">
        <f>IF(M15&gt;0,1,0)</f>
        <v>1</v>
      </c>
      <c r="N16" s="148">
        <f>IF(N15&gt;0,1,0)</f>
        <v>1</v>
      </c>
      <c r="O16" s="148">
        <f>IF(O15&gt;0,1,0)</f>
        <v>1</v>
      </c>
      <c r="P16" s="148">
        <f>IF(P15&gt;0,1,0)</f>
        <v>1</v>
      </c>
      <c r="Q16" s="148">
        <f>IF(Q15&gt;0,1,0)</f>
        <v>1</v>
      </c>
      <c r="R16" s="148">
        <f>IF(R15&gt;0,1,0)</f>
        <v>1</v>
      </c>
    </row>
    <row r="17">
      <c r="B17" s="36" t="inlineStr">
        <is>
          <t>Construction flag</t>
        </is>
      </c>
      <c r="C17" s="117" t="inlineStr">
        <is>
          <t>flag</t>
        </is>
      </c>
      <c r="D17" s="147">
        <f>SUM(E17:R17)</f>
        <v>3</v>
      </c>
      <c r="E17" s="148">
        <f>IF(AND(E13&gt;0,E15&gt;0),1,0)</f>
        <v>1</v>
      </c>
      <c r="F17" s="148">
        <f>IF(AND(F13&gt;0,F15&gt;0),1,0)</f>
        <v>1</v>
      </c>
      <c r="G17" s="148">
        <f>IF(AND(G13&gt;0,G15&gt;0),1,0)</f>
        <v>1</v>
      </c>
      <c r="H17" s="148">
        <f>IF(AND(H13&gt;0,H15&gt;0),1,0)</f>
        <v>0</v>
      </c>
      <c r="I17" s="148" t="n">
        <v>0</v>
      </c>
      <c r="J17" s="148" t="n">
        <v>0</v>
      </c>
      <c r="K17" s="148" t="n">
        <v>0</v>
      </c>
      <c r="L17" s="148" t="n">
        <v>0</v>
      </c>
      <c r="M17" s="148" t="n">
        <v>0</v>
      </c>
      <c r="N17" s="148" t="n">
        <v>0</v>
      </c>
      <c r="O17" s="148" t="n">
        <v>0</v>
      </c>
      <c r="P17" s="148" t="n">
        <v>0</v>
      </c>
      <c r="Q17" s="148" t="n">
        <v>0</v>
      </c>
      <c r="R17" s="148" t="n">
        <v>0</v>
      </c>
    </row>
    <row r="18">
      <c r="B18" s="36" t="inlineStr">
        <is>
          <t>Operating flag</t>
        </is>
      </c>
      <c r="C18" s="117" t="inlineStr">
        <is>
          <t>flag</t>
        </is>
      </c>
      <c r="D18" s="147">
        <f>SUM(E18:R18)</f>
        <v>10</v>
      </c>
      <c r="E18" s="148">
        <f>IF(AND(E14&gt;=1,E14&lt;=OPS_YEARS),1,0)</f>
        <v>0</v>
      </c>
      <c r="F18" s="148">
        <f>IF(AND(F14&gt;=1,F14&lt;=OPS_YEARS),1,0)</f>
        <v>0</v>
      </c>
      <c r="G18" s="148">
        <f>IF(AND(G14&gt;=1,G14&lt;=OPS_YEARS),1,0)</f>
        <v>0</v>
      </c>
      <c r="H18" s="148">
        <f>IF(AND(H14&gt;=1,H14&lt;=OPS_YEARS),1,0)</f>
        <v>0</v>
      </c>
      <c r="I18" s="148">
        <f>IF(AND(I14&gt;=1,I14&lt;=OPS_YEARS),1,0)</f>
        <v>1</v>
      </c>
      <c r="J18" s="148">
        <f>IF(AND(J14&gt;=1,J14&lt;=OPS_YEARS),1,0)</f>
        <v>1</v>
      </c>
      <c r="K18" s="148">
        <f>IF(AND(K14&gt;=1,K14&lt;=OPS_YEARS),1,0)</f>
        <v>1</v>
      </c>
      <c r="L18" s="148">
        <f>IF(AND(L14&gt;=1,L14&lt;=OPS_YEARS),1,0)</f>
        <v>1</v>
      </c>
      <c r="M18" s="148">
        <f>IF(AND(M14&gt;=1,M14&lt;=OPS_YEARS),1,0)</f>
        <v>1</v>
      </c>
      <c r="N18" s="148">
        <f>IF(AND(N14&gt;=1,N14&lt;=OPS_YEARS),1,0)</f>
        <v>1</v>
      </c>
      <c r="O18" s="148">
        <f>IF(AND(O14&gt;=1,O14&lt;=OPS_YEARS),1,0)</f>
        <v>1</v>
      </c>
      <c r="P18" s="148">
        <f>IF(AND(P14&gt;=1,P14&lt;=OPS_YEARS),1,0)</f>
        <v>1</v>
      </c>
      <c r="Q18" s="148">
        <f>IF(AND(Q14&gt;=1,Q14&lt;=OPS_YEARS),1,0)</f>
        <v>1</v>
      </c>
      <c r="R18" s="148">
        <f>IF(AND(R14&gt;=1,R14&lt;=OPS_YEARS),1,0)</f>
        <v>1</v>
      </c>
    </row>
    <row r="19">
      <c r="B19" s="36" t="inlineStr">
        <is>
          <t>Completion (COD) period flag</t>
        </is>
      </c>
      <c r="C19" s="117" t="inlineStr">
        <is>
          <t>flag</t>
        </is>
      </c>
      <c r="D19" s="147">
        <f>SUM(E19:R19)</f>
        <v>1</v>
      </c>
      <c r="E19" s="148">
        <f>IF(AND(E15&gt;0,MIN(12*E13,CONSTR_EFF)=CONSTR_EFF),1,0)</f>
        <v>0</v>
      </c>
      <c r="F19" s="148">
        <f>IF(AND(F15&gt;0,MIN(12*F13,CONSTR_EFF)=CONSTR_EFF),1,0)</f>
        <v>0</v>
      </c>
      <c r="G19" s="148">
        <f>IF(AND(G15&gt;0,MIN(12*G13,CONSTR_EFF)=CONSTR_EFF),1,0)</f>
        <v>1</v>
      </c>
      <c r="H19" s="148">
        <f>IF(AND(H15&gt;0,MIN(12*H13,CONSTR_EFF)=CONSTR_EFF),1,0)</f>
        <v>0</v>
      </c>
      <c r="I19" s="148" t="n">
        <v>0</v>
      </c>
      <c r="J19" s="148" t="n">
        <v>0</v>
      </c>
      <c r="K19" s="148" t="n">
        <v>0</v>
      </c>
      <c r="L19" s="148" t="n">
        <v>0</v>
      </c>
      <c r="M19" s="148" t="n">
        <v>0</v>
      </c>
      <c r="N19" s="148" t="n">
        <v>0</v>
      </c>
      <c r="O19" s="148" t="n">
        <v>0</v>
      </c>
      <c r="P19" s="148" t="n">
        <v>0</v>
      </c>
      <c r="Q19" s="148" t="n">
        <v>0</v>
      </c>
      <c r="R19" s="148" t="n">
        <v>0</v>
      </c>
    </row>
    <row r="20">
      <c r="B20" s="36" t="inlineStr">
        <is>
          <t>First month index</t>
        </is>
      </c>
      <c r="C20" s="117" t="inlineStr">
        <is>
          <t>no.</t>
        </is>
      </c>
      <c r="E20" s="148">
        <f>12*(E13-1)+1</f>
        <v>1</v>
      </c>
      <c r="F20" s="148">
        <f>12*(F13-1)+1</f>
        <v>13</v>
      </c>
      <c r="G20" s="148">
        <f>12*(G13-1)+1</f>
        <v>25</v>
      </c>
      <c r="H20" s="148">
        <f>12*(H13-1)+1</f>
        <v>37</v>
      </c>
      <c r="I20" s="148">
        <f>CONSTR_EFF+12*(I14-1)+1</f>
        <v>31</v>
      </c>
      <c r="J20" s="148">
        <f>CONSTR_EFF+12*(J14-1)+1</f>
        <v>43</v>
      </c>
      <c r="K20" s="148">
        <f>CONSTR_EFF+12*(K14-1)+1</f>
        <v>55</v>
      </c>
      <c r="L20" s="148">
        <f>CONSTR_EFF+12*(L14-1)+1</f>
        <v>67</v>
      </c>
      <c r="M20" s="148">
        <f>CONSTR_EFF+12*(M14-1)+1</f>
        <v>79</v>
      </c>
      <c r="N20" s="148">
        <f>CONSTR_EFF+12*(N14-1)+1</f>
        <v>91</v>
      </c>
      <c r="O20" s="148">
        <f>CONSTR_EFF+12*(O14-1)+1</f>
        <v>103</v>
      </c>
      <c r="P20" s="148">
        <f>CONSTR_EFF+12*(P14-1)+1</f>
        <v>115</v>
      </c>
      <c r="Q20" s="148">
        <f>CONSTR_EFF+12*(Q14-1)+1</f>
        <v>127</v>
      </c>
      <c r="R20" s="148">
        <f>CONSTR_EFF+12*(R14-1)+1</f>
        <v>139</v>
      </c>
    </row>
    <row r="21">
      <c r="B21" s="36" t="inlineStr">
        <is>
          <t>Last month index</t>
        </is>
      </c>
      <c r="C21" s="117" t="inlineStr">
        <is>
          <t>no.</t>
        </is>
      </c>
      <c r="E21" s="148">
        <f>MIN(12*E13,CONSTR_EFF)</f>
        <v>12</v>
      </c>
      <c r="F21" s="148">
        <f>MIN(12*F13,CONSTR_EFF)</f>
        <v>24</v>
      </c>
      <c r="G21" s="148">
        <f>MIN(12*G13,CONSTR_EFF)</f>
        <v>30</v>
      </c>
      <c r="H21" s="148">
        <f>MIN(12*H13,CONSTR_EFF)</f>
        <v>30</v>
      </c>
      <c r="I21" s="148">
        <f>CONSTR_EFF+12*I14</f>
        <v>42</v>
      </c>
      <c r="J21" s="148">
        <f>CONSTR_EFF+12*J14</f>
        <v>54</v>
      </c>
      <c r="K21" s="148">
        <f>CONSTR_EFF+12*K14</f>
        <v>66</v>
      </c>
      <c r="L21" s="148">
        <f>CONSTR_EFF+12*L14</f>
        <v>78</v>
      </c>
      <c r="M21" s="148">
        <f>CONSTR_EFF+12*M14</f>
        <v>90</v>
      </c>
      <c r="N21" s="148">
        <f>CONSTR_EFF+12*N14</f>
        <v>102</v>
      </c>
      <c r="O21" s="148">
        <f>CONSTR_EFF+12*O14</f>
        <v>114</v>
      </c>
      <c r="P21" s="148">
        <f>CONSTR_EFF+12*P14</f>
        <v>126</v>
      </c>
      <c r="Q21" s="148">
        <f>CONSTR_EFF+12*Q14</f>
        <v>138</v>
      </c>
      <c r="R21" s="148">
        <f>CONSTR_EFF+12*R14</f>
        <v>150</v>
      </c>
    </row>
    <row r="22">
      <c r="B22" s="36" t="inlineStr">
        <is>
          <t>Period end date</t>
        </is>
      </c>
      <c r="C22" s="117" t="inlineStr">
        <is>
          <t>date</t>
        </is>
      </c>
      <c r="E22" s="166">
        <f>EDATE(START_DATE,E21)-1</f>
        <v>46752.0</v>
      </c>
      <c r="F22" s="166">
        <f>EDATE(START_DATE,F21)-1</f>
        <v>47118.0</v>
      </c>
      <c r="G22" s="166">
        <f>EDATE(START_DATE,G21)-1</f>
        <v>47299.0</v>
      </c>
      <c r="H22" s="166">
        <f>EDATE(START_DATE,H21)-1</f>
        <v>47299.0</v>
      </c>
      <c r="I22" s="166">
        <f>EDATE(START_DATE,I21)-1</f>
        <v>47664.0</v>
      </c>
      <c r="J22" s="166">
        <f>EDATE(START_DATE,J21)-1</f>
        <v>48029.0</v>
      </c>
      <c r="K22" s="166">
        <f>EDATE(START_DATE,K21)-1</f>
        <v>48395.0</v>
      </c>
      <c r="L22" s="166">
        <f>EDATE(START_DATE,L21)-1</f>
        <v>48760.0</v>
      </c>
      <c r="M22" s="166">
        <f>EDATE(START_DATE,M21)-1</f>
        <v>49125.0</v>
      </c>
      <c r="N22" s="166">
        <f>EDATE(START_DATE,N21)-1</f>
        <v>49490.0</v>
      </c>
      <c r="O22" s="166">
        <f>EDATE(START_DATE,O21)-1</f>
        <v>49856.0</v>
      </c>
      <c r="P22" s="166">
        <f>EDATE(START_DATE,P21)-1</f>
        <v>50221.0</v>
      </c>
      <c r="Q22" s="166">
        <f>EDATE(START_DATE,Q21)-1</f>
        <v>50586.0</v>
      </c>
      <c r="R22" s="166">
        <f>EDATE(START_DATE,R21)-1</f>
        <v>50951.0</v>
      </c>
    </row>
    <row r="23">
      <c r="B23" s="36" t="inlineStr">
        <is>
          <t>Years from start (end of period)</t>
        </is>
      </c>
      <c r="C23" s="117" t="inlineStr">
        <is>
          <t>years</t>
        </is>
      </c>
      <c r="E23" s="149">
        <f>(E22+1-START_DATE)/365</f>
        <v>1</v>
      </c>
      <c r="F23" s="149">
        <f>(F22+1-START_DATE)/365</f>
        <v>2.0027397260274</v>
      </c>
      <c r="G23" s="149">
        <f>(G22+1-START_DATE)/365</f>
        <v>2.4986301369863</v>
      </c>
      <c r="H23" s="149">
        <f>(H22+1-START_DATE)/365</f>
        <v>2.4986301369863</v>
      </c>
      <c r="I23" s="149">
        <f>(I22+1-START_DATE)/365</f>
        <v>3.4986301369863</v>
      </c>
      <c r="J23" s="149">
        <f>(J22+1-START_DATE)/365</f>
        <v>4.4986301369863</v>
      </c>
      <c r="K23" s="149">
        <f>(K22+1-START_DATE)/365</f>
        <v>5.5013698630137</v>
      </c>
      <c r="L23" s="149">
        <f>(L22+1-START_DATE)/365</f>
        <v>6.5013698630137</v>
      </c>
      <c r="M23" s="149">
        <f>(M22+1-START_DATE)/365</f>
        <v>7.5013698630137</v>
      </c>
      <c r="N23" s="149">
        <f>(N22+1-START_DATE)/365</f>
        <v>8.5013698630137</v>
      </c>
      <c r="O23" s="149">
        <f>(O22+1-START_DATE)/365</f>
        <v>9.5041095890411</v>
      </c>
      <c r="P23" s="149">
        <f>(P22+1-START_DATE)/365</f>
        <v>10.5041095890411</v>
      </c>
      <c r="Q23" s="149">
        <f>(Q22+1-START_DATE)/365</f>
        <v>11.5041095890411</v>
      </c>
      <c r="R23" s="149">
        <f>(R22+1-START_DATE)/365</f>
        <v>12.5041095890411</v>
      </c>
    </row>
    <row r="24">
      <c r="B24" s="36" t="inlineStr">
        <is>
          <t>Period length</t>
        </is>
      </c>
      <c r="C24" s="117" t="inlineStr">
        <is>
          <t>years</t>
        </is>
      </c>
      <c r="D24" s="167">
        <f>SUM(E24:R24)</f>
        <v>12.5</v>
      </c>
      <c r="E24" s="149">
        <f>E15/12</f>
        <v>1</v>
      </c>
      <c r="F24" s="149">
        <f>F15/12</f>
        <v>1</v>
      </c>
      <c r="G24" s="149">
        <f>G15/12</f>
        <v>0.5</v>
      </c>
      <c r="H24" s="149">
        <f>H15/12</f>
        <v>0</v>
      </c>
      <c r="I24" s="149">
        <f>I15/12</f>
        <v>1</v>
      </c>
      <c r="J24" s="149">
        <f>J15/12</f>
        <v>1</v>
      </c>
      <c r="K24" s="149">
        <f>K15/12</f>
        <v>1</v>
      </c>
      <c r="L24" s="149">
        <f>L15/12</f>
        <v>1</v>
      </c>
      <c r="M24" s="149">
        <f>M15/12</f>
        <v>1</v>
      </c>
      <c r="N24" s="149">
        <f>N15/12</f>
        <v>1</v>
      </c>
      <c r="O24" s="149">
        <f>O15/12</f>
        <v>1</v>
      </c>
      <c r="P24" s="149">
        <f>P15/12</f>
        <v>1</v>
      </c>
      <c r="Q24" s="149">
        <f>Q15/12</f>
        <v>1</v>
      </c>
      <c r="R24" s="149">
        <f>R15/12</f>
        <v>1</v>
      </c>
    </row>
    <row r="25">
      <c r="B25" s="36" t="inlineStr">
        <is>
          <t>Gregorian year (period end)</t>
        </is>
      </c>
      <c r="C25" s="117" t="inlineStr"/>
      <c r="E25" s="36" t="str">
        <f>"GC "&amp;YEAR(E22)</f>
        <v>GC 2027</v>
      </c>
      <c r="F25" s="36" t="str">
        <f>"GC "&amp;YEAR(F22)</f>
        <v>GC 2028</v>
      </c>
      <c r="G25" s="36" t="str">
        <f>"GC "&amp;YEAR(G22)</f>
        <v>GC 2029</v>
      </c>
      <c r="H25" s="36" t="str">
        <f>"GC "&amp;YEAR(H22)</f>
        <v>GC 2029</v>
      </c>
      <c r="I25" s="36" t="str">
        <f>"GC "&amp;YEAR(I22)</f>
        <v>GC 2030</v>
      </c>
      <c r="J25" s="36" t="str">
        <f>"GC "&amp;YEAR(J22)</f>
        <v>GC 2031</v>
      </c>
      <c r="K25" s="36" t="str">
        <f>"GC "&amp;YEAR(K22)</f>
        <v>GC 2032</v>
      </c>
      <c r="L25" s="36" t="str">
        <f>"GC "&amp;YEAR(L22)</f>
        <v>GC 2033</v>
      </c>
      <c r="M25" s="36" t="str">
        <f>"GC "&amp;YEAR(M22)</f>
        <v>GC 2034</v>
      </c>
      <c r="N25" s="36" t="str">
        <f>"GC "&amp;YEAR(N22)</f>
        <v>GC 2035</v>
      </c>
      <c r="O25" s="36" t="str">
        <f>"GC "&amp;YEAR(O22)</f>
        <v>GC 2036</v>
      </c>
      <c r="P25" s="36" t="str">
        <f>"GC "&amp;YEAR(P22)</f>
        <v>GC 2037</v>
      </c>
      <c r="Q25" s="36" t="str">
        <f>"GC "&amp;YEAR(Q22)</f>
        <v>GC 2038</v>
      </c>
      <c r="R25" s="36" t="str">
        <f>"GC "&amp;YEAR(R22)</f>
        <v>GC 2039</v>
      </c>
    </row>
    <row r="26">
      <c r="B26" s="36" t="inlineStr">
        <is>
          <t>Ethiopian calendar year (period end)</t>
        </is>
      </c>
      <c r="C26" s="117" t="inlineStr"/>
      <c r="E26" s="36" t="str">
        <f>"EC "&amp;(YEAR(E22)-8+IF(E22&gt;=DATE(YEAR(E22),9,11),1,0))</f>
        <v>EC 2020</v>
      </c>
      <c r="F26" s="36" t="str">
        <f>"EC "&amp;(YEAR(F22)-8+IF(F22&gt;=DATE(YEAR(F22),9,11),1,0))</f>
        <v>EC 2021</v>
      </c>
      <c r="G26" s="36" t="str">
        <f>"EC "&amp;(YEAR(G22)-8+IF(G22&gt;=DATE(YEAR(G22),9,11),1,0))</f>
        <v>EC 2021</v>
      </c>
      <c r="H26" s="36" t="str">
        <f>"EC "&amp;(YEAR(H22)-8+IF(H22&gt;=DATE(YEAR(H22),9,11),1,0))</f>
        <v>EC 2021</v>
      </c>
      <c r="I26" s="36" t="str">
        <f>"EC "&amp;(YEAR(I22)-8+IF(I22&gt;=DATE(YEAR(I22),9,11),1,0))</f>
        <v>EC 2022</v>
      </c>
      <c r="J26" s="36" t="str">
        <f>"EC "&amp;(YEAR(J22)-8+IF(J22&gt;=DATE(YEAR(J22),9,11),1,0))</f>
        <v>EC 2023</v>
      </c>
      <c r="K26" s="36" t="str">
        <f>"EC "&amp;(YEAR(K22)-8+IF(K22&gt;=DATE(YEAR(K22),9,11),1,0))</f>
        <v>EC 2024</v>
      </c>
      <c r="L26" s="36" t="str">
        <f>"EC "&amp;(YEAR(L22)-8+IF(L22&gt;=DATE(YEAR(L22),9,11),1,0))</f>
        <v>EC 2025</v>
      </c>
      <c r="M26" s="36" t="str">
        <f>"EC "&amp;(YEAR(M22)-8+IF(M22&gt;=DATE(YEAR(M22),9,11),1,0))</f>
        <v>EC 2026</v>
      </c>
      <c r="N26" s="36" t="str">
        <f>"EC "&amp;(YEAR(N22)-8+IF(N22&gt;=DATE(YEAR(N22),9,11),1,0))</f>
        <v>EC 2027</v>
      </c>
      <c r="O26" s="36" t="str">
        <f>"EC "&amp;(YEAR(O22)-8+IF(O22&gt;=DATE(YEAR(O22),9,11),1,0))</f>
        <v>EC 2028</v>
      </c>
      <c r="P26" s="36" t="str">
        <f>"EC "&amp;(YEAR(P22)-8+IF(P22&gt;=DATE(YEAR(P22),9,11),1,0))</f>
        <v>EC 2029</v>
      </c>
      <c r="Q26" s="36" t="str">
        <f>"EC "&amp;(YEAR(Q22)-8+IF(Q22&gt;=DATE(YEAR(Q22),9,11),1,0))</f>
        <v>EC 2030</v>
      </c>
      <c r="R26" s="36" t="str">
        <f>"EC "&amp;(YEAR(R22)-8+IF(R22&gt;=DATE(YEAR(R22),9,11),1,0))</f>
        <v>EC 2031</v>
      </c>
    </row>
    <row r="27">
      <c r="B27" s="36" t="inlineStr">
        <is>
          <t>Discount factor @ project rate</t>
        </is>
      </c>
      <c r="C27" s="117" t="inlineStr">
        <is>
          <t>x</t>
        </is>
      </c>
      <c r="E27" s="149">
        <f>(1+DISC_EFF)^(-E23)</f>
        <v>0.847457627118644</v>
      </c>
      <c r="F27" s="149">
        <f>(1+DISC_EFF)^(-F23)</f>
        <v>0.717858832651789</v>
      </c>
      <c r="G27" s="149">
        <f>(1+DISC_EFF)^(-G23)</f>
        <v>0.661292276203346</v>
      </c>
      <c r="H27" s="149">
        <f>(1+DISC_EFF)^(-H23)</f>
        <v>0.661292276203346</v>
      </c>
      <c r="I27" s="149">
        <f>(1+DISC_EFF)^(-I23)</f>
        <v>0.560417183223174</v>
      </c>
      <c r="J27" s="149">
        <f>(1+DISC_EFF)^(-J23)</f>
        <v>0.474929816290826</v>
      </c>
      <c r="K27" s="149">
        <f>(1+DISC_EFF)^(-K23)</f>
        <v>0.402300424946592</v>
      </c>
      <c r="L27" s="149">
        <f>(1+DISC_EFF)^(-L23)</f>
        <v>0.340932563514061</v>
      </c>
      <c r="M27" s="149">
        <f>(1+DISC_EFF)^(-M23)</f>
        <v>0.288925901283102</v>
      </c>
      <c r="N27" s="149">
        <f>(1+DISC_EFF)^(-N23)</f>
        <v>0.244852458714494</v>
      </c>
      <c r="O27" s="149">
        <f>(1+DISC_EFF)^(-O23)</f>
        <v>0.207408010217954</v>
      </c>
      <c r="P27" s="149">
        <f>(1+DISC_EFF)^(-P23)</f>
        <v>0.175769500184707</v>
      </c>
      <c r="Q27" s="149">
        <f>(1+DISC_EFF)^(-Q23)</f>
        <v>0.148957203546362</v>
      </c>
      <c r="R27" s="149">
        <f>(1+DISC_EFF)^(-R23)</f>
        <v>0.126234918259628</v>
      </c>
    </row>
    <row r="28">
      <c r="B28" s="36" t="inlineStr">
        <is>
          <t>Discount factor @ cost of equity</t>
        </is>
      </c>
      <c r="C28" s="117" t="inlineStr">
        <is>
          <t>x</t>
        </is>
      </c>
      <c r="E28" s="149">
        <f>(1+COE_EFF)^(-E23)</f>
        <v>0.819672131147541</v>
      </c>
      <c r="F28" s="149">
        <f>(1+COE_EFF)^(-F23)</f>
        <v>0.671496473731253</v>
      </c>
      <c r="G28" s="149">
        <f>(1+COE_EFF)^(-G23)</f>
        <v>0.608441354457287</v>
      </c>
      <c r="H28" s="149">
        <f>(1+COE_EFF)^(-H23)</f>
        <v>0.608441354457287</v>
      </c>
      <c r="I28" s="149">
        <f>(1+COE_EFF)^(-I23)</f>
        <v>0.498722421686301</v>
      </c>
      <c r="J28" s="149">
        <f>(1+COE_EFF)^(-J23)</f>
        <v>0.408788870234673</v>
      </c>
      <c r="K28" s="149">
        <f>(1+COE_EFF)^(-K23)</f>
        <v>0.334890347533062</v>
      </c>
      <c r="L28" s="149">
        <f>(1+COE_EFF)^(-L23)</f>
        <v>0.274500284863165</v>
      </c>
      <c r="M28" s="149">
        <f>(1+COE_EFF)^(-M23)</f>
        <v>0.225000233494398</v>
      </c>
      <c r="N28" s="149">
        <f>(1+COE_EFF)^(-N23)</f>
        <v>0.184426420897047</v>
      </c>
      <c r="O28" s="149">
        <f>(1+COE_EFF)^(-O23)</f>
        <v>0.151086863380197</v>
      </c>
      <c r="P28" s="149">
        <f>(1+COE_EFF)^(-P23)</f>
        <v>0.123841691295243</v>
      </c>
      <c r="Q28" s="149">
        <f>(1+COE_EFF)^(-Q23)</f>
        <v>0.101509583028888</v>
      </c>
      <c r="R28" s="149">
        <f>(1+COE_EFF)^(-R23)</f>
        <v>0.0832045762531867</v>
      </c>
    </row>
    <row r="30" ht="20" customHeight="1">
      <c r="B30" s="113" t="inlineStr">
        <is>
          <t>Key timing scalars</t>
        </is>
      </c>
      <c r="C30" s="37" t="inlineStr">
        <is>
          <t>ቁልፍ የጊዜ መረጃዎች</t>
        </is>
      </c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</row>
    <row r="31">
      <c r="B31" s="36" t="inlineStr">
        <is>
          <t>Operating horizon (fixed design horizon)</t>
        </is>
      </c>
      <c r="C31" s="117" t="inlineStr">
        <is>
          <t>years</t>
        </is>
      </c>
      <c r="D31" s="148" t="n">
        <v>10</v>
      </c>
      <c r="E31" s="8" t="inlineStr">
        <is>
          <t>Statements always show C1–C4 + O1–O10</t>
        </is>
      </c>
    </row>
    <row r="32">
      <c r="B32" s="36" t="inlineStr">
        <is>
          <t>Number of construction periods used</t>
        </is>
      </c>
      <c r="C32" s="117" t="inlineStr">
        <is>
          <t>no.</t>
        </is>
      </c>
      <c r="D32" s="148">
        <f>ROUNDUP(CONSTR_EFF/12,0)</f>
        <v>3</v>
      </c>
    </row>
    <row r="33">
      <c r="B33" s="36" t="inlineStr">
        <is>
          <t>Completion (COD) date</t>
        </is>
      </c>
      <c r="C33" s="117" t="inlineStr">
        <is>
          <t>date</t>
        </is>
      </c>
      <c r="D33" s="166">
        <f>EDATE(START_DATE,CONSTR_EFF)-1</f>
        <v>47299.0</v>
      </c>
    </row>
    <row r="34">
      <c r="B34" s="36" t="inlineStr">
        <is>
          <t>End of operating horizon (O10)</t>
        </is>
      </c>
      <c r="C34" s="117" t="inlineStr">
        <is>
          <t>date</t>
        </is>
      </c>
      <c r="D34" s="166">
        <f>EDATE(START_DATE,CONSTR_EFF+12*OPS_YEARS)-1</f>
        <v>50951.0</v>
      </c>
    </row>
    <row r="36" ht="20" customHeight="1">
      <c r="B36" s="113" t="inlineStr">
        <is>
          <t>Monthly timeline (construction up to 48 months + 240 months of loan life)</t>
        </is>
      </c>
      <c r="C36" s="37" t="inlineStr">
        <is>
          <t>ወርሃዊ የጊዜ ሰሌዳ</t>
        </is>
      </c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</row>
    <row r="37">
      <c r="B37" s="36" t="inlineStr">
        <is>
          <t>Month index t</t>
        </is>
      </c>
      <c r="C37" s="117" t="inlineStr">
        <is>
          <t>no.</t>
        </is>
      </c>
      <c r="E37" s="148" t="n">
        <v>1</v>
      </c>
      <c r="F37" s="148" t="n">
        <v>2</v>
      </c>
      <c r="G37" s="148" t="n">
        <v>3</v>
      </c>
      <c r="H37" s="148" t="n">
        <v>4</v>
      </c>
      <c r="I37" s="148" t="n">
        <v>5</v>
      </c>
      <c r="J37" s="148" t="n">
        <v>6</v>
      </c>
      <c r="K37" s="148" t="n">
        <v>7</v>
      </c>
      <c r="L37" s="148" t="n">
        <v>8</v>
      </c>
      <c r="M37" s="148" t="n">
        <v>9</v>
      </c>
      <c r="N37" s="148" t="n">
        <v>10</v>
      </c>
      <c r="O37" s="148" t="n">
        <v>11</v>
      </c>
      <c r="P37" s="148" t="n">
        <v>12</v>
      </c>
      <c r="Q37" s="148" t="n">
        <v>13</v>
      </c>
      <c r="R37" s="148" t="n">
        <v>14</v>
      </c>
      <c r="S37" s="148" t="n">
        <v>15</v>
      </c>
      <c r="T37" s="148" t="n">
        <v>16</v>
      </c>
      <c r="U37" s="148" t="n">
        <v>17</v>
      </c>
      <c r="V37" s="148" t="n">
        <v>18</v>
      </c>
      <c r="W37" s="148" t="n">
        <v>19</v>
      </c>
      <c r="X37" s="148" t="n">
        <v>20</v>
      </c>
      <c r="Y37" s="148" t="n">
        <v>21</v>
      </c>
      <c r="Z37" s="148" t="n">
        <v>22</v>
      </c>
      <c r="AA37" s="148" t="n">
        <v>23</v>
      </c>
      <c r="AB37" s="148" t="n">
        <v>24</v>
      </c>
      <c r="AC37" s="148" t="n">
        <v>25</v>
      </c>
      <c r="AD37" s="148" t="n">
        <v>26</v>
      </c>
      <c r="AE37" s="148" t="n">
        <v>27</v>
      </c>
      <c r="AF37" s="148" t="n">
        <v>28</v>
      </c>
      <c r="AG37" s="148" t="n">
        <v>29</v>
      </c>
      <c r="AH37" s="148" t="n">
        <v>30</v>
      </c>
      <c r="AI37" s="148" t="n">
        <v>31</v>
      </c>
      <c r="AJ37" s="148" t="n">
        <v>32</v>
      </c>
      <c r="AK37" s="148" t="n">
        <v>33</v>
      </c>
      <c r="AL37" s="148" t="n">
        <v>34</v>
      </c>
      <c r="AM37" s="148" t="n">
        <v>35</v>
      </c>
      <c r="AN37" s="148" t="n">
        <v>36</v>
      </c>
      <c r="AO37" s="148" t="n">
        <v>37</v>
      </c>
      <c r="AP37" s="148" t="n">
        <v>38</v>
      </c>
      <c r="AQ37" s="148" t="n">
        <v>39</v>
      </c>
      <c r="AR37" s="148" t="n">
        <v>40</v>
      </c>
      <c r="AS37" s="148" t="n">
        <v>41</v>
      </c>
      <c r="AT37" s="148" t="n">
        <v>42</v>
      </c>
      <c r="AU37" s="148" t="n">
        <v>43</v>
      </c>
      <c r="AV37" s="148" t="n">
        <v>44</v>
      </c>
      <c r="AW37" s="148" t="n">
        <v>45</v>
      </c>
      <c r="AX37" s="148" t="n">
        <v>46</v>
      </c>
      <c r="AY37" s="148" t="n">
        <v>47</v>
      </c>
      <c r="AZ37" s="148" t="n">
        <v>48</v>
      </c>
      <c r="BA37" s="148" t="n">
        <v>49</v>
      </c>
      <c r="BB37" s="148" t="n">
        <v>50</v>
      </c>
      <c r="BC37" s="148" t="n">
        <v>51</v>
      </c>
      <c r="BD37" s="148" t="n">
        <v>52</v>
      </c>
      <c r="BE37" s="148" t="n">
        <v>53</v>
      </c>
      <c r="BF37" s="148" t="n">
        <v>54</v>
      </c>
      <c r="BG37" s="148" t="n">
        <v>55</v>
      </c>
      <c r="BH37" s="148" t="n">
        <v>56</v>
      </c>
      <c r="BI37" s="148" t="n">
        <v>57</v>
      </c>
      <c r="BJ37" s="148" t="n">
        <v>58</v>
      </c>
      <c r="BK37" s="148" t="n">
        <v>59</v>
      </c>
      <c r="BL37" s="148" t="n">
        <v>60</v>
      </c>
      <c r="BM37" s="148" t="n">
        <v>61</v>
      </c>
      <c r="BN37" s="148" t="n">
        <v>62</v>
      </c>
      <c r="BO37" s="148" t="n">
        <v>63</v>
      </c>
      <c r="BP37" s="148" t="n">
        <v>64</v>
      </c>
      <c r="BQ37" s="148" t="n">
        <v>65</v>
      </c>
      <c r="BR37" s="148" t="n">
        <v>66</v>
      </c>
      <c r="BS37" s="148" t="n">
        <v>67</v>
      </c>
      <c r="BT37" s="148" t="n">
        <v>68</v>
      </c>
      <c r="BU37" s="148" t="n">
        <v>69</v>
      </c>
      <c r="BV37" s="148" t="n">
        <v>70</v>
      </c>
      <c r="BW37" s="148" t="n">
        <v>71</v>
      </c>
      <c r="BX37" s="148" t="n">
        <v>72</v>
      </c>
      <c r="BY37" s="148" t="n">
        <v>73</v>
      </c>
      <c r="BZ37" s="148" t="n">
        <v>74</v>
      </c>
      <c r="CA37" s="148" t="n">
        <v>75</v>
      </c>
      <c r="CB37" s="148" t="n">
        <v>76</v>
      </c>
      <c r="CC37" s="148" t="n">
        <v>77</v>
      </c>
      <c r="CD37" s="148" t="n">
        <v>78</v>
      </c>
      <c r="CE37" s="148" t="n">
        <v>79</v>
      </c>
      <c r="CF37" s="148" t="n">
        <v>80</v>
      </c>
      <c r="CG37" s="148" t="n">
        <v>81</v>
      </c>
      <c r="CH37" s="148" t="n">
        <v>82</v>
      </c>
      <c r="CI37" s="148" t="n">
        <v>83</v>
      </c>
      <c r="CJ37" s="148" t="n">
        <v>84</v>
      </c>
      <c r="CK37" s="148" t="n">
        <v>85</v>
      </c>
      <c r="CL37" s="148" t="n">
        <v>86</v>
      </c>
      <c r="CM37" s="148" t="n">
        <v>87</v>
      </c>
      <c r="CN37" s="148" t="n">
        <v>88</v>
      </c>
      <c r="CO37" s="148" t="n">
        <v>89</v>
      </c>
      <c r="CP37" s="148" t="n">
        <v>90</v>
      </c>
      <c r="CQ37" s="148" t="n">
        <v>91</v>
      </c>
      <c r="CR37" s="148" t="n">
        <v>92</v>
      </c>
      <c r="CS37" s="148" t="n">
        <v>93</v>
      </c>
      <c r="CT37" s="148" t="n">
        <v>94</v>
      </c>
      <c r="CU37" s="148" t="n">
        <v>95</v>
      </c>
      <c r="CV37" s="148" t="n">
        <v>96</v>
      </c>
      <c r="CW37" s="148" t="n">
        <v>97</v>
      </c>
      <c r="CX37" s="148" t="n">
        <v>98</v>
      </c>
      <c r="CY37" s="148" t="n">
        <v>99</v>
      </c>
      <c r="CZ37" s="148" t="n">
        <v>100</v>
      </c>
      <c r="DA37" s="148" t="n">
        <v>101</v>
      </c>
      <c r="DB37" s="148" t="n">
        <v>102</v>
      </c>
      <c r="DC37" s="148" t="n">
        <v>103</v>
      </c>
      <c r="DD37" s="148" t="n">
        <v>104</v>
      </c>
      <c r="DE37" s="148" t="n">
        <v>105</v>
      </c>
      <c r="DF37" s="148" t="n">
        <v>106</v>
      </c>
      <c r="DG37" s="148" t="n">
        <v>107</v>
      </c>
      <c r="DH37" s="148" t="n">
        <v>108</v>
      </c>
      <c r="DI37" s="148" t="n">
        <v>109</v>
      </c>
      <c r="DJ37" s="148" t="n">
        <v>110</v>
      </c>
      <c r="DK37" s="148" t="n">
        <v>111</v>
      </c>
      <c r="DL37" s="148" t="n">
        <v>112</v>
      </c>
      <c r="DM37" s="148" t="n">
        <v>113</v>
      </c>
      <c r="DN37" s="148" t="n">
        <v>114</v>
      </c>
      <c r="DO37" s="148" t="n">
        <v>115</v>
      </c>
      <c r="DP37" s="148" t="n">
        <v>116</v>
      </c>
      <c r="DQ37" s="148" t="n">
        <v>117</v>
      </c>
      <c r="DR37" s="148" t="n">
        <v>118</v>
      </c>
      <c r="DS37" s="148" t="n">
        <v>119</v>
      </c>
      <c r="DT37" s="148" t="n">
        <v>120</v>
      </c>
      <c r="DU37" s="148" t="n">
        <v>121</v>
      </c>
      <c r="DV37" s="148" t="n">
        <v>122</v>
      </c>
      <c r="DW37" s="148" t="n">
        <v>123</v>
      </c>
      <c r="DX37" s="148" t="n">
        <v>124</v>
      </c>
      <c r="DY37" s="148" t="n">
        <v>125</v>
      </c>
      <c r="DZ37" s="148" t="n">
        <v>126</v>
      </c>
      <c r="EA37" s="148" t="n">
        <v>127</v>
      </c>
      <c r="EB37" s="148" t="n">
        <v>128</v>
      </c>
      <c r="EC37" s="148" t="n">
        <v>129</v>
      </c>
      <c r="ED37" s="148" t="n">
        <v>130</v>
      </c>
      <c r="EE37" s="148" t="n">
        <v>131</v>
      </c>
      <c r="EF37" s="148" t="n">
        <v>132</v>
      </c>
      <c r="EG37" s="148" t="n">
        <v>133</v>
      </c>
      <c r="EH37" s="148" t="n">
        <v>134</v>
      </c>
      <c r="EI37" s="148" t="n">
        <v>135</v>
      </c>
      <c r="EJ37" s="148" t="n">
        <v>136</v>
      </c>
      <c r="EK37" s="148" t="n">
        <v>137</v>
      </c>
      <c r="EL37" s="148" t="n">
        <v>138</v>
      </c>
      <c r="EM37" s="148" t="n">
        <v>139</v>
      </c>
      <c r="EN37" s="148" t="n">
        <v>140</v>
      </c>
      <c r="EO37" s="148" t="n">
        <v>141</v>
      </c>
      <c r="EP37" s="148" t="n">
        <v>142</v>
      </c>
      <c r="EQ37" s="148" t="n">
        <v>143</v>
      </c>
      <c r="ER37" s="148" t="n">
        <v>144</v>
      </c>
      <c r="ES37" s="148" t="n">
        <v>145</v>
      </c>
      <c r="ET37" s="148" t="n">
        <v>146</v>
      </c>
      <c r="EU37" s="148" t="n">
        <v>147</v>
      </c>
      <c r="EV37" s="148" t="n">
        <v>148</v>
      </c>
      <c r="EW37" s="148" t="n">
        <v>149</v>
      </c>
      <c r="EX37" s="148" t="n">
        <v>150</v>
      </c>
      <c r="EY37" s="148" t="n">
        <v>151</v>
      </c>
      <c r="EZ37" s="148" t="n">
        <v>152</v>
      </c>
      <c r="FA37" s="148" t="n">
        <v>153</v>
      </c>
      <c r="FB37" s="148" t="n">
        <v>154</v>
      </c>
      <c r="FC37" s="148" t="n">
        <v>155</v>
      </c>
      <c r="FD37" s="148" t="n">
        <v>156</v>
      </c>
      <c r="FE37" s="148" t="n">
        <v>157</v>
      </c>
      <c r="FF37" s="148" t="n">
        <v>158</v>
      </c>
      <c r="FG37" s="148" t="n">
        <v>159</v>
      </c>
      <c r="FH37" s="148" t="n">
        <v>160</v>
      </c>
      <c r="FI37" s="148" t="n">
        <v>161</v>
      </c>
      <c r="FJ37" s="148" t="n">
        <v>162</v>
      </c>
      <c r="FK37" s="148" t="n">
        <v>163</v>
      </c>
      <c r="FL37" s="148" t="n">
        <v>164</v>
      </c>
      <c r="FM37" s="148" t="n">
        <v>165</v>
      </c>
      <c r="FN37" s="148" t="n">
        <v>166</v>
      </c>
      <c r="FO37" s="148" t="n">
        <v>167</v>
      </c>
      <c r="FP37" s="148" t="n">
        <v>168</v>
      </c>
      <c r="FQ37" s="148" t="n">
        <v>169</v>
      </c>
      <c r="FR37" s="148" t="n">
        <v>170</v>
      </c>
      <c r="FS37" s="148" t="n">
        <v>171</v>
      </c>
      <c r="FT37" s="148" t="n">
        <v>172</v>
      </c>
      <c r="FU37" s="148" t="n">
        <v>173</v>
      </c>
      <c r="FV37" s="148" t="n">
        <v>174</v>
      </c>
      <c r="FW37" s="148" t="n">
        <v>175</v>
      </c>
      <c r="FX37" s="148" t="n">
        <v>176</v>
      </c>
      <c r="FY37" s="148" t="n">
        <v>177</v>
      </c>
      <c r="FZ37" s="148" t="n">
        <v>178</v>
      </c>
      <c r="GA37" s="148" t="n">
        <v>179</v>
      </c>
      <c r="GB37" s="148" t="n">
        <v>180</v>
      </c>
      <c r="GC37" s="148" t="n">
        <v>181</v>
      </c>
      <c r="GD37" s="148" t="n">
        <v>182</v>
      </c>
      <c r="GE37" s="148" t="n">
        <v>183</v>
      </c>
      <c r="GF37" s="148" t="n">
        <v>184</v>
      </c>
      <c r="GG37" s="148" t="n">
        <v>185</v>
      </c>
      <c r="GH37" s="148" t="n">
        <v>186</v>
      </c>
      <c r="GI37" s="148" t="n">
        <v>187</v>
      </c>
      <c r="GJ37" s="148" t="n">
        <v>188</v>
      </c>
      <c r="GK37" s="148" t="n">
        <v>189</v>
      </c>
      <c r="GL37" s="148" t="n">
        <v>190</v>
      </c>
      <c r="GM37" s="148" t="n">
        <v>191</v>
      </c>
      <c r="GN37" s="148" t="n">
        <v>192</v>
      </c>
      <c r="GO37" s="148" t="n">
        <v>193</v>
      </c>
      <c r="GP37" s="148" t="n">
        <v>194</v>
      </c>
      <c r="GQ37" s="148" t="n">
        <v>195</v>
      </c>
      <c r="GR37" s="148" t="n">
        <v>196</v>
      </c>
      <c r="GS37" s="148" t="n">
        <v>197</v>
      </c>
      <c r="GT37" s="148" t="n">
        <v>198</v>
      </c>
      <c r="GU37" s="148" t="n">
        <v>199</v>
      </c>
      <c r="GV37" s="148" t="n">
        <v>200</v>
      </c>
      <c r="GW37" s="148" t="n">
        <v>201</v>
      </c>
      <c r="GX37" s="148" t="n">
        <v>202</v>
      </c>
      <c r="GY37" s="148" t="n">
        <v>203</v>
      </c>
      <c r="GZ37" s="148" t="n">
        <v>204</v>
      </c>
      <c r="HA37" s="148" t="n">
        <v>205</v>
      </c>
      <c r="HB37" s="148" t="n">
        <v>206</v>
      </c>
      <c r="HC37" s="148" t="n">
        <v>207</v>
      </c>
      <c r="HD37" s="148" t="n">
        <v>208</v>
      </c>
      <c r="HE37" s="148" t="n">
        <v>209</v>
      </c>
      <c r="HF37" s="148" t="n">
        <v>210</v>
      </c>
      <c r="HG37" s="148" t="n">
        <v>211</v>
      </c>
      <c r="HH37" s="148" t="n">
        <v>212</v>
      </c>
      <c r="HI37" s="148" t="n">
        <v>213</v>
      </c>
      <c r="HJ37" s="148" t="n">
        <v>214</v>
      </c>
      <c r="HK37" s="148" t="n">
        <v>215</v>
      </c>
      <c r="HL37" s="148" t="n">
        <v>216</v>
      </c>
      <c r="HM37" s="148" t="n">
        <v>217</v>
      </c>
      <c r="HN37" s="148" t="n">
        <v>218</v>
      </c>
      <c r="HO37" s="148" t="n">
        <v>219</v>
      </c>
      <c r="HP37" s="148" t="n">
        <v>220</v>
      </c>
      <c r="HQ37" s="148" t="n">
        <v>221</v>
      </c>
      <c r="HR37" s="148" t="n">
        <v>222</v>
      </c>
      <c r="HS37" s="148" t="n">
        <v>223</v>
      </c>
      <c r="HT37" s="148" t="n">
        <v>224</v>
      </c>
      <c r="HU37" s="148" t="n">
        <v>225</v>
      </c>
      <c r="HV37" s="148" t="n">
        <v>226</v>
      </c>
      <c r="HW37" s="148" t="n">
        <v>227</v>
      </c>
      <c r="HX37" s="148" t="n">
        <v>228</v>
      </c>
      <c r="HY37" s="148" t="n">
        <v>229</v>
      </c>
      <c r="HZ37" s="148" t="n">
        <v>230</v>
      </c>
      <c r="IA37" s="148" t="n">
        <v>231</v>
      </c>
      <c r="IB37" s="148" t="n">
        <v>232</v>
      </c>
      <c r="IC37" s="148" t="n">
        <v>233</v>
      </c>
      <c r="ID37" s="148" t="n">
        <v>234</v>
      </c>
      <c r="IE37" s="148" t="n">
        <v>235</v>
      </c>
      <c r="IF37" s="148" t="n">
        <v>236</v>
      </c>
      <c r="IG37" s="148" t="n">
        <v>237</v>
      </c>
      <c r="IH37" s="148" t="n">
        <v>238</v>
      </c>
      <c r="II37" s="148" t="n">
        <v>239</v>
      </c>
      <c r="IJ37" s="148" t="n">
        <v>240</v>
      </c>
      <c r="IK37" s="148" t="n">
        <v>241</v>
      </c>
      <c r="IL37" s="148" t="n">
        <v>242</v>
      </c>
      <c r="IM37" s="148" t="n">
        <v>243</v>
      </c>
      <c r="IN37" s="148" t="n">
        <v>244</v>
      </c>
      <c r="IO37" s="148" t="n">
        <v>245</v>
      </c>
      <c r="IP37" s="148" t="n">
        <v>246</v>
      </c>
      <c r="IQ37" s="148" t="n">
        <v>247</v>
      </c>
      <c r="IR37" s="148" t="n">
        <v>248</v>
      </c>
      <c r="IS37" s="148" t="n">
        <v>249</v>
      </c>
      <c r="IT37" s="148" t="n">
        <v>250</v>
      </c>
      <c r="IU37" s="148" t="n">
        <v>251</v>
      </c>
      <c r="IV37" s="148" t="n">
        <v>252</v>
      </c>
      <c r="IW37" s="148" t="n">
        <v>253</v>
      </c>
      <c r="IX37" s="148" t="n">
        <v>254</v>
      </c>
      <c r="IY37" s="148" t="n">
        <v>255</v>
      </c>
      <c r="IZ37" s="148" t="n">
        <v>256</v>
      </c>
      <c r="JA37" s="148" t="n">
        <v>257</v>
      </c>
      <c r="JB37" s="148" t="n">
        <v>258</v>
      </c>
      <c r="JC37" s="148" t="n">
        <v>259</v>
      </c>
      <c r="JD37" s="148" t="n">
        <v>260</v>
      </c>
      <c r="JE37" s="148" t="n">
        <v>261</v>
      </c>
      <c r="JF37" s="148" t="n">
        <v>262</v>
      </c>
      <c r="JG37" s="148" t="n">
        <v>263</v>
      </c>
      <c r="JH37" s="148" t="n">
        <v>264</v>
      </c>
      <c r="JI37" s="148" t="n">
        <v>265</v>
      </c>
      <c r="JJ37" s="148" t="n">
        <v>266</v>
      </c>
      <c r="JK37" s="148" t="n">
        <v>267</v>
      </c>
      <c r="JL37" s="148" t="n">
        <v>268</v>
      </c>
      <c r="JM37" s="148" t="n">
        <v>269</v>
      </c>
      <c r="JN37" s="148" t="n">
        <v>270</v>
      </c>
      <c r="JO37" s="148" t="n">
        <v>271</v>
      </c>
      <c r="JP37" s="148" t="n">
        <v>272</v>
      </c>
      <c r="JQ37" s="148" t="n">
        <v>273</v>
      </c>
      <c r="JR37" s="148" t="n">
        <v>274</v>
      </c>
      <c r="JS37" s="148" t="n">
        <v>275</v>
      </c>
      <c r="JT37" s="148" t="n">
        <v>276</v>
      </c>
      <c r="JU37" s="148" t="n">
        <v>277</v>
      </c>
      <c r="JV37" s="148" t="n">
        <v>278</v>
      </c>
      <c r="JW37" s="148" t="n">
        <v>279</v>
      </c>
      <c r="JX37" s="148" t="n">
        <v>280</v>
      </c>
      <c r="JY37" s="148" t="n">
        <v>281</v>
      </c>
      <c r="JZ37" s="148" t="n">
        <v>282</v>
      </c>
      <c r="KA37" s="148" t="n">
        <v>283</v>
      </c>
      <c r="KB37" s="148" t="n">
        <v>284</v>
      </c>
      <c r="KC37" s="148" t="n">
        <v>285</v>
      </c>
      <c r="KD37" s="148" t="n">
        <v>286</v>
      </c>
      <c r="KE37" s="148" t="n">
        <v>287</v>
      </c>
      <c r="KF37" s="148" t="n">
        <v>288</v>
      </c>
    </row>
    <row r="38">
      <c r="B38" s="36" t="inlineStr">
        <is>
          <t>Month start date</t>
        </is>
      </c>
      <c r="C38" s="117" t="inlineStr">
        <is>
          <t>date</t>
        </is>
      </c>
      <c r="E38" s="168">
        <f>EDATE(START_DATE,E37-1)</f>
        <v>46388.0</v>
      </c>
      <c r="F38" s="168">
        <f>EDATE(START_DATE,F37-1)</f>
        <v>46419.0</v>
      </c>
      <c r="G38" s="168">
        <f>EDATE(START_DATE,G37-1)</f>
        <v>46447.0</v>
      </c>
      <c r="H38" s="168">
        <f>EDATE(START_DATE,H37-1)</f>
        <v>46478.0</v>
      </c>
      <c r="I38" s="168">
        <f>EDATE(START_DATE,I37-1)</f>
        <v>46508.0</v>
      </c>
      <c r="J38" s="168">
        <f>EDATE(START_DATE,J37-1)</f>
        <v>46539.0</v>
      </c>
      <c r="K38" s="168">
        <f>EDATE(START_DATE,K37-1)</f>
        <v>46569.0</v>
      </c>
      <c r="L38" s="168">
        <f>EDATE(START_DATE,L37-1)</f>
        <v>46600.0</v>
      </c>
      <c r="M38" s="168">
        <f>EDATE(START_DATE,M37-1)</f>
        <v>46631.0</v>
      </c>
      <c r="N38" s="168">
        <f>EDATE(START_DATE,N37-1)</f>
        <v>46661.0</v>
      </c>
      <c r="O38" s="168">
        <f>EDATE(START_DATE,O37-1)</f>
        <v>46692.0</v>
      </c>
      <c r="P38" s="168">
        <f>EDATE(START_DATE,P37-1)</f>
        <v>46722.0</v>
      </c>
      <c r="Q38" s="168">
        <f>EDATE(START_DATE,Q37-1)</f>
        <v>46753.0</v>
      </c>
      <c r="R38" s="168">
        <f>EDATE(START_DATE,R37-1)</f>
        <v>46784.0</v>
      </c>
      <c r="S38" s="168">
        <f>EDATE(START_DATE,S37-1)</f>
        <v>46813.0</v>
      </c>
      <c r="T38" s="168">
        <f>EDATE(START_DATE,T37-1)</f>
        <v>46844.0</v>
      </c>
      <c r="U38" s="168">
        <f>EDATE(START_DATE,U37-1)</f>
        <v>46874.0</v>
      </c>
      <c r="V38" s="168">
        <f>EDATE(START_DATE,V37-1)</f>
        <v>46905.0</v>
      </c>
      <c r="W38" s="168">
        <f>EDATE(START_DATE,W37-1)</f>
        <v>46935.0</v>
      </c>
      <c r="X38" s="168">
        <f>EDATE(START_DATE,X37-1)</f>
        <v>46966.0</v>
      </c>
      <c r="Y38" s="168">
        <f>EDATE(START_DATE,Y37-1)</f>
        <v>46997.0</v>
      </c>
      <c r="Z38" s="168">
        <f>EDATE(START_DATE,Z37-1)</f>
        <v>47027.0</v>
      </c>
      <c r="AA38" s="168">
        <f>EDATE(START_DATE,AA37-1)</f>
        <v>47058.0</v>
      </c>
      <c r="AB38" s="168">
        <f>EDATE(START_DATE,AB37-1)</f>
        <v>47088.0</v>
      </c>
      <c r="AC38" s="168">
        <f>EDATE(START_DATE,AC37-1)</f>
        <v>47119.0</v>
      </c>
      <c r="AD38" s="168">
        <f>EDATE(START_DATE,AD37-1)</f>
        <v>47150.0</v>
      </c>
      <c r="AE38" s="168">
        <f>EDATE(START_DATE,AE37-1)</f>
        <v>47178.0</v>
      </c>
      <c r="AF38" s="168">
        <f>EDATE(START_DATE,AF37-1)</f>
        <v>47209.0</v>
      </c>
      <c r="AG38" s="168">
        <f>EDATE(START_DATE,AG37-1)</f>
        <v>47239.0</v>
      </c>
      <c r="AH38" s="168">
        <f>EDATE(START_DATE,AH37-1)</f>
        <v>47270.0</v>
      </c>
      <c r="AI38" s="168">
        <f>EDATE(START_DATE,AI37-1)</f>
        <v>47300.0</v>
      </c>
      <c r="AJ38" s="168">
        <f>EDATE(START_DATE,AJ37-1)</f>
        <v>47331.0</v>
      </c>
      <c r="AK38" s="168">
        <f>EDATE(START_DATE,AK37-1)</f>
        <v>47362.0</v>
      </c>
      <c r="AL38" s="168">
        <f>EDATE(START_DATE,AL37-1)</f>
        <v>47392.0</v>
      </c>
      <c r="AM38" s="168">
        <f>EDATE(START_DATE,AM37-1)</f>
        <v>47423.0</v>
      </c>
      <c r="AN38" s="168">
        <f>EDATE(START_DATE,AN37-1)</f>
        <v>47453.0</v>
      </c>
      <c r="AO38" s="168">
        <f>EDATE(START_DATE,AO37-1)</f>
        <v>47484.0</v>
      </c>
      <c r="AP38" s="168">
        <f>EDATE(START_DATE,AP37-1)</f>
        <v>47515.0</v>
      </c>
      <c r="AQ38" s="168">
        <f>EDATE(START_DATE,AQ37-1)</f>
        <v>47543.0</v>
      </c>
      <c r="AR38" s="168">
        <f>EDATE(START_DATE,AR37-1)</f>
        <v>47574.0</v>
      </c>
      <c r="AS38" s="168">
        <f>EDATE(START_DATE,AS37-1)</f>
        <v>47604.0</v>
      </c>
      <c r="AT38" s="168">
        <f>EDATE(START_DATE,AT37-1)</f>
        <v>47635.0</v>
      </c>
      <c r="AU38" s="168">
        <f>EDATE(START_DATE,AU37-1)</f>
        <v>47665.0</v>
      </c>
      <c r="AV38" s="168">
        <f>EDATE(START_DATE,AV37-1)</f>
        <v>47696.0</v>
      </c>
      <c r="AW38" s="168">
        <f>EDATE(START_DATE,AW37-1)</f>
        <v>47727.0</v>
      </c>
      <c r="AX38" s="168">
        <f>EDATE(START_DATE,AX37-1)</f>
        <v>47757.0</v>
      </c>
      <c r="AY38" s="168">
        <f>EDATE(START_DATE,AY37-1)</f>
        <v>47788.0</v>
      </c>
      <c r="AZ38" s="168">
        <f>EDATE(START_DATE,AZ37-1)</f>
        <v>47818.0</v>
      </c>
      <c r="BA38" s="168">
        <f>EDATE(START_DATE,BA37-1)</f>
        <v>47849.0</v>
      </c>
      <c r="BB38" s="168">
        <f>EDATE(START_DATE,BB37-1)</f>
        <v>47880.0</v>
      </c>
      <c r="BC38" s="168">
        <f>EDATE(START_DATE,BC37-1)</f>
        <v>47908.0</v>
      </c>
      <c r="BD38" s="168">
        <f>EDATE(START_DATE,BD37-1)</f>
        <v>47939.0</v>
      </c>
      <c r="BE38" s="168">
        <f>EDATE(START_DATE,BE37-1)</f>
        <v>47969.0</v>
      </c>
      <c r="BF38" s="168">
        <f>EDATE(START_DATE,BF37-1)</f>
        <v>48000.0</v>
      </c>
      <c r="BG38" s="168">
        <f>EDATE(START_DATE,BG37-1)</f>
        <v>48030.0</v>
      </c>
      <c r="BH38" s="168">
        <f>EDATE(START_DATE,BH37-1)</f>
        <v>48061.0</v>
      </c>
      <c r="BI38" s="168">
        <f>EDATE(START_DATE,BI37-1)</f>
        <v>48092.0</v>
      </c>
      <c r="BJ38" s="168">
        <f>EDATE(START_DATE,BJ37-1)</f>
        <v>48122.0</v>
      </c>
      <c r="BK38" s="168">
        <f>EDATE(START_DATE,BK37-1)</f>
        <v>48153.0</v>
      </c>
      <c r="BL38" s="168">
        <f>EDATE(START_DATE,BL37-1)</f>
        <v>48183.0</v>
      </c>
      <c r="BM38" s="168">
        <f>EDATE(START_DATE,BM37-1)</f>
        <v>48214.0</v>
      </c>
      <c r="BN38" s="168">
        <f>EDATE(START_DATE,BN37-1)</f>
        <v>48245.0</v>
      </c>
      <c r="BO38" s="168">
        <f>EDATE(START_DATE,BO37-1)</f>
        <v>48274.0</v>
      </c>
      <c r="BP38" s="168">
        <f>EDATE(START_DATE,BP37-1)</f>
        <v>48305.0</v>
      </c>
      <c r="BQ38" s="168">
        <f>EDATE(START_DATE,BQ37-1)</f>
        <v>48335.0</v>
      </c>
      <c r="BR38" s="168">
        <f>EDATE(START_DATE,BR37-1)</f>
        <v>48366.0</v>
      </c>
      <c r="BS38" s="168">
        <f>EDATE(START_DATE,BS37-1)</f>
        <v>48396.0</v>
      </c>
      <c r="BT38" s="168">
        <f>EDATE(START_DATE,BT37-1)</f>
        <v>48427.0</v>
      </c>
      <c r="BU38" s="168">
        <f>EDATE(START_DATE,BU37-1)</f>
        <v>48458.0</v>
      </c>
      <c r="BV38" s="168">
        <f>EDATE(START_DATE,BV37-1)</f>
        <v>48488.0</v>
      </c>
      <c r="BW38" s="168">
        <f>EDATE(START_DATE,BW37-1)</f>
        <v>48519.0</v>
      </c>
      <c r="BX38" s="168">
        <f>EDATE(START_DATE,BX37-1)</f>
        <v>48549.0</v>
      </c>
      <c r="BY38" s="168">
        <f>EDATE(START_DATE,BY37-1)</f>
        <v>48580.0</v>
      </c>
      <c r="BZ38" s="168">
        <f>EDATE(START_DATE,BZ37-1)</f>
        <v>48611.0</v>
      </c>
      <c r="CA38" s="168">
        <f>EDATE(START_DATE,CA37-1)</f>
        <v>48639.0</v>
      </c>
      <c r="CB38" s="168">
        <f>EDATE(START_DATE,CB37-1)</f>
        <v>48670.0</v>
      </c>
      <c r="CC38" s="168">
        <f>EDATE(START_DATE,CC37-1)</f>
        <v>48700.0</v>
      </c>
      <c r="CD38" s="168">
        <f>EDATE(START_DATE,CD37-1)</f>
        <v>48731.0</v>
      </c>
      <c r="CE38" s="168">
        <f>EDATE(START_DATE,CE37-1)</f>
        <v>48761.0</v>
      </c>
      <c r="CF38" s="168">
        <f>EDATE(START_DATE,CF37-1)</f>
        <v>48792.0</v>
      </c>
      <c r="CG38" s="168">
        <f>EDATE(START_DATE,CG37-1)</f>
        <v>48823.0</v>
      </c>
      <c r="CH38" s="168">
        <f>EDATE(START_DATE,CH37-1)</f>
        <v>48853.0</v>
      </c>
      <c r="CI38" s="168">
        <f>EDATE(START_DATE,CI37-1)</f>
        <v>48884.0</v>
      </c>
      <c r="CJ38" s="168">
        <f>EDATE(START_DATE,CJ37-1)</f>
        <v>48914.0</v>
      </c>
      <c r="CK38" s="168">
        <f>EDATE(START_DATE,CK37-1)</f>
        <v>48945.0</v>
      </c>
      <c r="CL38" s="168">
        <f>EDATE(START_DATE,CL37-1)</f>
        <v>48976.0</v>
      </c>
      <c r="CM38" s="168">
        <f>EDATE(START_DATE,CM37-1)</f>
        <v>49004.0</v>
      </c>
      <c r="CN38" s="168">
        <f>EDATE(START_DATE,CN37-1)</f>
        <v>49035.0</v>
      </c>
      <c r="CO38" s="168">
        <f>EDATE(START_DATE,CO37-1)</f>
        <v>49065.0</v>
      </c>
      <c r="CP38" s="168">
        <f>EDATE(START_DATE,CP37-1)</f>
        <v>49096.0</v>
      </c>
      <c r="CQ38" s="168">
        <f>EDATE(START_DATE,CQ37-1)</f>
        <v>49126.0</v>
      </c>
      <c r="CR38" s="168">
        <f>EDATE(START_DATE,CR37-1)</f>
        <v>49157.0</v>
      </c>
      <c r="CS38" s="168">
        <f>EDATE(START_DATE,CS37-1)</f>
        <v>49188.0</v>
      </c>
      <c r="CT38" s="168">
        <f>EDATE(START_DATE,CT37-1)</f>
        <v>49218.0</v>
      </c>
      <c r="CU38" s="168">
        <f>EDATE(START_DATE,CU37-1)</f>
        <v>49249.0</v>
      </c>
      <c r="CV38" s="168">
        <f>EDATE(START_DATE,CV37-1)</f>
        <v>49279.0</v>
      </c>
      <c r="CW38" s="168">
        <f>EDATE(START_DATE,CW37-1)</f>
        <v>49310.0</v>
      </c>
      <c r="CX38" s="168">
        <f>EDATE(START_DATE,CX37-1)</f>
        <v>49341.0</v>
      </c>
      <c r="CY38" s="168">
        <f>EDATE(START_DATE,CY37-1)</f>
        <v>49369.0</v>
      </c>
      <c r="CZ38" s="168">
        <f>EDATE(START_DATE,CZ37-1)</f>
        <v>49400.0</v>
      </c>
      <c r="DA38" s="168">
        <f>EDATE(START_DATE,DA37-1)</f>
        <v>49430.0</v>
      </c>
      <c r="DB38" s="168">
        <f>EDATE(START_DATE,DB37-1)</f>
        <v>49461.0</v>
      </c>
      <c r="DC38" s="168">
        <f>EDATE(START_DATE,DC37-1)</f>
        <v>49491.0</v>
      </c>
      <c r="DD38" s="168">
        <f>EDATE(START_DATE,DD37-1)</f>
        <v>49522.0</v>
      </c>
      <c r="DE38" s="168">
        <f>EDATE(START_DATE,DE37-1)</f>
        <v>49553.0</v>
      </c>
      <c r="DF38" s="168">
        <f>EDATE(START_DATE,DF37-1)</f>
        <v>49583.0</v>
      </c>
      <c r="DG38" s="168">
        <f>EDATE(START_DATE,DG37-1)</f>
        <v>49614.0</v>
      </c>
      <c r="DH38" s="168">
        <f>EDATE(START_DATE,DH37-1)</f>
        <v>49644.0</v>
      </c>
      <c r="DI38" s="168">
        <f>EDATE(START_DATE,DI37-1)</f>
        <v>49675.0</v>
      </c>
      <c r="DJ38" s="168">
        <f>EDATE(START_DATE,DJ37-1)</f>
        <v>49706.0</v>
      </c>
      <c r="DK38" s="168">
        <f>EDATE(START_DATE,DK37-1)</f>
        <v>49735.0</v>
      </c>
      <c r="DL38" s="168">
        <f>EDATE(START_DATE,DL37-1)</f>
        <v>49766.0</v>
      </c>
      <c r="DM38" s="168">
        <f>EDATE(START_DATE,DM37-1)</f>
        <v>49796.0</v>
      </c>
      <c r="DN38" s="168">
        <f>EDATE(START_DATE,DN37-1)</f>
        <v>49827.0</v>
      </c>
      <c r="DO38" s="168">
        <f>EDATE(START_DATE,DO37-1)</f>
        <v>49857.0</v>
      </c>
      <c r="DP38" s="168">
        <f>EDATE(START_DATE,DP37-1)</f>
        <v>49888.0</v>
      </c>
      <c r="DQ38" s="168">
        <f>EDATE(START_DATE,DQ37-1)</f>
        <v>49919.0</v>
      </c>
      <c r="DR38" s="168">
        <f>EDATE(START_DATE,DR37-1)</f>
        <v>49949.0</v>
      </c>
      <c r="DS38" s="168">
        <f>EDATE(START_DATE,DS37-1)</f>
        <v>49980.0</v>
      </c>
      <c r="DT38" s="168">
        <f>EDATE(START_DATE,DT37-1)</f>
        <v>50010.0</v>
      </c>
      <c r="DU38" s="168">
        <f>EDATE(START_DATE,DU37-1)</f>
        <v>50041.0</v>
      </c>
      <c r="DV38" s="168">
        <f>EDATE(START_DATE,DV37-1)</f>
        <v>50072.0</v>
      </c>
      <c r="DW38" s="168">
        <f>EDATE(START_DATE,DW37-1)</f>
        <v>50100.0</v>
      </c>
      <c r="DX38" s="168">
        <f>EDATE(START_DATE,DX37-1)</f>
        <v>50131.0</v>
      </c>
      <c r="DY38" s="168">
        <f>EDATE(START_DATE,DY37-1)</f>
        <v>50161.0</v>
      </c>
      <c r="DZ38" s="168">
        <f>EDATE(START_DATE,DZ37-1)</f>
        <v>50192.0</v>
      </c>
      <c r="EA38" s="168">
        <f>EDATE(START_DATE,EA37-1)</f>
        <v>50222.0</v>
      </c>
      <c r="EB38" s="168">
        <f>EDATE(START_DATE,EB37-1)</f>
        <v>50253.0</v>
      </c>
      <c r="EC38" s="168">
        <f>EDATE(START_DATE,EC37-1)</f>
        <v>50284.0</v>
      </c>
      <c r="ED38" s="168">
        <f>EDATE(START_DATE,ED37-1)</f>
        <v>50314.0</v>
      </c>
      <c r="EE38" s="168">
        <f>EDATE(START_DATE,EE37-1)</f>
        <v>50345.0</v>
      </c>
      <c r="EF38" s="168">
        <f>EDATE(START_DATE,EF37-1)</f>
        <v>50375.0</v>
      </c>
      <c r="EG38" s="168">
        <f>EDATE(START_DATE,EG37-1)</f>
        <v>50406.0</v>
      </c>
      <c r="EH38" s="168">
        <f>EDATE(START_DATE,EH37-1)</f>
        <v>50437.0</v>
      </c>
      <c r="EI38" s="168">
        <f>EDATE(START_DATE,EI37-1)</f>
        <v>50465.0</v>
      </c>
      <c r="EJ38" s="168">
        <f>EDATE(START_DATE,EJ37-1)</f>
        <v>50496.0</v>
      </c>
      <c r="EK38" s="168">
        <f>EDATE(START_DATE,EK37-1)</f>
        <v>50526.0</v>
      </c>
      <c r="EL38" s="168">
        <f>EDATE(START_DATE,EL37-1)</f>
        <v>50557.0</v>
      </c>
      <c r="EM38" s="168">
        <f>EDATE(START_DATE,EM37-1)</f>
        <v>50587.0</v>
      </c>
      <c r="EN38" s="168">
        <f>EDATE(START_DATE,EN37-1)</f>
        <v>50618.0</v>
      </c>
      <c r="EO38" s="168">
        <f>EDATE(START_DATE,EO37-1)</f>
        <v>50649.0</v>
      </c>
      <c r="EP38" s="168">
        <f>EDATE(START_DATE,EP37-1)</f>
        <v>50679.0</v>
      </c>
      <c r="EQ38" s="168">
        <f>EDATE(START_DATE,EQ37-1)</f>
        <v>50710.0</v>
      </c>
      <c r="ER38" s="168">
        <f>EDATE(START_DATE,ER37-1)</f>
        <v>50740.0</v>
      </c>
      <c r="ES38" s="168">
        <f>EDATE(START_DATE,ES37-1)</f>
        <v>50771.0</v>
      </c>
      <c r="ET38" s="168">
        <f>EDATE(START_DATE,ET37-1)</f>
        <v>50802.0</v>
      </c>
      <c r="EU38" s="168">
        <f>EDATE(START_DATE,EU37-1)</f>
        <v>50830.0</v>
      </c>
      <c r="EV38" s="168">
        <f>EDATE(START_DATE,EV37-1)</f>
        <v>50861.0</v>
      </c>
      <c r="EW38" s="168">
        <f>EDATE(START_DATE,EW37-1)</f>
        <v>50891.0</v>
      </c>
      <c r="EX38" s="168">
        <f>EDATE(START_DATE,EX37-1)</f>
        <v>50922.0</v>
      </c>
      <c r="EY38" s="168">
        <f>EDATE(START_DATE,EY37-1)</f>
        <v>50952.0</v>
      </c>
      <c r="EZ38" s="168">
        <f>EDATE(START_DATE,EZ37-1)</f>
        <v>50983.0</v>
      </c>
      <c r="FA38" s="168">
        <f>EDATE(START_DATE,FA37-1)</f>
        <v>51014.0</v>
      </c>
      <c r="FB38" s="168">
        <f>EDATE(START_DATE,FB37-1)</f>
        <v>51044.0</v>
      </c>
      <c r="FC38" s="168">
        <f>EDATE(START_DATE,FC37-1)</f>
        <v>51075.0</v>
      </c>
      <c r="FD38" s="168">
        <f>EDATE(START_DATE,FD37-1)</f>
        <v>51105.0</v>
      </c>
      <c r="FE38" s="168">
        <f>EDATE(START_DATE,FE37-1)</f>
        <v>51136.0</v>
      </c>
      <c r="FF38" s="168">
        <f>EDATE(START_DATE,FF37-1)</f>
        <v>51167.0</v>
      </c>
      <c r="FG38" s="168">
        <f>EDATE(START_DATE,FG37-1)</f>
        <v>51196.0</v>
      </c>
      <c r="FH38" s="168">
        <f>EDATE(START_DATE,FH37-1)</f>
        <v>51227.0</v>
      </c>
      <c r="FI38" s="168">
        <f>EDATE(START_DATE,FI37-1)</f>
        <v>51257.0</v>
      </c>
      <c r="FJ38" s="168">
        <f>EDATE(START_DATE,FJ37-1)</f>
        <v>51288.0</v>
      </c>
      <c r="FK38" s="168">
        <f>EDATE(START_DATE,FK37-1)</f>
        <v>51318.0</v>
      </c>
      <c r="FL38" s="168">
        <f>EDATE(START_DATE,FL37-1)</f>
        <v>51349.0</v>
      </c>
      <c r="FM38" s="168">
        <f>EDATE(START_DATE,FM37-1)</f>
        <v>51380.0</v>
      </c>
      <c r="FN38" s="168">
        <f>EDATE(START_DATE,FN37-1)</f>
        <v>51410.0</v>
      </c>
      <c r="FO38" s="168">
        <f>EDATE(START_DATE,FO37-1)</f>
        <v>51441.0</v>
      </c>
      <c r="FP38" s="168">
        <f>EDATE(START_DATE,FP37-1)</f>
        <v>51471.0</v>
      </c>
      <c r="FQ38" s="168">
        <f>EDATE(START_DATE,FQ37-1)</f>
        <v>51502.0</v>
      </c>
      <c r="FR38" s="168">
        <f>EDATE(START_DATE,FR37-1)</f>
        <v>51533.0</v>
      </c>
      <c r="FS38" s="168">
        <f>EDATE(START_DATE,FS37-1)</f>
        <v>51561.0</v>
      </c>
      <c r="FT38" s="168">
        <f>EDATE(START_DATE,FT37-1)</f>
        <v>51592.0</v>
      </c>
      <c r="FU38" s="168">
        <f>EDATE(START_DATE,FU37-1)</f>
        <v>51622.0</v>
      </c>
      <c r="FV38" s="168">
        <f>EDATE(START_DATE,FV37-1)</f>
        <v>51653.0</v>
      </c>
      <c r="FW38" s="168">
        <f>EDATE(START_DATE,FW37-1)</f>
        <v>51683.0</v>
      </c>
      <c r="FX38" s="168">
        <f>EDATE(START_DATE,FX37-1)</f>
        <v>51714.0</v>
      </c>
      <c r="FY38" s="168">
        <f>EDATE(START_DATE,FY37-1)</f>
        <v>51745.0</v>
      </c>
      <c r="FZ38" s="168">
        <f>EDATE(START_DATE,FZ37-1)</f>
        <v>51775.0</v>
      </c>
      <c r="GA38" s="168">
        <f>EDATE(START_DATE,GA37-1)</f>
        <v>51806.0</v>
      </c>
      <c r="GB38" s="168">
        <f>EDATE(START_DATE,GB37-1)</f>
        <v>51836.0</v>
      </c>
      <c r="GC38" s="168">
        <f>EDATE(START_DATE,GC37-1)</f>
        <v>51867.0</v>
      </c>
      <c r="GD38" s="168">
        <f>EDATE(START_DATE,GD37-1)</f>
        <v>51898.0</v>
      </c>
      <c r="GE38" s="168">
        <f>EDATE(START_DATE,GE37-1)</f>
        <v>51926.0</v>
      </c>
      <c r="GF38" s="168">
        <f>EDATE(START_DATE,GF37-1)</f>
        <v>51957.0</v>
      </c>
      <c r="GG38" s="168">
        <f>EDATE(START_DATE,GG37-1)</f>
        <v>51987.0</v>
      </c>
      <c r="GH38" s="168">
        <f>EDATE(START_DATE,GH37-1)</f>
        <v>52018.0</v>
      </c>
      <c r="GI38" s="168">
        <f>EDATE(START_DATE,GI37-1)</f>
        <v>52048.0</v>
      </c>
      <c r="GJ38" s="168">
        <f>EDATE(START_DATE,GJ37-1)</f>
        <v>52079.0</v>
      </c>
      <c r="GK38" s="168">
        <f>EDATE(START_DATE,GK37-1)</f>
        <v>52110.0</v>
      </c>
      <c r="GL38" s="168">
        <f>EDATE(START_DATE,GL37-1)</f>
        <v>52140.0</v>
      </c>
      <c r="GM38" s="168">
        <f>EDATE(START_DATE,GM37-1)</f>
        <v>52171.0</v>
      </c>
      <c r="GN38" s="168">
        <f>EDATE(START_DATE,GN37-1)</f>
        <v>52201.0</v>
      </c>
      <c r="GO38" s="168">
        <f>EDATE(START_DATE,GO37-1)</f>
        <v>52232.0</v>
      </c>
      <c r="GP38" s="168">
        <f>EDATE(START_DATE,GP37-1)</f>
        <v>52263.0</v>
      </c>
      <c r="GQ38" s="168">
        <f>EDATE(START_DATE,GQ37-1)</f>
        <v>52291.0</v>
      </c>
      <c r="GR38" s="168">
        <f>EDATE(START_DATE,GR37-1)</f>
        <v>52322.0</v>
      </c>
      <c r="GS38" s="168">
        <f>EDATE(START_DATE,GS37-1)</f>
        <v>52352.0</v>
      </c>
      <c r="GT38" s="168">
        <f>EDATE(START_DATE,GT37-1)</f>
        <v>52383.0</v>
      </c>
      <c r="GU38" s="168">
        <f>EDATE(START_DATE,GU37-1)</f>
        <v>52413.0</v>
      </c>
      <c r="GV38" s="168">
        <f>EDATE(START_DATE,GV37-1)</f>
        <v>52444.0</v>
      </c>
      <c r="GW38" s="168">
        <f>EDATE(START_DATE,GW37-1)</f>
        <v>52475.0</v>
      </c>
      <c r="GX38" s="168">
        <f>EDATE(START_DATE,GX37-1)</f>
        <v>52505.0</v>
      </c>
      <c r="GY38" s="168">
        <f>EDATE(START_DATE,GY37-1)</f>
        <v>52536.0</v>
      </c>
      <c r="GZ38" s="168">
        <f>EDATE(START_DATE,GZ37-1)</f>
        <v>52566.0</v>
      </c>
      <c r="HA38" s="168">
        <f>EDATE(START_DATE,HA37-1)</f>
        <v>52597.0</v>
      </c>
      <c r="HB38" s="168">
        <f>EDATE(START_DATE,HB37-1)</f>
        <v>52628.0</v>
      </c>
      <c r="HC38" s="168">
        <f>EDATE(START_DATE,HC37-1)</f>
        <v>52657.0</v>
      </c>
      <c r="HD38" s="168">
        <f>EDATE(START_DATE,HD37-1)</f>
        <v>52688.0</v>
      </c>
      <c r="HE38" s="168">
        <f>EDATE(START_DATE,HE37-1)</f>
        <v>52718.0</v>
      </c>
      <c r="HF38" s="168">
        <f>EDATE(START_DATE,HF37-1)</f>
        <v>52749.0</v>
      </c>
      <c r="HG38" s="168">
        <f>EDATE(START_DATE,HG37-1)</f>
        <v>52779.0</v>
      </c>
      <c r="HH38" s="168">
        <f>EDATE(START_DATE,HH37-1)</f>
        <v>52810.0</v>
      </c>
      <c r="HI38" s="168">
        <f>EDATE(START_DATE,HI37-1)</f>
        <v>52841.0</v>
      </c>
      <c r="HJ38" s="168">
        <f>EDATE(START_DATE,HJ37-1)</f>
        <v>52871.0</v>
      </c>
      <c r="HK38" s="168">
        <f>EDATE(START_DATE,HK37-1)</f>
        <v>52902.0</v>
      </c>
      <c r="HL38" s="168">
        <f>EDATE(START_DATE,HL37-1)</f>
        <v>52932.0</v>
      </c>
      <c r="HM38" s="168">
        <f>EDATE(START_DATE,HM37-1)</f>
        <v>52963.0</v>
      </c>
      <c r="HN38" s="168">
        <f>EDATE(START_DATE,HN37-1)</f>
        <v>52994.0</v>
      </c>
      <c r="HO38" s="168">
        <f>EDATE(START_DATE,HO37-1)</f>
        <v>53022.0</v>
      </c>
      <c r="HP38" s="168">
        <f>EDATE(START_DATE,HP37-1)</f>
        <v>53053.0</v>
      </c>
      <c r="HQ38" s="168">
        <f>EDATE(START_DATE,HQ37-1)</f>
        <v>53083.0</v>
      </c>
      <c r="HR38" s="168">
        <f>EDATE(START_DATE,HR37-1)</f>
        <v>53114.0</v>
      </c>
      <c r="HS38" s="168">
        <f>EDATE(START_DATE,HS37-1)</f>
        <v>53144.0</v>
      </c>
      <c r="HT38" s="168">
        <f>EDATE(START_DATE,HT37-1)</f>
        <v>53175.0</v>
      </c>
      <c r="HU38" s="168">
        <f>EDATE(START_DATE,HU37-1)</f>
        <v>53206.0</v>
      </c>
      <c r="HV38" s="168">
        <f>EDATE(START_DATE,HV37-1)</f>
        <v>53236.0</v>
      </c>
      <c r="HW38" s="168">
        <f>EDATE(START_DATE,HW37-1)</f>
        <v>53267.0</v>
      </c>
      <c r="HX38" s="168">
        <f>EDATE(START_DATE,HX37-1)</f>
        <v>53297.0</v>
      </c>
      <c r="HY38" s="168">
        <f>EDATE(START_DATE,HY37-1)</f>
        <v>53328.0</v>
      </c>
      <c r="HZ38" s="168">
        <f>EDATE(START_DATE,HZ37-1)</f>
        <v>53359.0</v>
      </c>
      <c r="IA38" s="168">
        <f>EDATE(START_DATE,IA37-1)</f>
        <v>53387.0</v>
      </c>
      <c r="IB38" s="168">
        <f>EDATE(START_DATE,IB37-1)</f>
        <v>53418.0</v>
      </c>
      <c r="IC38" s="168">
        <f>EDATE(START_DATE,IC37-1)</f>
        <v>53448.0</v>
      </c>
      <c r="ID38" s="168">
        <f>EDATE(START_DATE,ID37-1)</f>
        <v>53479.0</v>
      </c>
      <c r="IE38" s="168">
        <f>EDATE(START_DATE,IE37-1)</f>
        <v>53509.0</v>
      </c>
      <c r="IF38" s="168">
        <f>EDATE(START_DATE,IF37-1)</f>
        <v>53540.0</v>
      </c>
      <c r="IG38" s="168">
        <f>EDATE(START_DATE,IG37-1)</f>
        <v>53571.0</v>
      </c>
      <c r="IH38" s="168">
        <f>EDATE(START_DATE,IH37-1)</f>
        <v>53601.0</v>
      </c>
      <c r="II38" s="168">
        <f>EDATE(START_DATE,II37-1)</f>
        <v>53632.0</v>
      </c>
      <c r="IJ38" s="168">
        <f>EDATE(START_DATE,IJ37-1)</f>
        <v>53662.0</v>
      </c>
      <c r="IK38" s="168">
        <f>EDATE(START_DATE,IK37-1)</f>
        <v>53693.0</v>
      </c>
      <c r="IL38" s="168">
        <f>EDATE(START_DATE,IL37-1)</f>
        <v>53724.0</v>
      </c>
      <c r="IM38" s="168">
        <f>EDATE(START_DATE,IM37-1)</f>
        <v>53752.0</v>
      </c>
      <c r="IN38" s="168">
        <f>EDATE(START_DATE,IN37-1)</f>
        <v>53783.0</v>
      </c>
      <c r="IO38" s="168">
        <f>EDATE(START_DATE,IO37-1)</f>
        <v>53813.0</v>
      </c>
      <c r="IP38" s="168">
        <f>EDATE(START_DATE,IP37-1)</f>
        <v>53844.0</v>
      </c>
      <c r="IQ38" s="168">
        <f>EDATE(START_DATE,IQ37-1)</f>
        <v>53874.0</v>
      </c>
      <c r="IR38" s="168">
        <f>EDATE(START_DATE,IR37-1)</f>
        <v>53905.0</v>
      </c>
      <c r="IS38" s="168">
        <f>EDATE(START_DATE,IS37-1)</f>
        <v>53936.0</v>
      </c>
      <c r="IT38" s="168">
        <f>EDATE(START_DATE,IT37-1)</f>
        <v>53966.0</v>
      </c>
      <c r="IU38" s="168">
        <f>EDATE(START_DATE,IU37-1)</f>
        <v>53997.0</v>
      </c>
      <c r="IV38" s="168">
        <f>EDATE(START_DATE,IV37-1)</f>
        <v>54027.0</v>
      </c>
      <c r="IW38" s="168">
        <f>EDATE(START_DATE,IW37-1)</f>
        <v>54058.0</v>
      </c>
      <c r="IX38" s="168">
        <f>EDATE(START_DATE,IX37-1)</f>
        <v>54089.0</v>
      </c>
      <c r="IY38" s="168">
        <f>EDATE(START_DATE,IY37-1)</f>
        <v>54118.0</v>
      </c>
      <c r="IZ38" s="168">
        <f>EDATE(START_DATE,IZ37-1)</f>
        <v>54149.0</v>
      </c>
      <c r="JA38" s="168">
        <f>EDATE(START_DATE,JA37-1)</f>
        <v>54179.0</v>
      </c>
      <c r="JB38" s="168">
        <f>EDATE(START_DATE,JB37-1)</f>
        <v>54210.0</v>
      </c>
      <c r="JC38" s="168">
        <f>EDATE(START_DATE,JC37-1)</f>
        <v>54240.0</v>
      </c>
      <c r="JD38" s="168">
        <f>EDATE(START_DATE,JD37-1)</f>
        <v>54271.0</v>
      </c>
      <c r="JE38" s="168">
        <f>EDATE(START_DATE,JE37-1)</f>
        <v>54302.0</v>
      </c>
      <c r="JF38" s="168">
        <f>EDATE(START_DATE,JF37-1)</f>
        <v>54332.0</v>
      </c>
      <c r="JG38" s="168">
        <f>EDATE(START_DATE,JG37-1)</f>
        <v>54363.0</v>
      </c>
      <c r="JH38" s="168">
        <f>EDATE(START_DATE,JH37-1)</f>
        <v>54393.0</v>
      </c>
      <c r="JI38" s="168">
        <f>EDATE(START_DATE,JI37-1)</f>
        <v>54424.0</v>
      </c>
      <c r="JJ38" s="168">
        <f>EDATE(START_DATE,JJ37-1)</f>
        <v>54455.0</v>
      </c>
      <c r="JK38" s="168">
        <f>EDATE(START_DATE,JK37-1)</f>
        <v>54483.0</v>
      </c>
      <c r="JL38" s="168">
        <f>EDATE(START_DATE,JL37-1)</f>
        <v>54514.0</v>
      </c>
      <c r="JM38" s="168">
        <f>EDATE(START_DATE,JM37-1)</f>
        <v>54544.0</v>
      </c>
      <c r="JN38" s="168">
        <f>EDATE(START_DATE,JN37-1)</f>
        <v>54575.0</v>
      </c>
      <c r="JO38" s="168">
        <f>EDATE(START_DATE,JO37-1)</f>
        <v>54605.0</v>
      </c>
      <c r="JP38" s="168">
        <f>EDATE(START_DATE,JP37-1)</f>
        <v>54636.0</v>
      </c>
      <c r="JQ38" s="168">
        <f>EDATE(START_DATE,JQ37-1)</f>
        <v>54667.0</v>
      </c>
      <c r="JR38" s="168">
        <f>EDATE(START_DATE,JR37-1)</f>
        <v>54697.0</v>
      </c>
      <c r="JS38" s="168">
        <f>EDATE(START_DATE,JS37-1)</f>
        <v>54728.0</v>
      </c>
      <c r="JT38" s="168">
        <f>EDATE(START_DATE,JT37-1)</f>
        <v>54758.0</v>
      </c>
      <c r="JU38" s="168">
        <f>EDATE(START_DATE,JU37-1)</f>
        <v>54789.0</v>
      </c>
      <c r="JV38" s="168">
        <f>EDATE(START_DATE,JV37-1)</f>
        <v>54820.0</v>
      </c>
      <c r="JW38" s="168">
        <f>EDATE(START_DATE,JW37-1)</f>
        <v>54848.0</v>
      </c>
      <c r="JX38" s="168">
        <f>EDATE(START_DATE,JX37-1)</f>
        <v>54879.0</v>
      </c>
      <c r="JY38" s="168">
        <f>EDATE(START_DATE,JY37-1)</f>
        <v>54909.0</v>
      </c>
      <c r="JZ38" s="168">
        <f>EDATE(START_DATE,JZ37-1)</f>
        <v>54940.0</v>
      </c>
      <c r="KA38" s="168">
        <f>EDATE(START_DATE,KA37-1)</f>
        <v>54970.0</v>
      </c>
      <c r="KB38" s="168">
        <f>EDATE(START_DATE,KB37-1)</f>
        <v>55001.0</v>
      </c>
      <c r="KC38" s="168">
        <f>EDATE(START_DATE,KC37-1)</f>
        <v>55032.0</v>
      </c>
      <c r="KD38" s="168">
        <f>EDATE(START_DATE,KD37-1)</f>
        <v>55062.0</v>
      </c>
      <c r="KE38" s="168">
        <f>EDATE(START_DATE,KE37-1)</f>
        <v>55093.0</v>
      </c>
      <c r="KF38" s="168">
        <f>EDATE(START_DATE,KF37-1)</f>
        <v>55123.0</v>
      </c>
    </row>
    <row r="39">
      <c r="B39" s="36" t="inlineStr">
        <is>
          <t>Construction month flag</t>
        </is>
      </c>
      <c r="C39" s="117" t="inlineStr">
        <is>
          <t>flag</t>
        </is>
      </c>
      <c r="D39" s="147">
        <f>SUM(E39:KF39)</f>
        <v>30</v>
      </c>
      <c r="E39" s="148">
        <f>IF(E37&lt;=CONSTR_EFF,1,0)</f>
        <v>1</v>
      </c>
      <c r="F39" s="148">
        <f>IF(F37&lt;=CONSTR_EFF,1,0)</f>
        <v>1</v>
      </c>
      <c r="G39" s="148">
        <f>IF(G37&lt;=CONSTR_EFF,1,0)</f>
        <v>1</v>
      </c>
      <c r="H39" s="148">
        <f>IF(H37&lt;=CONSTR_EFF,1,0)</f>
        <v>1</v>
      </c>
      <c r="I39" s="148">
        <f>IF(I37&lt;=CONSTR_EFF,1,0)</f>
        <v>1</v>
      </c>
      <c r="J39" s="148">
        <f>IF(J37&lt;=CONSTR_EFF,1,0)</f>
        <v>1</v>
      </c>
      <c r="K39" s="148">
        <f>IF(K37&lt;=CONSTR_EFF,1,0)</f>
        <v>1</v>
      </c>
      <c r="L39" s="148">
        <f>IF(L37&lt;=CONSTR_EFF,1,0)</f>
        <v>1</v>
      </c>
      <c r="M39" s="148">
        <f>IF(M37&lt;=CONSTR_EFF,1,0)</f>
        <v>1</v>
      </c>
      <c r="N39" s="148">
        <f>IF(N37&lt;=CONSTR_EFF,1,0)</f>
        <v>1</v>
      </c>
      <c r="O39" s="148">
        <f>IF(O37&lt;=CONSTR_EFF,1,0)</f>
        <v>1</v>
      </c>
      <c r="P39" s="148">
        <f>IF(P37&lt;=CONSTR_EFF,1,0)</f>
        <v>1</v>
      </c>
      <c r="Q39" s="148">
        <f>IF(Q37&lt;=CONSTR_EFF,1,0)</f>
        <v>1</v>
      </c>
      <c r="R39" s="148">
        <f>IF(R37&lt;=CONSTR_EFF,1,0)</f>
        <v>1</v>
      </c>
      <c r="S39" s="148">
        <f>IF(S37&lt;=CONSTR_EFF,1,0)</f>
        <v>1</v>
      </c>
      <c r="T39" s="148">
        <f>IF(T37&lt;=CONSTR_EFF,1,0)</f>
        <v>1</v>
      </c>
      <c r="U39" s="148">
        <f>IF(U37&lt;=CONSTR_EFF,1,0)</f>
        <v>1</v>
      </c>
      <c r="V39" s="148">
        <f>IF(V37&lt;=CONSTR_EFF,1,0)</f>
        <v>1</v>
      </c>
      <c r="W39" s="148">
        <f>IF(W37&lt;=CONSTR_EFF,1,0)</f>
        <v>1</v>
      </c>
      <c r="X39" s="148">
        <f>IF(X37&lt;=CONSTR_EFF,1,0)</f>
        <v>1</v>
      </c>
      <c r="Y39" s="148">
        <f>IF(Y37&lt;=CONSTR_EFF,1,0)</f>
        <v>1</v>
      </c>
      <c r="Z39" s="148">
        <f>IF(Z37&lt;=CONSTR_EFF,1,0)</f>
        <v>1</v>
      </c>
      <c r="AA39" s="148">
        <f>IF(AA37&lt;=CONSTR_EFF,1,0)</f>
        <v>1</v>
      </c>
      <c r="AB39" s="148">
        <f>IF(AB37&lt;=CONSTR_EFF,1,0)</f>
        <v>1</v>
      </c>
      <c r="AC39" s="148">
        <f>IF(AC37&lt;=CONSTR_EFF,1,0)</f>
        <v>1</v>
      </c>
      <c r="AD39" s="148">
        <f>IF(AD37&lt;=CONSTR_EFF,1,0)</f>
        <v>1</v>
      </c>
      <c r="AE39" s="148">
        <f>IF(AE37&lt;=CONSTR_EFF,1,0)</f>
        <v>1</v>
      </c>
      <c r="AF39" s="148">
        <f>IF(AF37&lt;=CONSTR_EFF,1,0)</f>
        <v>1</v>
      </c>
      <c r="AG39" s="148">
        <f>IF(AG37&lt;=CONSTR_EFF,1,0)</f>
        <v>1</v>
      </c>
      <c r="AH39" s="148">
        <f>IF(AH37&lt;=CONSTR_EFF,1,0)</f>
        <v>1</v>
      </c>
      <c r="AI39" s="148">
        <f>IF(AI37&lt;=CONSTR_EFF,1,0)</f>
        <v>0</v>
      </c>
      <c r="AJ39" s="148">
        <f>IF(AJ37&lt;=CONSTR_EFF,1,0)</f>
        <v>0</v>
      </c>
      <c r="AK39" s="148">
        <f>IF(AK37&lt;=CONSTR_EFF,1,0)</f>
        <v>0</v>
      </c>
      <c r="AL39" s="148">
        <f>IF(AL37&lt;=CONSTR_EFF,1,0)</f>
        <v>0</v>
      </c>
      <c r="AM39" s="148">
        <f>IF(AM37&lt;=CONSTR_EFF,1,0)</f>
        <v>0</v>
      </c>
      <c r="AN39" s="148">
        <f>IF(AN37&lt;=CONSTR_EFF,1,0)</f>
        <v>0</v>
      </c>
      <c r="AO39" s="148">
        <f>IF(AO37&lt;=CONSTR_EFF,1,0)</f>
        <v>0</v>
      </c>
      <c r="AP39" s="148">
        <f>IF(AP37&lt;=CONSTR_EFF,1,0)</f>
        <v>0</v>
      </c>
      <c r="AQ39" s="148">
        <f>IF(AQ37&lt;=CONSTR_EFF,1,0)</f>
        <v>0</v>
      </c>
      <c r="AR39" s="148">
        <f>IF(AR37&lt;=CONSTR_EFF,1,0)</f>
        <v>0</v>
      </c>
      <c r="AS39" s="148">
        <f>IF(AS37&lt;=CONSTR_EFF,1,0)</f>
        <v>0</v>
      </c>
      <c r="AT39" s="148">
        <f>IF(AT37&lt;=CONSTR_EFF,1,0)</f>
        <v>0</v>
      </c>
      <c r="AU39" s="148">
        <f>IF(AU37&lt;=CONSTR_EFF,1,0)</f>
        <v>0</v>
      </c>
      <c r="AV39" s="148">
        <f>IF(AV37&lt;=CONSTR_EFF,1,0)</f>
        <v>0</v>
      </c>
      <c r="AW39" s="148">
        <f>IF(AW37&lt;=CONSTR_EFF,1,0)</f>
        <v>0</v>
      </c>
      <c r="AX39" s="148">
        <f>IF(AX37&lt;=CONSTR_EFF,1,0)</f>
        <v>0</v>
      </c>
      <c r="AY39" s="148">
        <f>IF(AY37&lt;=CONSTR_EFF,1,0)</f>
        <v>0</v>
      </c>
      <c r="AZ39" s="148">
        <f>IF(AZ37&lt;=CONSTR_EFF,1,0)</f>
        <v>0</v>
      </c>
      <c r="BA39" s="148">
        <f>IF(BA37&lt;=CONSTR_EFF,1,0)</f>
        <v>0</v>
      </c>
      <c r="BB39" s="148">
        <f>IF(BB37&lt;=CONSTR_EFF,1,0)</f>
        <v>0</v>
      </c>
      <c r="BC39" s="148">
        <f>IF(BC37&lt;=CONSTR_EFF,1,0)</f>
        <v>0</v>
      </c>
      <c r="BD39" s="148">
        <f>IF(BD37&lt;=CONSTR_EFF,1,0)</f>
        <v>0</v>
      </c>
      <c r="BE39" s="148">
        <f>IF(BE37&lt;=CONSTR_EFF,1,0)</f>
        <v>0</v>
      </c>
      <c r="BF39" s="148">
        <f>IF(BF37&lt;=CONSTR_EFF,1,0)</f>
        <v>0</v>
      </c>
      <c r="BG39" s="148">
        <f>IF(BG37&lt;=CONSTR_EFF,1,0)</f>
        <v>0</v>
      </c>
      <c r="BH39" s="148">
        <f>IF(BH37&lt;=CONSTR_EFF,1,0)</f>
        <v>0</v>
      </c>
      <c r="BI39" s="148">
        <f>IF(BI37&lt;=CONSTR_EFF,1,0)</f>
        <v>0</v>
      </c>
      <c r="BJ39" s="148">
        <f>IF(BJ37&lt;=CONSTR_EFF,1,0)</f>
        <v>0</v>
      </c>
      <c r="BK39" s="148">
        <f>IF(BK37&lt;=CONSTR_EFF,1,0)</f>
        <v>0</v>
      </c>
      <c r="BL39" s="148">
        <f>IF(BL37&lt;=CONSTR_EFF,1,0)</f>
        <v>0</v>
      </c>
      <c r="BM39" s="148">
        <f>IF(BM37&lt;=CONSTR_EFF,1,0)</f>
        <v>0</v>
      </c>
      <c r="BN39" s="148">
        <f>IF(BN37&lt;=CONSTR_EFF,1,0)</f>
        <v>0</v>
      </c>
      <c r="BO39" s="148">
        <f>IF(BO37&lt;=CONSTR_EFF,1,0)</f>
        <v>0</v>
      </c>
      <c r="BP39" s="148">
        <f>IF(BP37&lt;=CONSTR_EFF,1,0)</f>
        <v>0</v>
      </c>
      <c r="BQ39" s="148">
        <f>IF(BQ37&lt;=CONSTR_EFF,1,0)</f>
        <v>0</v>
      </c>
      <c r="BR39" s="148">
        <f>IF(BR37&lt;=CONSTR_EFF,1,0)</f>
        <v>0</v>
      </c>
      <c r="BS39" s="148">
        <f>IF(BS37&lt;=CONSTR_EFF,1,0)</f>
        <v>0</v>
      </c>
      <c r="BT39" s="148">
        <f>IF(BT37&lt;=CONSTR_EFF,1,0)</f>
        <v>0</v>
      </c>
      <c r="BU39" s="148">
        <f>IF(BU37&lt;=CONSTR_EFF,1,0)</f>
        <v>0</v>
      </c>
      <c r="BV39" s="148">
        <f>IF(BV37&lt;=CONSTR_EFF,1,0)</f>
        <v>0</v>
      </c>
      <c r="BW39" s="148">
        <f>IF(BW37&lt;=CONSTR_EFF,1,0)</f>
        <v>0</v>
      </c>
      <c r="BX39" s="148">
        <f>IF(BX37&lt;=CONSTR_EFF,1,0)</f>
        <v>0</v>
      </c>
      <c r="BY39" s="148">
        <f>IF(BY37&lt;=CONSTR_EFF,1,0)</f>
        <v>0</v>
      </c>
      <c r="BZ39" s="148">
        <f>IF(BZ37&lt;=CONSTR_EFF,1,0)</f>
        <v>0</v>
      </c>
      <c r="CA39" s="148">
        <f>IF(CA37&lt;=CONSTR_EFF,1,0)</f>
        <v>0</v>
      </c>
      <c r="CB39" s="148">
        <f>IF(CB37&lt;=CONSTR_EFF,1,0)</f>
        <v>0</v>
      </c>
      <c r="CC39" s="148">
        <f>IF(CC37&lt;=CONSTR_EFF,1,0)</f>
        <v>0</v>
      </c>
      <c r="CD39" s="148">
        <f>IF(CD37&lt;=CONSTR_EFF,1,0)</f>
        <v>0</v>
      </c>
      <c r="CE39" s="148">
        <f>IF(CE37&lt;=CONSTR_EFF,1,0)</f>
        <v>0</v>
      </c>
      <c r="CF39" s="148">
        <f>IF(CF37&lt;=CONSTR_EFF,1,0)</f>
        <v>0</v>
      </c>
      <c r="CG39" s="148">
        <f>IF(CG37&lt;=CONSTR_EFF,1,0)</f>
        <v>0</v>
      </c>
      <c r="CH39" s="148">
        <f>IF(CH37&lt;=CONSTR_EFF,1,0)</f>
        <v>0</v>
      </c>
      <c r="CI39" s="148">
        <f>IF(CI37&lt;=CONSTR_EFF,1,0)</f>
        <v>0</v>
      </c>
      <c r="CJ39" s="148">
        <f>IF(CJ37&lt;=CONSTR_EFF,1,0)</f>
        <v>0</v>
      </c>
      <c r="CK39" s="148">
        <f>IF(CK37&lt;=CONSTR_EFF,1,0)</f>
        <v>0</v>
      </c>
      <c r="CL39" s="148">
        <f>IF(CL37&lt;=CONSTR_EFF,1,0)</f>
        <v>0</v>
      </c>
      <c r="CM39" s="148">
        <f>IF(CM37&lt;=CONSTR_EFF,1,0)</f>
        <v>0</v>
      </c>
      <c r="CN39" s="148">
        <f>IF(CN37&lt;=CONSTR_EFF,1,0)</f>
        <v>0</v>
      </c>
      <c r="CO39" s="148">
        <f>IF(CO37&lt;=CONSTR_EFF,1,0)</f>
        <v>0</v>
      </c>
      <c r="CP39" s="148">
        <f>IF(CP37&lt;=CONSTR_EFF,1,0)</f>
        <v>0</v>
      </c>
      <c r="CQ39" s="148">
        <f>IF(CQ37&lt;=CONSTR_EFF,1,0)</f>
        <v>0</v>
      </c>
      <c r="CR39" s="148">
        <f>IF(CR37&lt;=CONSTR_EFF,1,0)</f>
        <v>0</v>
      </c>
      <c r="CS39" s="148">
        <f>IF(CS37&lt;=CONSTR_EFF,1,0)</f>
        <v>0</v>
      </c>
      <c r="CT39" s="148">
        <f>IF(CT37&lt;=CONSTR_EFF,1,0)</f>
        <v>0</v>
      </c>
      <c r="CU39" s="148">
        <f>IF(CU37&lt;=CONSTR_EFF,1,0)</f>
        <v>0</v>
      </c>
      <c r="CV39" s="148">
        <f>IF(CV37&lt;=CONSTR_EFF,1,0)</f>
        <v>0</v>
      </c>
      <c r="CW39" s="148">
        <f>IF(CW37&lt;=CONSTR_EFF,1,0)</f>
        <v>0</v>
      </c>
      <c r="CX39" s="148">
        <f>IF(CX37&lt;=CONSTR_EFF,1,0)</f>
        <v>0</v>
      </c>
      <c r="CY39" s="148">
        <f>IF(CY37&lt;=CONSTR_EFF,1,0)</f>
        <v>0</v>
      </c>
      <c r="CZ39" s="148">
        <f>IF(CZ37&lt;=CONSTR_EFF,1,0)</f>
        <v>0</v>
      </c>
      <c r="DA39" s="148">
        <f>IF(DA37&lt;=CONSTR_EFF,1,0)</f>
        <v>0</v>
      </c>
      <c r="DB39" s="148">
        <f>IF(DB37&lt;=CONSTR_EFF,1,0)</f>
        <v>0</v>
      </c>
      <c r="DC39" s="148">
        <f>IF(DC37&lt;=CONSTR_EFF,1,0)</f>
        <v>0</v>
      </c>
      <c r="DD39" s="148">
        <f>IF(DD37&lt;=CONSTR_EFF,1,0)</f>
        <v>0</v>
      </c>
      <c r="DE39" s="148">
        <f>IF(DE37&lt;=CONSTR_EFF,1,0)</f>
        <v>0</v>
      </c>
      <c r="DF39" s="148">
        <f>IF(DF37&lt;=CONSTR_EFF,1,0)</f>
        <v>0</v>
      </c>
      <c r="DG39" s="148">
        <f>IF(DG37&lt;=CONSTR_EFF,1,0)</f>
        <v>0</v>
      </c>
      <c r="DH39" s="148">
        <f>IF(DH37&lt;=CONSTR_EFF,1,0)</f>
        <v>0</v>
      </c>
      <c r="DI39" s="148">
        <f>IF(DI37&lt;=CONSTR_EFF,1,0)</f>
        <v>0</v>
      </c>
      <c r="DJ39" s="148">
        <f>IF(DJ37&lt;=CONSTR_EFF,1,0)</f>
        <v>0</v>
      </c>
      <c r="DK39" s="148">
        <f>IF(DK37&lt;=CONSTR_EFF,1,0)</f>
        <v>0</v>
      </c>
      <c r="DL39" s="148">
        <f>IF(DL37&lt;=CONSTR_EFF,1,0)</f>
        <v>0</v>
      </c>
      <c r="DM39" s="148">
        <f>IF(DM37&lt;=CONSTR_EFF,1,0)</f>
        <v>0</v>
      </c>
      <c r="DN39" s="148">
        <f>IF(DN37&lt;=CONSTR_EFF,1,0)</f>
        <v>0</v>
      </c>
      <c r="DO39" s="148">
        <f>IF(DO37&lt;=CONSTR_EFF,1,0)</f>
        <v>0</v>
      </c>
      <c r="DP39" s="148">
        <f>IF(DP37&lt;=CONSTR_EFF,1,0)</f>
        <v>0</v>
      </c>
      <c r="DQ39" s="148">
        <f>IF(DQ37&lt;=CONSTR_EFF,1,0)</f>
        <v>0</v>
      </c>
      <c r="DR39" s="148">
        <f>IF(DR37&lt;=CONSTR_EFF,1,0)</f>
        <v>0</v>
      </c>
      <c r="DS39" s="148">
        <f>IF(DS37&lt;=CONSTR_EFF,1,0)</f>
        <v>0</v>
      </c>
      <c r="DT39" s="148">
        <f>IF(DT37&lt;=CONSTR_EFF,1,0)</f>
        <v>0</v>
      </c>
      <c r="DU39" s="148">
        <f>IF(DU37&lt;=CONSTR_EFF,1,0)</f>
        <v>0</v>
      </c>
      <c r="DV39" s="148">
        <f>IF(DV37&lt;=CONSTR_EFF,1,0)</f>
        <v>0</v>
      </c>
      <c r="DW39" s="148">
        <f>IF(DW37&lt;=CONSTR_EFF,1,0)</f>
        <v>0</v>
      </c>
      <c r="DX39" s="148">
        <f>IF(DX37&lt;=CONSTR_EFF,1,0)</f>
        <v>0</v>
      </c>
      <c r="DY39" s="148">
        <f>IF(DY37&lt;=CONSTR_EFF,1,0)</f>
        <v>0</v>
      </c>
      <c r="DZ39" s="148">
        <f>IF(DZ37&lt;=CONSTR_EFF,1,0)</f>
        <v>0</v>
      </c>
      <c r="EA39" s="148">
        <f>IF(EA37&lt;=CONSTR_EFF,1,0)</f>
        <v>0</v>
      </c>
      <c r="EB39" s="148">
        <f>IF(EB37&lt;=CONSTR_EFF,1,0)</f>
        <v>0</v>
      </c>
      <c r="EC39" s="148">
        <f>IF(EC37&lt;=CONSTR_EFF,1,0)</f>
        <v>0</v>
      </c>
      <c r="ED39" s="148">
        <f>IF(ED37&lt;=CONSTR_EFF,1,0)</f>
        <v>0</v>
      </c>
      <c r="EE39" s="148">
        <f>IF(EE37&lt;=CONSTR_EFF,1,0)</f>
        <v>0</v>
      </c>
      <c r="EF39" s="148">
        <f>IF(EF37&lt;=CONSTR_EFF,1,0)</f>
        <v>0</v>
      </c>
      <c r="EG39" s="148">
        <f>IF(EG37&lt;=CONSTR_EFF,1,0)</f>
        <v>0</v>
      </c>
      <c r="EH39" s="148">
        <f>IF(EH37&lt;=CONSTR_EFF,1,0)</f>
        <v>0</v>
      </c>
      <c r="EI39" s="148">
        <f>IF(EI37&lt;=CONSTR_EFF,1,0)</f>
        <v>0</v>
      </c>
      <c r="EJ39" s="148">
        <f>IF(EJ37&lt;=CONSTR_EFF,1,0)</f>
        <v>0</v>
      </c>
      <c r="EK39" s="148">
        <f>IF(EK37&lt;=CONSTR_EFF,1,0)</f>
        <v>0</v>
      </c>
      <c r="EL39" s="148">
        <f>IF(EL37&lt;=CONSTR_EFF,1,0)</f>
        <v>0</v>
      </c>
      <c r="EM39" s="148">
        <f>IF(EM37&lt;=CONSTR_EFF,1,0)</f>
        <v>0</v>
      </c>
      <c r="EN39" s="148">
        <f>IF(EN37&lt;=CONSTR_EFF,1,0)</f>
        <v>0</v>
      </c>
      <c r="EO39" s="148">
        <f>IF(EO37&lt;=CONSTR_EFF,1,0)</f>
        <v>0</v>
      </c>
      <c r="EP39" s="148">
        <f>IF(EP37&lt;=CONSTR_EFF,1,0)</f>
        <v>0</v>
      </c>
      <c r="EQ39" s="148">
        <f>IF(EQ37&lt;=CONSTR_EFF,1,0)</f>
        <v>0</v>
      </c>
      <c r="ER39" s="148">
        <f>IF(ER37&lt;=CONSTR_EFF,1,0)</f>
        <v>0</v>
      </c>
      <c r="ES39" s="148">
        <f>IF(ES37&lt;=CONSTR_EFF,1,0)</f>
        <v>0</v>
      </c>
      <c r="ET39" s="148">
        <f>IF(ET37&lt;=CONSTR_EFF,1,0)</f>
        <v>0</v>
      </c>
      <c r="EU39" s="148">
        <f>IF(EU37&lt;=CONSTR_EFF,1,0)</f>
        <v>0</v>
      </c>
      <c r="EV39" s="148">
        <f>IF(EV37&lt;=CONSTR_EFF,1,0)</f>
        <v>0</v>
      </c>
      <c r="EW39" s="148">
        <f>IF(EW37&lt;=CONSTR_EFF,1,0)</f>
        <v>0</v>
      </c>
      <c r="EX39" s="148">
        <f>IF(EX37&lt;=CONSTR_EFF,1,0)</f>
        <v>0</v>
      </c>
      <c r="EY39" s="148">
        <f>IF(EY37&lt;=CONSTR_EFF,1,0)</f>
        <v>0</v>
      </c>
      <c r="EZ39" s="148">
        <f>IF(EZ37&lt;=CONSTR_EFF,1,0)</f>
        <v>0</v>
      </c>
      <c r="FA39" s="148">
        <f>IF(FA37&lt;=CONSTR_EFF,1,0)</f>
        <v>0</v>
      </c>
      <c r="FB39" s="148">
        <f>IF(FB37&lt;=CONSTR_EFF,1,0)</f>
        <v>0</v>
      </c>
      <c r="FC39" s="148">
        <f>IF(FC37&lt;=CONSTR_EFF,1,0)</f>
        <v>0</v>
      </c>
      <c r="FD39" s="148">
        <f>IF(FD37&lt;=CONSTR_EFF,1,0)</f>
        <v>0</v>
      </c>
      <c r="FE39" s="148">
        <f>IF(FE37&lt;=CONSTR_EFF,1,0)</f>
        <v>0</v>
      </c>
      <c r="FF39" s="148">
        <f>IF(FF37&lt;=CONSTR_EFF,1,0)</f>
        <v>0</v>
      </c>
      <c r="FG39" s="148">
        <f>IF(FG37&lt;=CONSTR_EFF,1,0)</f>
        <v>0</v>
      </c>
      <c r="FH39" s="148">
        <f>IF(FH37&lt;=CONSTR_EFF,1,0)</f>
        <v>0</v>
      </c>
      <c r="FI39" s="148">
        <f>IF(FI37&lt;=CONSTR_EFF,1,0)</f>
        <v>0</v>
      </c>
      <c r="FJ39" s="148">
        <f>IF(FJ37&lt;=CONSTR_EFF,1,0)</f>
        <v>0</v>
      </c>
      <c r="FK39" s="148">
        <f>IF(FK37&lt;=CONSTR_EFF,1,0)</f>
        <v>0</v>
      </c>
      <c r="FL39" s="148">
        <f>IF(FL37&lt;=CONSTR_EFF,1,0)</f>
        <v>0</v>
      </c>
      <c r="FM39" s="148">
        <f>IF(FM37&lt;=CONSTR_EFF,1,0)</f>
        <v>0</v>
      </c>
      <c r="FN39" s="148">
        <f>IF(FN37&lt;=CONSTR_EFF,1,0)</f>
        <v>0</v>
      </c>
      <c r="FO39" s="148">
        <f>IF(FO37&lt;=CONSTR_EFF,1,0)</f>
        <v>0</v>
      </c>
      <c r="FP39" s="148">
        <f>IF(FP37&lt;=CONSTR_EFF,1,0)</f>
        <v>0</v>
      </c>
      <c r="FQ39" s="148">
        <f>IF(FQ37&lt;=CONSTR_EFF,1,0)</f>
        <v>0</v>
      </c>
      <c r="FR39" s="148">
        <f>IF(FR37&lt;=CONSTR_EFF,1,0)</f>
        <v>0</v>
      </c>
      <c r="FS39" s="148">
        <f>IF(FS37&lt;=CONSTR_EFF,1,0)</f>
        <v>0</v>
      </c>
      <c r="FT39" s="148">
        <f>IF(FT37&lt;=CONSTR_EFF,1,0)</f>
        <v>0</v>
      </c>
      <c r="FU39" s="148">
        <f>IF(FU37&lt;=CONSTR_EFF,1,0)</f>
        <v>0</v>
      </c>
      <c r="FV39" s="148">
        <f>IF(FV37&lt;=CONSTR_EFF,1,0)</f>
        <v>0</v>
      </c>
      <c r="FW39" s="148">
        <f>IF(FW37&lt;=CONSTR_EFF,1,0)</f>
        <v>0</v>
      </c>
      <c r="FX39" s="148">
        <f>IF(FX37&lt;=CONSTR_EFF,1,0)</f>
        <v>0</v>
      </c>
      <c r="FY39" s="148">
        <f>IF(FY37&lt;=CONSTR_EFF,1,0)</f>
        <v>0</v>
      </c>
      <c r="FZ39" s="148">
        <f>IF(FZ37&lt;=CONSTR_EFF,1,0)</f>
        <v>0</v>
      </c>
      <c r="GA39" s="148">
        <f>IF(GA37&lt;=CONSTR_EFF,1,0)</f>
        <v>0</v>
      </c>
      <c r="GB39" s="148">
        <f>IF(GB37&lt;=CONSTR_EFF,1,0)</f>
        <v>0</v>
      </c>
      <c r="GC39" s="148">
        <f>IF(GC37&lt;=CONSTR_EFF,1,0)</f>
        <v>0</v>
      </c>
      <c r="GD39" s="148">
        <f>IF(GD37&lt;=CONSTR_EFF,1,0)</f>
        <v>0</v>
      </c>
      <c r="GE39" s="148">
        <f>IF(GE37&lt;=CONSTR_EFF,1,0)</f>
        <v>0</v>
      </c>
      <c r="GF39" s="148">
        <f>IF(GF37&lt;=CONSTR_EFF,1,0)</f>
        <v>0</v>
      </c>
      <c r="GG39" s="148">
        <f>IF(GG37&lt;=CONSTR_EFF,1,0)</f>
        <v>0</v>
      </c>
      <c r="GH39" s="148">
        <f>IF(GH37&lt;=CONSTR_EFF,1,0)</f>
        <v>0</v>
      </c>
      <c r="GI39" s="148">
        <f>IF(GI37&lt;=CONSTR_EFF,1,0)</f>
        <v>0</v>
      </c>
      <c r="GJ39" s="148">
        <f>IF(GJ37&lt;=CONSTR_EFF,1,0)</f>
        <v>0</v>
      </c>
      <c r="GK39" s="148">
        <f>IF(GK37&lt;=CONSTR_EFF,1,0)</f>
        <v>0</v>
      </c>
      <c r="GL39" s="148">
        <f>IF(GL37&lt;=CONSTR_EFF,1,0)</f>
        <v>0</v>
      </c>
      <c r="GM39" s="148">
        <f>IF(GM37&lt;=CONSTR_EFF,1,0)</f>
        <v>0</v>
      </c>
      <c r="GN39" s="148">
        <f>IF(GN37&lt;=CONSTR_EFF,1,0)</f>
        <v>0</v>
      </c>
      <c r="GO39" s="148">
        <f>IF(GO37&lt;=CONSTR_EFF,1,0)</f>
        <v>0</v>
      </c>
      <c r="GP39" s="148">
        <f>IF(GP37&lt;=CONSTR_EFF,1,0)</f>
        <v>0</v>
      </c>
      <c r="GQ39" s="148">
        <f>IF(GQ37&lt;=CONSTR_EFF,1,0)</f>
        <v>0</v>
      </c>
      <c r="GR39" s="148">
        <f>IF(GR37&lt;=CONSTR_EFF,1,0)</f>
        <v>0</v>
      </c>
      <c r="GS39" s="148">
        <f>IF(GS37&lt;=CONSTR_EFF,1,0)</f>
        <v>0</v>
      </c>
      <c r="GT39" s="148">
        <f>IF(GT37&lt;=CONSTR_EFF,1,0)</f>
        <v>0</v>
      </c>
      <c r="GU39" s="148">
        <f>IF(GU37&lt;=CONSTR_EFF,1,0)</f>
        <v>0</v>
      </c>
      <c r="GV39" s="148">
        <f>IF(GV37&lt;=CONSTR_EFF,1,0)</f>
        <v>0</v>
      </c>
      <c r="GW39" s="148">
        <f>IF(GW37&lt;=CONSTR_EFF,1,0)</f>
        <v>0</v>
      </c>
      <c r="GX39" s="148">
        <f>IF(GX37&lt;=CONSTR_EFF,1,0)</f>
        <v>0</v>
      </c>
      <c r="GY39" s="148">
        <f>IF(GY37&lt;=CONSTR_EFF,1,0)</f>
        <v>0</v>
      </c>
      <c r="GZ39" s="148">
        <f>IF(GZ37&lt;=CONSTR_EFF,1,0)</f>
        <v>0</v>
      </c>
      <c r="HA39" s="148">
        <f>IF(HA37&lt;=CONSTR_EFF,1,0)</f>
        <v>0</v>
      </c>
      <c r="HB39" s="148">
        <f>IF(HB37&lt;=CONSTR_EFF,1,0)</f>
        <v>0</v>
      </c>
      <c r="HC39" s="148">
        <f>IF(HC37&lt;=CONSTR_EFF,1,0)</f>
        <v>0</v>
      </c>
      <c r="HD39" s="148">
        <f>IF(HD37&lt;=CONSTR_EFF,1,0)</f>
        <v>0</v>
      </c>
      <c r="HE39" s="148">
        <f>IF(HE37&lt;=CONSTR_EFF,1,0)</f>
        <v>0</v>
      </c>
      <c r="HF39" s="148">
        <f>IF(HF37&lt;=CONSTR_EFF,1,0)</f>
        <v>0</v>
      </c>
      <c r="HG39" s="148">
        <f>IF(HG37&lt;=CONSTR_EFF,1,0)</f>
        <v>0</v>
      </c>
      <c r="HH39" s="148">
        <f>IF(HH37&lt;=CONSTR_EFF,1,0)</f>
        <v>0</v>
      </c>
      <c r="HI39" s="148">
        <f>IF(HI37&lt;=CONSTR_EFF,1,0)</f>
        <v>0</v>
      </c>
      <c r="HJ39" s="148">
        <f>IF(HJ37&lt;=CONSTR_EFF,1,0)</f>
        <v>0</v>
      </c>
      <c r="HK39" s="148">
        <f>IF(HK37&lt;=CONSTR_EFF,1,0)</f>
        <v>0</v>
      </c>
      <c r="HL39" s="148">
        <f>IF(HL37&lt;=CONSTR_EFF,1,0)</f>
        <v>0</v>
      </c>
      <c r="HM39" s="148">
        <f>IF(HM37&lt;=CONSTR_EFF,1,0)</f>
        <v>0</v>
      </c>
      <c r="HN39" s="148">
        <f>IF(HN37&lt;=CONSTR_EFF,1,0)</f>
        <v>0</v>
      </c>
      <c r="HO39" s="148">
        <f>IF(HO37&lt;=CONSTR_EFF,1,0)</f>
        <v>0</v>
      </c>
      <c r="HP39" s="148">
        <f>IF(HP37&lt;=CONSTR_EFF,1,0)</f>
        <v>0</v>
      </c>
      <c r="HQ39" s="148">
        <f>IF(HQ37&lt;=CONSTR_EFF,1,0)</f>
        <v>0</v>
      </c>
      <c r="HR39" s="148">
        <f>IF(HR37&lt;=CONSTR_EFF,1,0)</f>
        <v>0</v>
      </c>
      <c r="HS39" s="148">
        <f>IF(HS37&lt;=CONSTR_EFF,1,0)</f>
        <v>0</v>
      </c>
      <c r="HT39" s="148">
        <f>IF(HT37&lt;=CONSTR_EFF,1,0)</f>
        <v>0</v>
      </c>
      <c r="HU39" s="148">
        <f>IF(HU37&lt;=CONSTR_EFF,1,0)</f>
        <v>0</v>
      </c>
      <c r="HV39" s="148">
        <f>IF(HV37&lt;=CONSTR_EFF,1,0)</f>
        <v>0</v>
      </c>
      <c r="HW39" s="148">
        <f>IF(HW37&lt;=CONSTR_EFF,1,0)</f>
        <v>0</v>
      </c>
      <c r="HX39" s="148">
        <f>IF(HX37&lt;=CONSTR_EFF,1,0)</f>
        <v>0</v>
      </c>
      <c r="HY39" s="148">
        <f>IF(HY37&lt;=CONSTR_EFF,1,0)</f>
        <v>0</v>
      </c>
      <c r="HZ39" s="148">
        <f>IF(HZ37&lt;=CONSTR_EFF,1,0)</f>
        <v>0</v>
      </c>
      <c r="IA39" s="148">
        <f>IF(IA37&lt;=CONSTR_EFF,1,0)</f>
        <v>0</v>
      </c>
      <c r="IB39" s="148">
        <f>IF(IB37&lt;=CONSTR_EFF,1,0)</f>
        <v>0</v>
      </c>
      <c r="IC39" s="148">
        <f>IF(IC37&lt;=CONSTR_EFF,1,0)</f>
        <v>0</v>
      </c>
      <c r="ID39" s="148">
        <f>IF(ID37&lt;=CONSTR_EFF,1,0)</f>
        <v>0</v>
      </c>
      <c r="IE39" s="148">
        <f>IF(IE37&lt;=CONSTR_EFF,1,0)</f>
        <v>0</v>
      </c>
      <c r="IF39" s="148">
        <f>IF(IF37&lt;=CONSTR_EFF,1,0)</f>
        <v>0</v>
      </c>
      <c r="IG39" s="148">
        <f>IF(IG37&lt;=CONSTR_EFF,1,0)</f>
        <v>0</v>
      </c>
      <c r="IH39" s="148">
        <f>IF(IH37&lt;=CONSTR_EFF,1,0)</f>
        <v>0</v>
      </c>
      <c r="II39" s="148">
        <f>IF(II37&lt;=CONSTR_EFF,1,0)</f>
        <v>0</v>
      </c>
      <c r="IJ39" s="148">
        <f>IF(IJ37&lt;=CONSTR_EFF,1,0)</f>
        <v>0</v>
      </c>
      <c r="IK39" s="148">
        <f>IF(IK37&lt;=CONSTR_EFF,1,0)</f>
        <v>0</v>
      </c>
      <c r="IL39" s="148">
        <f>IF(IL37&lt;=CONSTR_EFF,1,0)</f>
        <v>0</v>
      </c>
      <c r="IM39" s="148">
        <f>IF(IM37&lt;=CONSTR_EFF,1,0)</f>
        <v>0</v>
      </c>
      <c r="IN39" s="148">
        <f>IF(IN37&lt;=CONSTR_EFF,1,0)</f>
        <v>0</v>
      </c>
      <c r="IO39" s="148">
        <f>IF(IO37&lt;=CONSTR_EFF,1,0)</f>
        <v>0</v>
      </c>
      <c r="IP39" s="148">
        <f>IF(IP37&lt;=CONSTR_EFF,1,0)</f>
        <v>0</v>
      </c>
      <c r="IQ39" s="148">
        <f>IF(IQ37&lt;=CONSTR_EFF,1,0)</f>
        <v>0</v>
      </c>
      <c r="IR39" s="148">
        <f>IF(IR37&lt;=CONSTR_EFF,1,0)</f>
        <v>0</v>
      </c>
      <c r="IS39" s="148">
        <f>IF(IS37&lt;=CONSTR_EFF,1,0)</f>
        <v>0</v>
      </c>
      <c r="IT39" s="148">
        <f>IF(IT37&lt;=CONSTR_EFF,1,0)</f>
        <v>0</v>
      </c>
      <c r="IU39" s="148">
        <f>IF(IU37&lt;=CONSTR_EFF,1,0)</f>
        <v>0</v>
      </c>
      <c r="IV39" s="148">
        <f>IF(IV37&lt;=CONSTR_EFF,1,0)</f>
        <v>0</v>
      </c>
      <c r="IW39" s="148">
        <f>IF(IW37&lt;=CONSTR_EFF,1,0)</f>
        <v>0</v>
      </c>
      <c r="IX39" s="148">
        <f>IF(IX37&lt;=CONSTR_EFF,1,0)</f>
        <v>0</v>
      </c>
      <c r="IY39" s="148">
        <f>IF(IY37&lt;=CONSTR_EFF,1,0)</f>
        <v>0</v>
      </c>
      <c r="IZ39" s="148">
        <f>IF(IZ37&lt;=CONSTR_EFF,1,0)</f>
        <v>0</v>
      </c>
      <c r="JA39" s="148">
        <f>IF(JA37&lt;=CONSTR_EFF,1,0)</f>
        <v>0</v>
      </c>
      <c r="JB39" s="148">
        <f>IF(JB37&lt;=CONSTR_EFF,1,0)</f>
        <v>0</v>
      </c>
      <c r="JC39" s="148">
        <f>IF(JC37&lt;=CONSTR_EFF,1,0)</f>
        <v>0</v>
      </c>
      <c r="JD39" s="148">
        <f>IF(JD37&lt;=CONSTR_EFF,1,0)</f>
        <v>0</v>
      </c>
      <c r="JE39" s="148">
        <f>IF(JE37&lt;=CONSTR_EFF,1,0)</f>
        <v>0</v>
      </c>
      <c r="JF39" s="148">
        <f>IF(JF37&lt;=CONSTR_EFF,1,0)</f>
        <v>0</v>
      </c>
      <c r="JG39" s="148">
        <f>IF(JG37&lt;=CONSTR_EFF,1,0)</f>
        <v>0</v>
      </c>
      <c r="JH39" s="148">
        <f>IF(JH37&lt;=CONSTR_EFF,1,0)</f>
        <v>0</v>
      </c>
      <c r="JI39" s="148">
        <f>IF(JI37&lt;=CONSTR_EFF,1,0)</f>
        <v>0</v>
      </c>
      <c r="JJ39" s="148">
        <f>IF(JJ37&lt;=CONSTR_EFF,1,0)</f>
        <v>0</v>
      </c>
      <c r="JK39" s="148">
        <f>IF(JK37&lt;=CONSTR_EFF,1,0)</f>
        <v>0</v>
      </c>
      <c r="JL39" s="148">
        <f>IF(JL37&lt;=CONSTR_EFF,1,0)</f>
        <v>0</v>
      </c>
      <c r="JM39" s="148">
        <f>IF(JM37&lt;=CONSTR_EFF,1,0)</f>
        <v>0</v>
      </c>
      <c r="JN39" s="148">
        <f>IF(JN37&lt;=CONSTR_EFF,1,0)</f>
        <v>0</v>
      </c>
      <c r="JO39" s="148">
        <f>IF(JO37&lt;=CONSTR_EFF,1,0)</f>
        <v>0</v>
      </c>
      <c r="JP39" s="148">
        <f>IF(JP37&lt;=CONSTR_EFF,1,0)</f>
        <v>0</v>
      </c>
      <c r="JQ39" s="148">
        <f>IF(JQ37&lt;=CONSTR_EFF,1,0)</f>
        <v>0</v>
      </c>
      <c r="JR39" s="148">
        <f>IF(JR37&lt;=CONSTR_EFF,1,0)</f>
        <v>0</v>
      </c>
      <c r="JS39" s="148">
        <f>IF(JS37&lt;=CONSTR_EFF,1,0)</f>
        <v>0</v>
      </c>
      <c r="JT39" s="148">
        <f>IF(JT37&lt;=CONSTR_EFF,1,0)</f>
        <v>0</v>
      </c>
      <c r="JU39" s="148">
        <f>IF(JU37&lt;=CONSTR_EFF,1,0)</f>
        <v>0</v>
      </c>
      <c r="JV39" s="148">
        <f>IF(JV37&lt;=CONSTR_EFF,1,0)</f>
        <v>0</v>
      </c>
      <c r="JW39" s="148">
        <f>IF(JW37&lt;=CONSTR_EFF,1,0)</f>
        <v>0</v>
      </c>
      <c r="JX39" s="148">
        <f>IF(JX37&lt;=CONSTR_EFF,1,0)</f>
        <v>0</v>
      </c>
      <c r="JY39" s="148">
        <f>IF(JY37&lt;=CONSTR_EFF,1,0)</f>
        <v>0</v>
      </c>
      <c r="JZ39" s="148">
        <f>IF(JZ37&lt;=CONSTR_EFF,1,0)</f>
        <v>0</v>
      </c>
      <c r="KA39" s="148">
        <f>IF(KA37&lt;=CONSTR_EFF,1,0)</f>
        <v>0</v>
      </c>
      <c r="KB39" s="148">
        <f>IF(KB37&lt;=CONSTR_EFF,1,0)</f>
        <v>0</v>
      </c>
      <c r="KC39" s="148">
        <f>IF(KC37&lt;=CONSTR_EFF,1,0)</f>
        <v>0</v>
      </c>
      <c r="KD39" s="148">
        <f>IF(KD37&lt;=CONSTR_EFF,1,0)</f>
        <v>0</v>
      </c>
      <c r="KE39" s="148">
        <f>IF(KE37&lt;=CONSTR_EFF,1,0)</f>
        <v>0</v>
      </c>
      <c r="KF39" s="148">
        <f>IF(KF37&lt;=CONSTR_EFF,1,0)</f>
        <v>0</v>
      </c>
    </row>
    <row r="40">
      <c r="B40" s="36" t="inlineStr">
        <is>
          <t>Months after completion k</t>
        </is>
      </c>
      <c r="C40" s="117" t="inlineStr">
        <is>
          <t>no.</t>
        </is>
      </c>
      <c r="E40" s="148">
        <f>E37-CONSTR_EFF</f>
        <v>-29</v>
      </c>
      <c r="F40" s="148">
        <f>F37-CONSTR_EFF</f>
        <v>-28</v>
      </c>
      <c r="G40" s="148">
        <f>G37-CONSTR_EFF</f>
        <v>-27</v>
      </c>
      <c r="H40" s="148">
        <f>H37-CONSTR_EFF</f>
        <v>-26</v>
      </c>
      <c r="I40" s="148">
        <f>I37-CONSTR_EFF</f>
        <v>-25</v>
      </c>
      <c r="J40" s="148">
        <f>J37-CONSTR_EFF</f>
        <v>-24</v>
      </c>
      <c r="K40" s="148">
        <f>K37-CONSTR_EFF</f>
        <v>-23</v>
      </c>
      <c r="L40" s="148">
        <f>L37-CONSTR_EFF</f>
        <v>-22</v>
      </c>
      <c r="M40" s="148">
        <f>M37-CONSTR_EFF</f>
        <v>-21</v>
      </c>
      <c r="N40" s="148">
        <f>N37-CONSTR_EFF</f>
        <v>-20</v>
      </c>
      <c r="O40" s="148">
        <f>O37-CONSTR_EFF</f>
        <v>-19</v>
      </c>
      <c r="P40" s="148">
        <f>P37-CONSTR_EFF</f>
        <v>-18</v>
      </c>
      <c r="Q40" s="148">
        <f>Q37-CONSTR_EFF</f>
        <v>-17</v>
      </c>
      <c r="R40" s="148">
        <f>R37-CONSTR_EFF</f>
        <v>-16</v>
      </c>
      <c r="S40" s="148">
        <f>S37-CONSTR_EFF</f>
        <v>-15</v>
      </c>
      <c r="T40" s="148">
        <f>T37-CONSTR_EFF</f>
        <v>-14</v>
      </c>
      <c r="U40" s="148">
        <f>U37-CONSTR_EFF</f>
        <v>-13</v>
      </c>
      <c r="V40" s="148">
        <f>V37-CONSTR_EFF</f>
        <v>-12</v>
      </c>
      <c r="W40" s="148">
        <f>W37-CONSTR_EFF</f>
        <v>-11</v>
      </c>
      <c r="X40" s="148">
        <f>X37-CONSTR_EFF</f>
        <v>-10</v>
      </c>
      <c r="Y40" s="148">
        <f>Y37-CONSTR_EFF</f>
        <v>-9</v>
      </c>
      <c r="Z40" s="148">
        <f>Z37-CONSTR_EFF</f>
        <v>-8</v>
      </c>
      <c r="AA40" s="148">
        <f>AA37-CONSTR_EFF</f>
        <v>-7</v>
      </c>
      <c r="AB40" s="148">
        <f>AB37-CONSTR_EFF</f>
        <v>-6</v>
      </c>
      <c r="AC40" s="148">
        <f>AC37-CONSTR_EFF</f>
        <v>-5</v>
      </c>
      <c r="AD40" s="148">
        <f>AD37-CONSTR_EFF</f>
        <v>-4</v>
      </c>
      <c r="AE40" s="148">
        <f>AE37-CONSTR_EFF</f>
        <v>-3</v>
      </c>
      <c r="AF40" s="148">
        <f>AF37-CONSTR_EFF</f>
        <v>-2</v>
      </c>
      <c r="AG40" s="148">
        <f>AG37-CONSTR_EFF</f>
        <v>-1</v>
      </c>
      <c r="AH40" s="148">
        <f>AH37-CONSTR_EFF</f>
        <v>0</v>
      </c>
      <c r="AI40" s="148">
        <f>AI37-CONSTR_EFF</f>
        <v>1</v>
      </c>
      <c r="AJ40" s="148">
        <f>AJ37-CONSTR_EFF</f>
        <v>2</v>
      </c>
      <c r="AK40" s="148">
        <f>AK37-CONSTR_EFF</f>
        <v>3</v>
      </c>
      <c r="AL40" s="148">
        <f>AL37-CONSTR_EFF</f>
        <v>4</v>
      </c>
      <c r="AM40" s="148">
        <f>AM37-CONSTR_EFF</f>
        <v>5</v>
      </c>
      <c r="AN40" s="148">
        <f>AN37-CONSTR_EFF</f>
        <v>6</v>
      </c>
      <c r="AO40" s="148">
        <f>AO37-CONSTR_EFF</f>
        <v>7</v>
      </c>
      <c r="AP40" s="148">
        <f>AP37-CONSTR_EFF</f>
        <v>8</v>
      </c>
      <c r="AQ40" s="148">
        <f>AQ37-CONSTR_EFF</f>
        <v>9</v>
      </c>
      <c r="AR40" s="148">
        <f>AR37-CONSTR_EFF</f>
        <v>10</v>
      </c>
      <c r="AS40" s="148">
        <f>AS37-CONSTR_EFF</f>
        <v>11</v>
      </c>
      <c r="AT40" s="148">
        <f>AT37-CONSTR_EFF</f>
        <v>12</v>
      </c>
      <c r="AU40" s="148">
        <f>AU37-CONSTR_EFF</f>
        <v>13</v>
      </c>
      <c r="AV40" s="148">
        <f>AV37-CONSTR_EFF</f>
        <v>14</v>
      </c>
      <c r="AW40" s="148">
        <f>AW37-CONSTR_EFF</f>
        <v>15</v>
      </c>
      <c r="AX40" s="148">
        <f>AX37-CONSTR_EFF</f>
        <v>16</v>
      </c>
      <c r="AY40" s="148">
        <f>AY37-CONSTR_EFF</f>
        <v>17</v>
      </c>
      <c r="AZ40" s="148">
        <f>AZ37-CONSTR_EFF</f>
        <v>18</v>
      </c>
      <c r="BA40" s="148">
        <f>BA37-CONSTR_EFF</f>
        <v>19</v>
      </c>
      <c r="BB40" s="148">
        <f>BB37-CONSTR_EFF</f>
        <v>20</v>
      </c>
      <c r="BC40" s="148">
        <f>BC37-CONSTR_EFF</f>
        <v>21</v>
      </c>
      <c r="BD40" s="148">
        <f>BD37-CONSTR_EFF</f>
        <v>22</v>
      </c>
      <c r="BE40" s="148">
        <f>BE37-CONSTR_EFF</f>
        <v>23</v>
      </c>
      <c r="BF40" s="148">
        <f>BF37-CONSTR_EFF</f>
        <v>24</v>
      </c>
      <c r="BG40" s="148">
        <f>BG37-CONSTR_EFF</f>
        <v>25</v>
      </c>
      <c r="BH40" s="148">
        <f>BH37-CONSTR_EFF</f>
        <v>26</v>
      </c>
      <c r="BI40" s="148">
        <f>BI37-CONSTR_EFF</f>
        <v>27</v>
      </c>
      <c r="BJ40" s="148">
        <f>BJ37-CONSTR_EFF</f>
        <v>28</v>
      </c>
      <c r="BK40" s="148">
        <f>BK37-CONSTR_EFF</f>
        <v>29</v>
      </c>
      <c r="BL40" s="148">
        <f>BL37-CONSTR_EFF</f>
        <v>30</v>
      </c>
      <c r="BM40" s="148">
        <f>BM37-CONSTR_EFF</f>
        <v>31</v>
      </c>
      <c r="BN40" s="148">
        <f>BN37-CONSTR_EFF</f>
        <v>32</v>
      </c>
      <c r="BO40" s="148">
        <f>BO37-CONSTR_EFF</f>
        <v>33</v>
      </c>
      <c r="BP40" s="148">
        <f>BP37-CONSTR_EFF</f>
        <v>34</v>
      </c>
      <c r="BQ40" s="148">
        <f>BQ37-CONSTR_EFF</f>
        <v>35</v>
      </c>
      <c r="BR40" s="148">
        <f>BR37-CONSTR_EFF</f>
        <v>36</v>
      </c>
      <c r="BS40" s="148">
        <f>BS37-CONSTR_EFF</f>
        <v>37</v>
      </c>
      <c r="BT40" s="148">
        <f>BT37-CONSTR_EFF</f>
        <v>38</v>
      </c>
      <c r="BU40" s="148">
        <f>BU37-CONSTR_EFF</f>
        <v>39</v>
      </c>
      <c r="BV40" s="148">
        <f>BV37-CONSTR_EFF</f>
        <v>40</v>
      </c>
      <c r="BW40" s="148">
        <f>BW37-CONSTR_EFF</f>
        <v>41</v>
      </c>
      <c r="BX40" s="148">
        <f>BX37-CONSTR_EFF</f>
        <v>42</v>
      </c>
      <c r="BY40" s="148">
        <f>BY37-CONSTR_EFF</f>
        <v>43</v>
      </c>
      <c r="BZ40" s="148">
        <f>BZ37-CONSTR_EFF</f>
        <v>44</v>
      </c>
      <c r="CA40" s="148">
        <f>CA37-CONSTR_EFF</f>
        <v>45</v>
      </c>
      <c r="CB40" s="148">
        <f>CB37-CONSTR_EFF</f>
        <v>46</v>
      </c>
      <c r="CC40" s="148">
        <f>CC37-CONSTR_EFF</f>
        <v>47</v>
      </c>
      <c r="CD40" s="148">
        <f>CD37-CONSTR_EFF</f>
        <v>48</v>
      </c>
      <c r="CE40" s="148">
        <f>CE37-CONSTR_EFF</f>
        <v>49</v>
      </c>
      <c r="CF40" s="148">
        <f>CF37-CONSTR_EFF</f>
        <v>50</v>
      </c>
      <c r="CG40" s="148">
        <f>CG37-CONSTR_EFF</f>
        <v>51</v>
      </c>
      <c r="CH40" s="148">
        <f>CH37-CONSTR_EFF</f>
        <v>52</v>
      </c>
      <c r="CI40" s="148">
        <f>CI37-CONSTR_EFF</f>
        <v>53</v>
      </c>
      <c r="CJ40" s="148">
        <f>CJ37-CONSTR_EFF</f>
        <v>54</v>
      </c>
      <c r="CK40" s="148">
        <f>CK37-CONSTR_EFF</f>
        <v>55</v>
      </c>
      <c r="CL40" s="148">
        <f>CL37-CONSTR_EFF</f>
        <v>56</v>
      </c>
      <c r="CM40" s="148">
        <f>CM37-CONSTR_EFF</f>
        <v>57</v>
      </c>
      <c r="CN40" s="148">
        <f>CN37-CONSTR_EFF</f>
        <v>58</v>
      </c>
      <c r="CO40" s="148">
        <f>CO37-CONSTR_EFF</f>
        <v>59</v>
      </c>
      <c r="CP40" s="148">
        <f>CP37-CONSTR_EFF</f>
        <v>60</v>
      </c>
      <c r="CQ40" s="148">
        <f>CQ37-CONSTR_EFF</f>
        <v>61</v>
      </c>
      <c r="CR40" s="148">
        <f>CR37-CONSTR_EFF</f>
        <v>62</v>
      </c>
      <c r="CS40" s="148">
        <f>CS37-CONSTR_EFF</f>
        <v>63</v>
      </c>
      <c r="CT40" s="148">
        <f>CT37-CONSTR_EFF</f>
        <v>64</v>
      </c>
      <c r="CU40" s="148">
        <f>CU37-CONSTR_EFF</f>
        <v>65</v>
      </c>
      <c r="CV40" s="148">
        <f>CV37-CONSTR_EFF</f>
        <v>66</v>
      </c>
      <c r="CW40" s="148">
        <f>CW37-CONSTR_EFF</f>
        <v>67</v>
      </c>
      <c r="CX40" s="148">
        <f>CX37-CONSTR_EFF</f>
        <v>68</v>
      </c>
      <c r="CY40" s="148">
        <f>CY37-CONSTR_EFF</f>
        <v>69</v>
      </c>
      <c r="CZ40" s="148">
        <f>CZ37-CONSTR_EFF</f>
        <v>70</v>
      </c>
      <c r="DA40" s="148">
        <f>DA37-CONSTR_EFF</f>
        <v>71</v>
      </c>
      <c r="DB40" s="148">
        <f>DB37-CONSTR_EFF</f>
        <v>72</v>
      </c>
      <c r="DC40" s="148">
        <f>DC37-CONSTR_EFF</f>
        <v>73</v>
      </c>
      <c r="DD40" s="148">
        <f>DD37-CONSTR_EFF</f>
        <v>74</v>
      </c>
      <c r="DE40" s="148">
        <f>DE37-CONSTR_EFF</f>
        <v>75</v>
      </c>
      <c r="DF40" s="148">
        <f>DF37-CONSTR_EFF</f>
        <v>76</v>
      </c>
      <c r="DG40" s="148">
        <f>DG37-CONSTR_EFF</f>
        <v>77</v>
      </c>
      <c r="DH40" s="148">
        <f>DH37-CONSTR_EFF</f>
        <v>78</v>
      </c>
      <c r="DI40" s="148">
        <f>DI37-CONSTR_EFF</f>
        <v>79</v>
      </c>
      <c r="DJ40" s="148">
        <f>DJ37-CONSTR_EFF</f>
        <v>80</v>
      </c>
      <c r="DK40" s="148">
        <f>DK37-CONSTR_EFF</f>
        <v>81</v>
      </c>
      <c r="DL40" s="148">
        <f>DL37-CONSTR_EFF</f>
        <v>82</v>
      </c>
      <c r="DM40" s="148">
        <f>DM37-CONSTR_EFF</f>
        <v>83</v>
      </c>
      <c r="DN40" s="148">
        <f>DN37-CONSTR_EFF</f>
        <v>84</v>
      </c>
      <c r="DO40" s="148">
        <f>DO37-CONSTR_EFF</f>
        <v>85</v>
      </c>
      <c r="DP40" s="148">
        <f>DP37-CONSTR_EFF</f>
        <v>86</v>
      </c>
      <c r="DQ40" s="148">
        <f>DQ37-CONSTR_EFF</f>
        <v>87</v>
      </c>
      <c r="DR40" s="148">
        <f>DR37-CONSTR_EFF</f>
        <v>88</v>
      </c>
      <c r="DS40" s="148">
        <f>DS37-CONSTR_EFF</f>
        <v>89</v>
      </c>
      <c r="DT40" s="148">
        <f>DT37-CONSTR_EFF</f>
        <v>90</v>
      </c>
      <c r="DU40" s="148">
        <f>DU37-CONSTR_EFF</f>
        <v>91</v>
      </c>
      <c r="DV40" s="148">
        <f>DV37-CONSTR_EFF</f>
        <v>92</v>
      </c>
      <c r="DW40" s="148">
        <f>DW37-CONSTR_EFF</f>
        <v>93</v>
      </c>
      <c r="DX40" s="148">
        <f>DX37-CONSTR_EFF</f>
        <v>94</v>
      </c>
      <c r="DY40" s="148">
        <f>DY37-CONSTR_EFF</f>
        <v>95</v>
      </c>
      <c r="DZ40" s="148">
        <f>DZ37-CONSTR_EFF</f>
        <v>96</v>
      </c>
      <c r="EA40" s="148">
        <f>EA37-CONSTR_EFF</f>
        <v>97</v>
      </c>
      <c r="EB40" s="148">
        <f>EB37-CONSTR_EFF</f>
        <v>98</v>
      </c>
      <c r="EC40" s="148">
        <f>EC37-CONSTR_EFF</f>
        <v>99</v>
      </c>
      <c r="ED40" s="148">
        <f>ED37-CONSTR_EFF</f>
        <v>100</v>
      </c>
      <c r="EE40" s="148">
        <f>EE37-CONSTR_EFF</f>
        <v>101</v>
      </c>
      <c r="EF40" s="148">
        <f>EF37-CONSTR_EFF</f>
        <v>102</v>
      </c>
      <c r="EG40" s="148">
        <f>EG37-CONSTR_EFF</f>
        <v>103</v>
      </c>
      <c r="EH40" s="148">
        <f>EH37-CONSTR_EFF</f>
        <v>104</v>
      </c>
      <c r="EI40" s="148">
        <f>EI37-CONSTR_EFF</f>
        <v>105</v>
      </c>
      <c r="EJ40" s="148">
        <f>EJ37-CONSTR_EFF</f>
        <v>106</v>
      </c>
      <c r="EK40" s="148">
        <f>EK37-CONSTR_EFF</f>
        <v>107</v>
      </c>
      <c r="EL40" s="148">
        <f>EL37-CONSTR_EFF</f>
        <v>108</v>
      </c>
      <c r="EM40" s="148">
        <f>EM37-CONSTR_EFF</f>
        <v>109</v>
      </c>
      <c r="EN40" s="148">
        <f>EN37-CONSTR_EFF</f>
        <v>110</v>
      </c>
      <c r="EO40" s="148">
        <f>EO37-CONSTR_EFF</f>
        <v>111</v>
      </c>
      <c r="EP40" s="148">
        <f>EP37-CONSTR_EFF</f>
        <v>112</v>
      </c>
      <c r="EQ40" s="148">
        <f>EQ37-CONSTR_EFF</f>
        <v>113</v>
      </c>
      <c r="ER40" s="148">
        <f>ER37-CONSTR_EFF</f>
        <v>114</v>
      </c>
      <c r="ES40" s="148">
        <f>ES37-CONSTR_EFF</f>
        <v>115</v>
      </c>
      <c r="ET40" s="148">
        <f>ET37-CONSTR_EFF</f>
        <v>116</v>
      </c>
      <c r="EU40" s="148">
        <f>EU37-CONSTR_EFF</f>
        <v>117</v>
      </c>
      <c r="EV40" s="148">
        <f>EV37-CONSTR_EFF</f>
        <v>118</v>
      </c>
      <c r="EW40" s="148">
        <f>EW37-CONSTR_EFF</f>
        <v>119</v>
      </c>
      <c r="EX40" s="148">
        <f>EX37-CONSTR_EFF</f>
        <v>120</v>
      </c>
      <c r="EY40" s="148">
        <f>EY37-CONSTR_EFF</f>
        <v>121</v>
      </c>
      <c r="EZ40" s="148">
        <f>EZ37-CONSTR_EFF</f>
        <v>122</v>
      </c>
      <c r="FA40" s="148">
        <f>FA37-CONSTR_EFF</f>
        <v>123</v>
      </c>
      <c r="FB40" s="148">
        <f>FB37-CONSTR_EFF</f>
        <v>124</v>
      </c>
      <c r="FC40" s="148">
        <f>FC37-CONSTR_EFF</f>
        <v>125</v>
      </c>
      <c r="FD40" s="148">
        <f>FD37-CONSTR_EFF</f>
        <v>126</v>
      </c>
      <c r="FE40" s="148">
        <f>FE37-CONSTR_EFF</f>
        <v>127</v>
      </c>
      <c r="FF40" s="148">
        <f>FF37-CONSTR_EFF</f>
        <v>128</v>
      </c>
      <c r="FG40" s="148">
        <f>FG37-CONSTR_EFF</f>
        <v>129</v>
      </c>
      <c r="FH40" s="148">
        <f>FH37-CONSTR_EFF</f>
        <v>130</v>
      </c>
      <c r="FI40" s="148">
        <f>FI37-CONSTR_EFF</f>
        <v>131</v>
      </c>
      <c r="FJ40" s="148">
        <f>FJ37-CONSTR_EFF</f>
        <v>132</v>
      </c>
      <c r="FK40" s="148">
        <f>FK37-CONSTR_EFF</f>
        <v>133</v>
      </c>
      <c r="FL40" s="148">
        <f>FL37-CONSTR_EFF</f>
        <v>134</v>
      </c>
      <c r="FM40" s="148">
        <f>FM37-CONSTR_EFF</f>
        <v>135</v>
      </c>
      <c r="FN40" s="148">
        <f>FN37-CONSTR_EFF</f>
        <v>136</v>
      </c>
      <c r="FO40" s="148">
        <f>FO37-CONSTR_EFF</f>
        <v>137</v>
      </c>
      <c r="FP40" s="148">
        <f>FP37-CONSTR_EFF</f>
        <v>138</v>
      </c>
      <c r="FQ40" s="148">
        <f>FQ37-CONSTR_EFF</f>
        <v>139</v>
      </c>
      <c r="FR40" s="148">
        <f>FR37-CONSTR_EFF</f>
        <v>140</v>
      </c>
      <c r="FS40" s="148">
        <f>FS37-CONSTR_EFF</f>
        <v>141</v>
      </c>
      <c r="FT40" s="148">
        <f>FT37-CONSTR_EFF</f>
        <v>142</v>
      </c>
      <c r="FU40" s="148">
        <f>FU37-CONSTR_EFF</f>
        <v>143</v>
      </c>
      <c r="FV40" s="148">
        <f>FV37-CONSTR_EFF</f>
        <v>144</v>
      </c>
      <c r="FW40" s="148">
        <f>FW37-CONSTR_EFF</f>
        <v>145</v>
      </c>
      <c r="FX40" s="148">
        <f>FX37-CONSTR_EFF</f>
        <v>146</v>
      </c>
      <c r="FY40" s="148">
        <f>FY37-CONSTR_EFF</f>
        <v>147</v>
      </c>
      <c r="FZ40" s="148">
        <f>FZ37-CONSTR_EFF</f>
        <v>148</v>
      </c>
      <c r="GA40" s="148">
        <f>GA37-CONSTR_EFF</f>
        <v>149</v>
      </c>
      <c r="GB40" s="148">
        <f>GB37-CONSTR_EFF</f>
        <v>150</v>
      </c>
      <c r="GC40" s="148">
        <f>GC37-CONSTR_EFF</f>
        <v>151</v>
      </c>
      <c r="GD40" s="148">
        <f>GD37-CONSTR_EFF</f>
        <v>152</v>
      </c>
      <c r="GE40" s="148">
        <f>GE37-CONSTR_EFF</f>
        <v>153</v>
      </c>
      <c r="GF40" s="148">
        <f>GF37-CONSTR_EFF</f>
        <v>154</v>
      </c>
      <c r="GG40" s="148">
        <f>GG37-CONSTR_EFF</f>
        <v>155</v>
      </c>
      <c r="GH40" s="148">
        <f>GH37-CONSTR_EFF</f>
        <v>156</v>
      </c>
      <c r="GI40" s="148">
        <f>GI37-CONSTR_EFF</f>
        <v>157</v>
      </c>
      <c r="GJ40" s="148">
        <f>GJ37-CONSTR_EFF</f>
        <v>158</v>
      </c>
      <c r="GK40" s="148">
        <f>GK37-CONSTR_EFF</f>
        <v>159</v>
      </c>
      <c r="GL40" s="148">
        <f>GL37-CONSTR_EFF</f>
        <v>160</v>
      </c>
      <c r="GM40" s="148">
        <f>GM37-CONSTR_EFF</f>
        <v>161</v>
      </c>
      <c r="GN40" s="148">
        <f>GN37-CONSTR_EFF</f>
        <v>162</v>
      </c>
      <c r="GO40" s="148">
        <f>GO37-CONSTR_EFF</f>
        <v>163</v>
      </c>
      <c r="GP40" s="148">
        <f>GP37-CONSTR_EFF</f>
        <v>164</v>
      </c>
      <c r="GQ40" s="148">
        <f>GQ37-CONSTR_EFF</f>
        <v>165</v>
      </c>
      <c r="GR40" s="148">
        <f>GR37-CONSTR_EFF</f>
        <v>166</v>
      </c>
      <c r="GS40" s="148">
        <f>GS37-CONSTR_EFF</f>
        <v>167</v>
      </c>
      <c r="GT40" s="148">
        <f>GT37-CONSTR_EFF</f>
        <v>168</v>
      </c>
      <c r="GU40" s="148">
        <f>GU37-CONSTR_EFF</f>
        <v>169</v>
      </c>
      <c r="GV40" s="148">
        <f>GV37-CONSTR_EFF</f>
        <v>170</v>
      </c>
      <c r="GW40" s="148">
        <f>GW37-CONSTR_EFF</f>
        <v>171</v>
      </c>
      <c r="GX40" s="148">
        <f>GX37-CONSTR_EFF</f>
        <v>172</v>
      </c>
      <c r="GY40" s="148">
        <f>GY37-CONSTR_EFF</f>
        <v>173</v>
      </c>
      <c r="GZ40" s="148">
        <f>GZ37-CONSTR_EFF</f>
        <v>174</v>
      </c>
      <c r="HA40" s="148">
        <f>HA37-CONSTR_EFF</f>
        <v>175</v>
      </c>
      <c r="HB40" s="148">
        <f>HB37-CONSTR_EFF</f>
        <v>176</v>
      </c>
      <c r="HC40" s="148">
        <f>HC37-CONSTR_EFF</f>
        <v>177</v>
      </c>
      <c r="HD40" s="148">
        <f>HD37-CONSTR_EFF</f>
        <v>178</v>
      </c>
      <c r="HE40" s="148">
        <f>HE37-CONSTR_EFF</f>
        <v>179</v>
      </c>
      <c r="HF40" s="148">
        <f>HF37-CONSTR_EFF</f>
        <v>180</v>
      </c>
      <c r="HG40" s="148">
        <f>HG37-CONSTR_EFF</f>
        <v>181</v>
      </c>
      <c r="HH40" s="148">
        <f>HH37-CONSTR_EFF</f>
        <v>182</v>
      </c>
      <c r="HI40" s="148">
        <f>HI37-CONSTR_EFF</f>
        <v>183</v>
      </c>
      <c r="HJ40" s="148">
        <f>HJ37-CONSTR_EFF</f>
        <v>184</v>
      </c>
      <c r="HK40" s="148">
        <f>HK37-CONSTR_EFF</f>
        <v>185</v>
      </c>
      <c r="HL40" s="148">
        <f>HL37-CONSTR_EFF</f>
        <v>186</v>
      </c>
      <c r="HM40" s="148">
        <f>HM37-CONSTR_EFF</f>
        <v>187</v>
      </c>
      <c r="HN40" s="148">
        <f>HN37-CONSTR_EFF</f>
        <v>188</v>
      </c>
      <c r="HO40" s="148">
        <f>HO37-CONSTR_EFF</f>
        <v>189</v>
      </c>
      <c r="HP40" s="148">
        <f>HP37-CONSTR_EFF</f>
        <v>190</v>
      </c>
      <c r="HQ40" s="148">
        <f>HQ37-CONSTR_EFF</f>
        <v>191</v>
      </c>
      <c r="HR40" s="148">
        <f>HR37-CONSTR_EFF</f>
        <v>192</v>
      </c>
      <c r="HS40" s="148">
        <f>HS37-CONSTR_EFF</f>
        <v>193</v>
      </c>
      <c r="HT40" s="148">
        <f>HT37-CONSTR_EFF</f>
        <v>194</v>
      </c>
      <c r="HU40" s="148">
        <f>HU37-CONSTR_EFF</f>
        <v>195</v>
      </c>
      <c r="HV40" s="148">
        <f>HV37-CONSTR_EFF</f>
        <v>196</v>
      </c>
      <c r="HW40" s="148">
        <f>HW37-CONSTR_EFF</f>
        <v>197</v>
      </c>
      <c r="HX40" s="148">
        <f>HX37-CONSTR_EFF</f>
        <v>198</v>
      </c>
      <c r="HY40" s="148">
        <f>HY37-CONSTR_EFF</f>
        <v>199</v>
      </c>
      <c r="HZ40" s="148">
        <f>HZ37-CONSTR_EFF</f>
        <v>200</v>
      </c>
      <c r="IA40" s="148">
        <f>IA37-CONSTR_EFF</f>
        <v>201</v>
      </c>
      <c r="IB40" s="148">
        <f>IB37-CONSTR_EFF</f>
        <v>202</v>
      </c>
      <c r="IC40" s="148">
        <f>IC37-CONSTR_EFF</f>
        <v>203</v>
      </c>
      <c r="ID40" s="148">
        <f>ID37-CONSTR_EFF</f>
        <v>204</v>
      </c>
      <c r="IE40" s="148">
        <f>IE37-CONSTR_EFF</f>
        <v>205</v>
      </c>
      <c r="IF40" s="148">
        <f>IF37-CONSTR_EFF</f>
        <v>206</v>
      </c>
      <c r="IG40" s="148">
        <f>IG37-CONSTR_EFF</f>
        <v>207</v>
      </c>
      <c r="IH40" s="148">
        <f>IH37-CONSTR_EFF</f>
        <v>208</v>
      </c>
      <c r="II40" s="148">
        <f>II37-CONSTR_EFF</f>
        <v>209</v>
      </c>
      <c r="IJ40" s="148">
        <f>IJ37-CONSTR_EFF</f>
        <v>210</v>
      </c>
      <c r="IK40" s="148">
        <f>IK37-CONSTR_EFF</f>
        <v>211</v>
      </c>
      <c r="IL40" s="148">
        <f>IL37-CONSTR_EFF</f>
        <v>212</v>
      </c>
      <c r="IM40" s="148">
        <f>IM37-CONSTR_EFF</f>
        <v>213</v>
      </c>
      <c r="IN40" s="148">
        <f>IN37-CONSTR_EFF</f>
        <v>214</v>
      </c>
      <c r="IO40" s="148">
        <f>IO37-CONSTR_EFF</f>
        <v>215</v>
      </c>
      <c r="IP40" s="148">
        <f>IP37-CONSTR_EFF</f>
        <v>216</v>
      </c>
      <c r="IQ40" s="148">
        <f>IQ37-CONSTR_EFF</f>
        <v>217</v>
      </c>
      <c r="IR40" s="148">
        <f>IR37-CONSTR_EFF</f>
        <v>218</v>
      </c>
      <c r="IS40" s="148">
        <f>IS37-CONSTR_EFF</f>
        <v>219</v>
      </c>
      <c r="IT40" s="148">
        <f>IT37-CONSTR_EFF</f>
        <v>220</v>
      </c>
      <c r="IU40" s="148">
        <f>IU37-CONSTR_EFF</f>
        <v>221</v>
      </c>
      <c r="IV40" s="148">
        <f>IV37-CONSTR_EFF</f>
        <v>222</v>
      </c>
      <c r="IW40" s="148">
        <f>IW37-CONSTR_EFF</f>
        <v>223</v>
      </c>
      <c r="IX40" s="148">
        <f>IX37-CONSTR_EFF</f>
        <v>224</v>
      </c>
      <c r="IY40" s="148">
        <f>IY37-CONSTR_EFF</f>
        <v>225</v>
      </c>
      <c r="IZ40" s="148">
        <f>IZ37-CONSTR_EFF</f>
        <v>226</v>
      </c>
      <c r="JA40" s="148">
        <f>JA37-CONSTR_EFF</f>
        <v>227</v>
      </c>
      <c r="JB40" s="148">
        <f>JB37-CONSTR_EFF</f>
        <v>228</v>
      </c>
      <c r="JC40" s="148">
        <f>JC37-CONSTR_EFF</f>
        <v>229</v>
      </c>
      <c r="JD40" s="148">
        <f>JD37-CONSTR_EFF</f>
        <v>230</v>
      </c>
      <c r="JE40" s="148">
        <f>JE37-CONSTR_EFF</f>
        <v>231</v>
      </c>
      <c r="JF40" s="148">
        <f>JF37-CONSTR_EFF</f>
        <v>232</v>
      </c>
      <c r="JG40" s="148">
        <f>JG37-CONSTR_EFF</f>
        <v>233</v>
      </c>
      <c r="JH40" s="148">
        <f>JH37-CONSTR_EFF</f>
        <v>234</v>
      </c>
      <c r="JI40" s="148">
        <f>JI37-CONSTR_EFF</f>
        <v>235</v>
      </c>
      <c r="JJ40" s="148">
        <f>JJ37-CONSTR_EFF</f>
        <v>236</v>
      </c>
      <c r="JK40" s="148">
        <f>JK37-CONSTR_EFF</f>
        <v>237</v>
      </c>
      <c r="JL40" s="148">
        <f>JL37-CONSTR_EFF</f>
        <v>238</v>
      </c>
      <c r="JM40" s="148">
        <f>JM37-CONSTR_EFF</f>
        <v>239</v>
      </c>
      <c r="JN40" s="148">
        <f>JN37-CONSTR_EFF</f>
        <v>240</v>
      </c>
      <c r="JO40" s="148">
        <f>JO37-CONSTR_EFF</f>
        <v>241</v>
      </c>
      <c r="JP40" s="148">
        <f>JP37-CONSTR_EFF</f>
        <v>242</v>
      </c>
      <c r="JQ40" s="148">
        <f>JQ37-CONSTR_EFF</f>
        <v>243</v>
      </c>
      <c r="JR40" s="148">
        <f>JR37-CONSTR_EFF</f>
        <v>244</v>
      </c>
      <c r="JS40" s="148">
        <f>JS37-CONSTR_EFF</f>
        <v>245</v>
      </c>
      <c r="JT40" s="148">
        <f>JT37-CONSTR_EFF</f>
        <v>246</v>
      </c>
      <c r="JU40" s="148">
        <f>JU37-CONSTR_EFF</f>
        <v>247</v>
      </c>
      <c r="JV40" s="148">
        <f>JV37-CONSTR_EFF</f>
        <v>248</v>
      </c>
      <c r="JW40" s="148">
        <f>JW37-CONSTR_EFF</f>
        <v>249</v>
      </c>
      <c r="JX40" s="148">
        <f>JX37-CONSTR_EFF</f>
        <v>250</v>
      </c>
      <c r="JY40" s="148">
        <f>JY37-CONSTR_EFF</f>
        <v>251</v>
      </c>
      <c r="JZ40" s="148">
        <f>JZ37-CONSTR_EFF</f>
        <v>252</v>
      </c>
      <c r="KA40" s="148">
        <f>KA37-CONSTR_EFF</f>
        <v>253</v>
      </c>
      <c r="KB40" s="148">
        <f>KB37-CONSTR_EFF</f>
        <v>254</v>
      </c>
      <c r="KC40" s="148">
        <f>KC37-CONSTR_EFF</f>
        <v>255</v>
      </c>
      <c r="KD40" s="148">
        <f>KD37-CONSTR_EFF</f>
        <v>256</v>
      </c>
      <c r="KE40" s="148">
        <f>KE37-CONSTR_EFF</f>
        <v>257</v>
      </c>
      <c r="KF40" s="148">
        <f>KF37-CONSTR_EFF</f>
        <v>258</v>
      </c>
    </row>
    <row r="41">
      <c r="B41" s="36" t="inlineStr">
        <is>
          <t>Operating year (within O1–O10)</t>
        </is>
      </c>
      <c r="C41" s="117" t="inlineStr">
        <is>
          <t>no.</t>
        </is>
      </c>
      <c r="E41" s="148">
        <f>IF(AND(E40&gt;=1,E40&lt;=12*OPS_YEARS),ROUNDUP(E40/12,0),0)</f>
        <v>0</v>
      </c>
      <c r="F41" s="148">
        <f>IF(AND(F40&gt;=1,F40&lt;=12*OPS_YEARS),ROUNDUP(F40/12,0),0)</f>
        <v>0</v>
      </c>
      <c r="G41" s="148">
        <f>IF(AND(G40&gt;=1,G40&lt;=12*OPS_YEARS),ROUNDUP(G40/12,0),0)</f>
        <v>0</v>
      </c>
      <c r="H41" s="148">
        <f>IF(AND(H40&gt;=1,H40&lt;=12*OPS_YEARS),ROUNDUP(H40/12,0),0)</f>
        <v>0</v>
      </c>
      <c r="I41" s="148">
        <f>IF(AND(I40&gt;=1,I40&lt;=12*OPS_YEARS),ROUNDUP(I40/12,0),0)</f>
        <v>0</v>
      </c>
      <c r="J41" s="148">
        <f>IF(AND(J40&gt;=1,J40&lt;=12*OPS_YEARS),ROUNDUP(J40/12,0),0)</f>
        <v>0</v>
      </c>
      <c r="K41" s="148">
        <f>IF(AND(K40&gt;=1,K40&lt;=12*OPS_YEARS),ROUNDUP(K40/12,0),0)</f>
        <v>0</v>
      </c>
      <c r="L41" s="148">
        <f>IF(AND(L40&gt;=1,L40&lt;=12*OPS_YEARS),ROUNDUP(L40/12,0),0)</f>
        <v>0</v>
      </c>
      <c r="M41" s="148">
        <f>IF(AND(M40&gt;=1,M40&lt;=12*OPS_YEARS),ROUNDUP(M40/12,0),0)</f>
        <v>0</v>
      </c>
      <c r="N41" s="148">
        <f>IF(AND(N40&gt;=1,N40&lt;=12*OPS_YEARS),ROUNDUP(N40/12,0),0)</f>
        <v>0</v>
      </c>
      <c r="O41" s="148">
        <f>IF(AND(O40&gt;=1,O40&lt;=12*OPS_YEARS),ROUNDUP(O40/12,0),0)</f>
        <v>0</v>
      </c>
      <c r="P41" s="148">
        <f>IF(AND(P40&gt;=1,P40&lt;=12*OPS_YEARS),ROUNDUP(P40/12,0),0)</f>
        <v>0</v>
      </c>
      <c r="Q41" s="148">
        <f>IF(AND(Q40&gt;=1,Q40&lt;=12*OPS_YEARS),ROUNDUP(Q40/12,0),0)</f>
        <v>0</v>
      </c>
      <c r="R41" s="148">
        <f>IF(AND(R40&gt;=1,R40&lt;=12*OPS_YEARS),ROUNDUP(R40/12,0),0)</f>
        <v>0</v>
      </c>
      <c r="S41" s="148">
        <f>IF(AND(S40&gt;=1,S40&lt;=12*OPS_YEARS),ROUNDUP(S40/12,0),0)</f>
        <v>0</v>
      </c>
      <c r="T41" s="148">
        <f>IF(AND(T40&gt;=1,T40&lt;=12*OPS_YEARS),ROUNDUP(T40/12,0),0)</f>
        <v>0</v>
      </c>
      <c r="U41" s="148">
        <f>IF(AND(U40&gt;=1,U40&lt;=12*OPS_YEARS),ROUNDUP(U40/12,0),0)</f>
        <v>0</v>
      </c>
      <c r="V41" s="148">
        <f>IF(AND(V40&gt;=1,V40&lt;=12*OPS_YEARS),ROUNDUP(V40/12,0),0)</f>
        <v>0</v>
      </c>
      <c r="W41" s="148">
        <f>IF(AND(W40&gt;=1,W40&lt;=12*OPS_YEARS),ROUNDUP(W40/12,0),0)</f>
        <v>0</v>
      </c>
      <c r="X41" s="148">
        <f>IF(AND(X40&gt;=1,X40&lt;=12*OPS_YEARS),ROUNDUP(X40/12,0),0)</f>
        <v>0</v>
      </c>
      <c r="Y41" s="148">
        <f>IF(AND(Y40&gt;=1,Y40&lt;=12*OPS_YEARS),ROUNDUP(Y40/12,0),0)</f>
        <v>0</v>
      </c>
      <c r="Z41" s="148">
        <f>IF(AND(Z40&gt;=1,Z40&lt;=12*OPS_YEARS),ROUNDUP(Z40/12,0),0)</f>
        <v>0</v>
      </c>
      <c r="AA41" s="148">
        <f>IF(AND(AA40&gt;=1,AA40&lt;=12*OPS_YEARS),ROUNDUP(AA40/12,0),0)</f>
        <v>0</v>
      </c>
      <c r="AB41" s="148">
        <f>IF(AND(AB40&gt;=1,AB40&lt;=12*OPS_YEARS),ROUNDUP(AB40/12,0),0)</f>
        <v>0</v>
      </c>
      <c r="AC41" s="148">
        <f>IF(AND(AC40&gt;=1,AC40&lt;=12*OPS_YEARS),ROUNDUP(AC40/12,0),0)</f>
        <v>0</v>
      </c>
      <c r="AD41" s="148">
        <f>IF(AND(AD40&gt;=1,AD40&lt;=12*OPS_YEARS),ROUNDUP(AD40/12,0),0)</f>
        <v>0</v>
      </c>
      <c r="AE41" s="148">
        <f>IF(AND(AE40&gt;=1,AE40&lt;=12*OPS_YEARS),ROUNDUP(AE40/12,0),0)</f>
        <v>0</v>
      </c>
      <c r="AF41" s="148">
        <f>IF(AND(AF40&gt;=1,AF40&lt;=12*OPS_YEARS),ROUNDUP(AF40/12,0),0)</f>
        <v>0</v>
      </c>
      <c r="AG41" s="148">
        <f>IF(AND(AG40&gt;=1,AG40&lt;=12*OPS_YEARS),ROUNDUP(AG40/12,0),0)</f>
        <v>0</v>
      </c>
      <c r="AH41" s="148">
        <f>IF(AND(AH40&gt;=1,AH40&lt;=12*OPS_YEARS),ROUNDUP(AH40/12,0),0)</f>
        <v>0</v>
      </c>
      <c r="AI41" s="148">
        <f>IF(AND(AI40&gt;=1,AI40&lt;=12*OPS_YEARS),ROUNDUP(AI40/12,0),0)</f>
        <v>1</v>
      </c>
      <c r="AJ41" s="148">
        <f>IF(AND(AJ40&gt;=1,AJ40&lt;=12*OPS_YEARS),ROUNDUP(AJ40/12,0),0)</f>
        <v>1</v>
      </c>
      <c r="AK41" s="148">
        <f>IF(AND(AK40&gt;=1,AK40&lt;=12*OPS_YEARS),ROUNDUP(AK40/12,0),0)</f>
        <v>1</v>
      </c>
      <c r="AL41" s="148">
        <f>IF(AND(AL40&gt;=1,AL40&lt;=12*OPS_YEARS),ROUNDUP(AL40/12,0),0)</f>
        <v>1</v>
      </c>
      <c r="AM41" s="148">
        <f>IF(AND(AM40&gt;=1,AM40&lt;=12*OPS_YEARS),ROUNDUP(AM40/12,0),0)</f>
        <v>1</v>
      </c>
      <c r="AN41" s="148">
        <f>IF(AND(AN40&gt;=1,AN40&lt;=12*OPS_YEARS),ROUNDUP(AN40/12,0),0)</f>
        <v>1</v>
      </c>
      <c r="AO41" s="148">
        <f>IF(AND(AO40&gt;=1,AO40&lt;=12*OPS_YEARS),ROUNDUP(AO40/12,0),0)</f>
        <v>1</v>
      </c>
      <c r="AP41" s="148">
        <f>IF(AND(AP40&gt;=1,AP40&lt;=12*OPS_YEARS),ROUNDUP(AP40/12,0),0)</f>
        <v>1</v>
      </c>
      <c r="AQ41" s="148">
        <f>IF(AND(AQ40&gt;=1,AQ40&lt;=12*OPS_YEARS),ROUNDUP(AQ40/12,0),0)</f>
        <v>1</v>
      </c>
      <c r="AR41" s="148">
        <f>IF(AND(AR40&gt;=1,AR40&lt;=12*OPS_YEARS),ROUNDUP(AR40/12,0),0)</f>
        <v>1</v>
      </c>
      <c r="AS41" s="148">
        <f>IF(AND(AS40&gt;=1,AS40&lt;=12*OPS_YEARS),ROUNDUP(AS40/12,0),0)</f>
        <v>1</v>
      </c>
      <c r="AT41" s="148">
        <f>IF(AND(AT40&gt;=1,AT40&lt;=12*OPS_YEARS),ROUNDUP(AT40/12,0),0)</f>
        <v>1</v>
      </c>
      <c r="AU41" s="148">
        <f>IF(AND(AU40&gt;=1,AU40&lt;=12*OPS_YEARS),ROUNDUP(AU40/12,0),0)</f>
        <v>2</v>
      </c>
      <c r="AV41" s="148">
        <f>IF(AND(AV40&gt;=1,AV40&lt;=12*OPS_YEARS),ROUNDUP(AV40/12,0),0)</f>
        <v>2</v>
      </c>
      <c r="AW41" s="148">
        <f>IF(AND(AW40&gt;=1,AW40&lt;=12*OPS_YEARS),ROUNDUP(AW40/12,0),0)</f>
        <v>2</v>
      </c>
      <c r="AX41" s="148">
        <f>IF(AND(AX40&gt;=1,AX40&lt;=12*OPS_YEARS),ROUNDUP(AX40/12,0),0)</f>
        <v>2</v>
      </c>
      <c r="AY41" s="148">
        <f>IF(AND(AY40&gt;=1,AY40&lt;=12*OPS_YEARS),ROUNDUP(AY40/12,0),0)</f>
        <v>2</v>
      </c>
      <c r="AZ41" s="148">
        <f>IF(AND(AZ40&gt;=1,AZ40&lt;=12*OPS_YEARS),ROUNDUP(AZ40/12,0),0)</f>
        <v>2</v>
      </c>
      <c r="BA41" s="148">
        <f>IF(AND(BA40&gt;=1,BA40&lt;=12*OPS_YEARS),ROUNDUP(BA40/12,0),0)</f>
        <v>2</v>
      </c>
      <c r="BB41" s="148">
        <f>IF(AND(BB40&gt;=1,BB40&lt;=12*OPS_YEARS),ROUNDUP(BB40/12,0),0)</f>
        <v>2</v>
      </c>
      <c r="BC41" s="148">
        <f>IF(AND(BC40&gt;=1,BC40&lt;=12*OPS_YEARS),ROUNDUP(BC40/12,0),0)</f>
        <v>2</v>
      </c>
      <c r="BD41" s="148">
        <f>IF(AND(BD40&gt;=1,BD40&lt;=12*OPS_YEARS),ROUNDUP(BD40/12,0),0)</f>
        <v>2</v>
      </c>
      <c r="BE41" s="148">
        <f>IF(AND(BE40&gt;=1,BE40&lt;=12*OPS_YEARS),ROUNDUP(BE40/12,0),0)</f>
        <v>2</v>
      </c>
      <c r="BF41" s="148">
        <f>IF(AND(BF40&gt;=1,BF40&lt;=12*OPS_YEARS),ROUNDUP(BF40/12,0),0)</f>
        <v>2</v>
      </c>
      <c r="BG41" s="148">
        <f>IF(AND(BG40&gt;=1,BG40&lt;=12*OPS_YEARS),ROUNDUP(BG40/12,0),0)</f>
        <v>3</v>
      </c>
      <c r="BH41" s="148">
        <f>IF(AND(BH40&gt;=1,BH40&lt;=12*OPS_YEARS),ROUNDUP(BH40/12,0),0)</f>
        <v>3</v>
      </c>
      <c r="BI41" s="148">
        <f>IF(AND(BI40&gt;=1,BI40&lt;=12*OPS_YEARS),ROUNDUP(BI40/12,0),0)</f>
        <v>3</v>
      </c>
      <c r="BJ41" s="148">
        <f>IF(AND(BJ40&gt;=1,BJ40&lt;=12*OPS_YEARS),ROUNDUP(BJ40/12,0),0)</f>
        <v>3</v>
      </c>
      <c r="BK41" s="148">
        <f>IF(AND(BK40&gt;=1,BK40&lt;=12*OPS_YEARS),ROUNDUP(BK40/12,0),0)</f>
        <v>3</v>
      </c>
      <c r="BL41" s="148">
        <f>IF(AND(BL40&gt;=1,BL40&lt;=12*OPS_YEARS),ROUNDUP(BL40/12,0),0)</f>
        <v>3</v>
      </c>
      <c r="BM41" s="148">
        <f>IF(AND(BM40&gt;=1,BM40&lt;=12*OPS_YEARS),ROUNDUP(BM40/12,0),0)</f>
        <v>3</v>
      </c>
      <c r="BN41" s="148">
        <f>IF(AND(BN40&gt;=1,BN40&lt;=12*OPS_YEARS),ROUNDUP(BN40/12,0),0)</f>
        <v>3</v>
      </c>
      <c r="BO41" s="148">
        <f>IF(AND(BO40&gt;=1,BO40&lt;=12*OPS_YEARS),ROUNDUP(BO40/12,0),0)</f>
        <v>3</v>
      </c>
      <c r="BP41" s="148">
        <f>IF(AND(BP40&gt;=1,BP40&lt;=12*OPS_YEARS),ROUNDUP(BP40/12,0),0)</f>
        <v>3</v>
      </c>
      <c r="BQ41" s="148">
        <f>IF(AND(BQ40&gt;=1,BQ40&lt;=12*OPS_YEARS),ROUNDUP(BQ40/12,0),0)</f>
        <v>3</v>
      </c>
      <c r="BR41" s="148">
        <f>IF(AND(BR40&gt;=1,BR40&lt;=12*OPS_YEARS),ROUNDUP(BR40/12,0),0)</f>
        <v>3</v>
      </c>
      <c r="BS41" s="148">
        <f>IF(AND(BS40&gt;=1,BS40&lt;=12*OPS_YEARS),ROUNDUP(BS40/12,0),0)</f>
        <v>4</v>
      </c>
      <c r="BT41" s="148">
        <f>IF(AND(BT40&gt;=1,BT40&lt;=12*OPS_YEARS),ROUNDUP(BT40/12,0),0)</f>
        <v>4</v>
      </c>
      <c r="BU41" s="148">
        <f>IF(AND(BU40&gt;=1,BU40&lt;=12*OPS_YEARS),ROUNDUP(BU40/12,0),0)</f>
        <v>4</v>
      </c>
      <c r="BV41" s="148">
        <f>IF(AND(BV40&gt;=1,BV40&lt;=12*OPS_YEARS),ROUNDUP(BV40/12,0),0)</f>
        <v>4</v>
      </c>
      <c r="BW41" s="148">
        <f>IF(AND(BW40&gt;=1,BW40&lt;=12*OPS_YEARS),ROUNDUP(BW40/12,0),0)</f>
        <v>4</v>
      </c>
      <c r="BX41" s="148">
        <f>IF(AND(BX40&gt;=1,BX40&lt;=12*OPS_YEARS),ROUNDUP(BX40/12,0),0)</f>
        <v>4</v>
      </c>
      <c r="BY41" s="148">
        <f>IF(AND(BY40&gt;=1,BY40&lt;=12*OPS_YEARS),ROUNDUP(BY40/12,0),0)</f>
        <v>4</v>
      </c>
      <c r="BZ41" s="148">
        <f>IF(AND(BZ40&gt;=1,BZ40&lt;=12*OPS_YEARS),ROUNDUP(BZ40/12,0),0)</f>
        <v>4</v>
      </c>
      <c r="CA41" s="148">
        <f>IF(AND(CA40&gt;=1,CA40&lt;=12*OPS_YEARS),ROUNDUP(CA40/12,0),0)</f>
        <v>4</v>
      </c>
      <c r="CB41" s="148">
        <f>IF(AND(CB40&gt;=1,CB40&lt;=12*OPS_YEARS),ROUNDUP(CB40/12,0),0)</f>
        <v>4</v>
      </c>
      <c r="CC41" s="148">
        <f>IF(AND(CC40&gt;=1,CC40&lt;=12*OPS_YEARS),ROUNDUP(CC40/12,0),0)</f>
        <v>4</v>
      </c>
      <c r="CD41" s="148">
        <f>IF(AND(CD40&gt;=1,CD40&lt;=12*OPS_YEARS),ROUNDUP(CD40/12,0),0)</f>
        <v>4</v>
      </c>
      <c r="CE41" s="148">
        <f>IF(AND(CE40&gt;=1,CE40&lt;=12*OPS_YEARS),ROUNDUP(CE40/12,0),0)</f>
        <v>5</v>
      </c>
      <c r="CF41" s="148">
        <f>IF(AND(CF40&gt;=1,CF40&lt;=12*OPS_YEARS),ROUNDUP(CF40/12,0),0)</f>
        <v>5</v>
      </c>
      <c r="CG41" s="148">
        <f>IF(AND(CG40&gt;=1,CG40&lt;=12*OPS_YEARS),ROUNDUP(CG40/12,0),0)</f>
        <v>5</v>
      </c>
      <c r="CH41" s="148">
        <f>IF(AND(CH40&gt;=1,CH40&lt;=12*OPS_YEARS),ROUNDUP(CH40/12,0),0)</f>
        <v>5</v>
      </c>
      <c r="CI41" s="148">
        <f>IF(AND(CI40&gt;=1,CI40&lt;=12*OPS_YEARS),ROUNDUP(CI40/12,0),0)</f>
        <v>5</v>
      </c>
      <c r="CJ41" s="148">
        <f>IF(AND(CJ40&gt;=1,CJ40&lt;=12*OPS_YEARS),ROUNDUP(CJ40/12,0),0)</f>
        <v>5</v>
      </c>
      <c r="CK41" s="148">
        <f>IF(AND(CK40&gt;=1,CK40&lt;=12*OPS_YEARS),ROUNDUP(CK40/12,0),0)</f>
        <v>5</v>
      </c>
      <c r="CL41" s="148">
        <f>IF(AND(CL40&gt;=1,CL40&lt;=12*OPS_YEARS),ROUNDUP(CL40/12,0),0)</f>
        <v>5</v>
      </c>
      <c r="CM41" s="148">
        <f>IF(AND(CM40&gt;=1,CM40&lt;=12*OPS_YEARS),ROUNDUP(CM40/12,0),0)</f>
        <v>5</v>
      </c>
      <c r="CN41" s="148">
        <f>IF(AND(CN40&gt;=1,CN40&lt;=12*OPS_YEARS),ROUNDUP(CN40/12,0),0)</f>
        <v>5</v>
      </c>
      <c r="CO41" s="148">
        <f>IF(AND(CO40&gt;=1,CO40&lt;=12*OPS_YEARS),ROUNDUP(CO40/12,0),0)</f>
        <v>5</v>
      </c>
      <c r="CP41" s="148">
        <f>IF(AND(CP40&gt;=1,CP40&lt;=12*OPS_YEARS),ROUNDUP(CP40/12,0),0)</f>
        <v>5</v>
      </c>
      <c r="CQ41" s="148">
        <f>IF(AND(CQ40&gt;=1,CQ40&lt;=12*OPS_YEARS),ROUNDUP(CQ40/12,0),0)</f>
        <v>6</v>
      </c>
      <c r="CR41" s="148">
        <f>IF(AND(CR40&gt;=1,CR40&lt;=12*OPS_YEARS),ROUNDUP(CR40/12,0),0)</f>
        <v>6</v>
      </c>
      <c r="CS41" s="148">
        <f>IF(AND(CS40&gt;=1,CS40&lt;=12*OPS_YEARS),ROUNDUP(CS40/12,0),0)</f>
        <v>6</v>
      </c>
      <c r="CT41" s="148">
        <f>IF(AND(CT40&gt;=1,CT40&lt;=12*OPS_YEARS),ROUNDUP(CT40/12,0),0)</f>
        <v>6</v>
      </c>
      <c r="CU41" s="148">
        <f>IF(AND(CU40&gt;=1,CU40&lt;=12*OPS_YEARS),ROUNDUP(CU40/12,0),0)</f>
        <v>6</v>
      </c>
      <c r="CV41" s="148">
        <f>IF(AND(CV40&gt;=1,CV40&lt;=12*OPS_YEARS),ROUNDUP(CV40/12,0),0)</f>
        <v>6</v>
      </c>
      <c r="CW41" s="148">
        <f>IF(AND(CW40&gt;=1,CW40&lt;=12*OPS_YEARS),ROUNDUP(CW40/12,0),0)</f>
        <v>6</v>
      </c>
      <c r="CX41" s="148">
        <f>IF(AND(CX40&gt;=1,CX40&lt;=12*OPS_YEARS),ROUNDUP(CX40/12,0),0)</f>
        <v>6</v>
      </c>
      <c r="CY41" s="148">
        <f>IF(AND(CY40&gt;=1,CY40&lt;=12*OPS_YEARS),ROUNDUP(CY40/12,0),0)</f>
        <v>6</v>
      </c>
      <c r="CZ41" s="148">
        <f>IF(AND(CZ40&gt;=1,CZ40&lt;=12*OPS_YEARS),ROUNDUP(CZ40/12,0),0)</f>
        <v>6</v>
      </c>
      <c r="DA41" s="148">
        <f>IF(AND(DA40&gt;=1,DA40&lt;=12*OPS_YEARS),ROUNDUP(DA40/12,0),0)</f>
        <v>6</v>
      </c>
      <c r="DB41" s="148">
        <f>IF(AND(DB40&gt;=1,DB40&lt;=12*OPS_YEARS),ROUNDUP(DB40/12,0),0)</f>
        <v>6</v>
      </c>
      <c r="DC41" s="148">
        <f>IF(AND(DC40&gt;=1,DC40&lt;=12*OPS_YEARS),ROUNDUP(DC40/12,0),0)</f>
        <v>7</v>
      </c>
      <c r="DD41" s="148">
        <f>IF(AND(DD40&gt;=1,DD40&lt;=12*OPS_YEARS),ROUNDUP(DD40/12,0),0)</f>
        <v>7</v>
      </c>
      <c r="DE41" s="148">
        <f>IF(AND(DE40&gt;=1,DE40&lt;=12*OPS_YEARS),ROUNDUP(DE40/12,0),0)</f>
        <v>7</v>
      </c>
      <c r="DF41" s="148">
        <f>IF(AND(DF40&gt;=1,DF40&lt;=12*OPS_YEARS),ROUNDUP(DF40/12,0),0)</f>
        <v>7</v>
      </c>
      <c r="DG41" s="148">
        <f>IF(AND(DG40&gt;=1,DG40&lt;=12*OPS_YEARS),ROUNDUP(DG40/12,0),0)</f>
        <v>7</v>
      </c>
      <c r="DH41" s="148">
        <f>IF(AND(DH40&gt;=1,DH40&lt;=12*OPS_YEARS),ROUNDUP(DH40/12,0),0)</f>
        <v>7</v>
      </c>
      <c r="DI41" s="148">
        <f>IF(AND(DI40&gt;=1,DI40&lt;=12*OPS_YEARS),ROUNDUP(DI40/12,0),0)</f>
        <v>7</v>
      </c>
      <c r="DJ41" s="148">
        <f>IF(AND(DJ40&gt;=1,DJ40&lt;=12*OPS_YEARS),ROUNDUP(DJ40/12,0),0)</f>
        <v>7</v>
      </c>
      <c r="DK41" s="148">
        <f>IF(AND(DK40&gt;=1,DK40&lt;=12*OPS_YEARS),ROUNDUP(DK40/12,0),0)</f>
        <v>7</v>
      </c>
      <c r="DL41" s="148">
        <f>IF(AND(DL40&gt;=1,DL40&lt;=12*OPS_YEARS),ROUNDUP(DL40/12,0),0)</f>
        <v>7</v>
      </c>
      <c r="DM41" s="148">
        <f>IF(AND(DM40&gt;=1,DM40&lt;=12*OPS_YEARS),ROUNDUP(DM40/12,0),0)</f>
        <v>7</v>
      </c>
      <c r="DN41" s="148">
        <f>IF(AND(DN40&gt;=1,DN40&lt;=12*OPS_YEARS),ROUNDUP(DN40/12,0),0)</f>
        <v>7</v>
      </c>
      <c r="DO41" s="148">
        <f>IF(AND(DO40&gt;=1,DO40&lt;=12*OPS_YEARS),ROUNDUP(DO40/12,0),0)</f>
        <v>8</v>
      </c>
      <c r="DP41" s="148">
        <f>IF(AND(DP40&gt;=1,DP40&lt;=12*OPS_YEARS),ROUNDUP(DP40/12,0),0)</f>
        <v>8</v>
      </c>
      <c r="DQ41" s="148">
        <f>IF(AND(DQ40&gt;=1,DQ40&lt;=12*OPS_YEARS),ROUNDUP(DQ40/12,0),0)</f>
        <v>8</v>
      </c>
      <c r="DR41" s="148">
        <f>IF(AND(DR40&gt;=1,DR40&lt;=12*OPS_YEARS),ROUNDUP(DR40/12,0),0)</f>
        <v>8</v>
      </c>
      <c r="DS41" s="148">
        <f>IF(AND(DS40&gt;=1,DS40&lt;=12*OPS_YEARS),ROUNDUP(DS40/12,0),0)</f>
        <v>8</v>
      </c>
      <c r="DT41" s="148">
        <f>IF(AND(DT40&gt;=1,DT40&lt;=12*OPS_YEARS),ROUNDUP(DT40/12,0),0)</f>
        <v>8</v>
      </c>
      <c r="DU41" s="148">
        <f>IF(AND(DU40&gt;=1,DU40&lt;=12*OPS_YEARS),ROUNDUP(DU40/12,0),0)</f>
        <v>8</v>
      </c>
      <c r="DV41" s="148">
        <f>IF(AND(DV40&gt;=1,DV40&lt;=12*OPS_YEARS),ROUNDUP(DV40/12,0),0)</f>
        <v>8</v>
      </c>
      <c r="DW41" s="148">
        <f>IF(AND(DW40&gt;=1,DW40&lt;=12*OPS_YEARS),ROUNDUP(DW40/12,0),0)</f>
        <v>8</v>
      </c>
      <c r="DX41" s="148">
        <f>IF(AND(DX40&gt;=1,DX40&lt;=12*OPS_YEARS),ROUNDUP(DX40/12,0),0)</f>
        <v>8</v>
      </c>
      <c r="DY41" s="148">
        <f>IF(AND(DY40&gt;=1,DY40&lt;=12*OPS_YEARS),ROUNDUP(DY40/12,0),0)</f>
        <v>8</v>
      </c>
      <c r="DZ41" s="148">
        <f>IF(AND(DZ40&gt;=1,DZ40&lt;=12*OPS_YEARS),ROUNDUP(DZ40/12,0),0)</f>
        <v>8</v>
      </c>
      <c r="EA41" s="148">
        <f>IF(AND(EA40&gt;=1,EA40&lt;=12*OPS_YEARS),ROUNDUP(EA40/12,0),0)</f>
        <v>9</v>
      </c>
      <c r="EB41" s="148">
        <f>IF(AND(EB40&gt;=1,EB40&lt;=12*OPS_YEARS),ROUNDUP(EB40/12,0),0)</f>
        <v>9</v>
      </c>
      <c r="EC41" s="148">
        <f>IF(AND(EC40&gt;=1,EC40&lt;=12*OPS_YEARS),ROUNDUP(EC40/12,0),0)</f>
        <v>9</v>
      </c>
      <c r="ED41" s="148">
        <f>IF(AND(ED40&gt;=1,ED40&lt;=12*OPS_YEARS),ROUNDUP(ED40/12,0),0)</f>
        <v>9</v>
      </c>
      <c r="EE41" s="148">
        <f>IF(AND(EE40&gt;=1,EE40&lt;=12*OPS_YEARS),ROUNDUP(EE40/12,0),0)</f>
        <v>9</v>
      </c>
      <c r="EF41" s="148">
        <f>IF(AND(EF40&gt;=1,EF40&lt;=12*OPS_YEARS),ROUNDUP(EF40/12,0),0)</f>
        <v>9</v>
      </c>
      <c r="EG41" s="148">
        <f>IF(AND(EG40&gt;=1,EG40&lt;=12*OPS_YEARS),ROUNDUP(EG40/12,0),0)</f>
        <v>9</v>
      </c>
      <c r="EH41" s="148">
        <f>IF(AND(EH40&gt;=1,EH40&lt;=12*OPS_YEARS),ROUNDUP(EH40/12,0),0)</f>
        <v>9</v>
      </c>
      <c r="EI41" s="148">
        <f>IF(AND(EI40&gt;=1,EI40&lt;=12*OPS_YEARS),ROUNDUP(EI40/12,0),0)</f>
        <v>9</v>
      </c>
      <c r="EJ41" s="148">
        <f>IF(AND(EJ40&gt;=1,EJ40&lt;=12*OPS_YEARS),ROUNDUP(EJ40/12,0),0)</f>
        <v>9</v>
      </c>
      <c r="EK41" s="148">
        <f>IF(AND(EK40&gt;=1,EK40&lt;=12*OPS_YEARS),ROUNDUP(EK40/12,0),0)</f>
        <v>9</v>
      </c>
      <c r="EL41" s="148">
        <f>IF(AND(EL40&gt;=1,EL40&lt;=12*OPS_YEARS),ROUNDUP(EL40/12,0),0)</f>
        <v>9</v>
      </c>
      <c r="EM41" s="148">
        <f>IF(AND(EM40&gt;=1,EM40&lt;=12*OPS_YEARS),ROUNDUP(EM40/12,0),0)</f>
        <v>10</v>
      </c>
      <c r="EN41" s="148">
        <f>IF(AND(EN40&gt;=1,EN40&lt;=12*OPS_YEARS),ROUNDUP(EN40/12,0),0)</f>
        <v>10</v>
      </c>
      <c r="EO41" s="148">
        <f>IF(AND(EO40&gt;=1,EO40&lt;=12*OPS_YEARS),ROUNDUP(EO40/12,0),0)</f>
        <v>10</v>
      </c>
      <c r="EP41" s="148">
        <f>IF(AND(EP40&gt;=1,EP40&lt;=12*OPS_YEARS),ROUNDUP(EP40/12,0),0)</f>
        <v>10</v>
      </c>
      <c r="EQ41" s="148">
        <f>IF(AND(EQ40&gt;=1,EQ40&lt;=12*OPS_YEARS),ROUNDUP(EQ40/12,0),0)</f>
        <v>10</v>
      </c>
      <c r="ER41" s="148">
        <f>IF(AND(ER40&gt;=1,ER40&lt;=12*OPS_YEARS),ROUNDUP(ER40/12,0),0)</f>
        <v>10</v>
      </c>
      <c r="ES41" s="148">
        <f>IF(AND(ES40&gt;=1,ES40&lt;=12*OPS_YEARS),ROUNDUP(ES40/12,0),0)</f>
        <v>10</v>
      </c>
      <c r="ET41" s="148">
        <f>IF(AND(ET40&gt;=1,ET40&lt;=12*OPS_YEARS),ROUNDUP(ET40/12,0),0)</f>
        <v>10</v>
      </c>
      <c r="EU41" s="148">
        <f>IF(AND(EU40&gt;=1,EU40&lt;=12*OPS_YEARS),ROUNDUP(EU40/12,0),0)</f>
        <v>10</v>
      </c>
      <c r="EV41" s="148">
        <f>IF(AND(EV40&gt;=1,EV40&lt;=12*OPS_YEARS),ROUNDUP(EV40/12,0),0)</f>
        <v>10</v>
      </c>
      <c r="EW41" s="148">
        <f>IF(AND(EW40&gt;=1,EW40&lt;=12*OPS_YEARS),ROUNDUP(EW40/12,0),0)</f>
        <v>10</v>
      </c>
      <c r="EX41" s="148">
        <f>IF(AND(EX40&gt;=1,EX40&lt;=12*OPS_YEARS),ROUNDUP(EX40/12,0),0)</f>
        <v>10</v>
      </c>
      <c r="EY41" s="148">
        <f>IF(AND(EY40&gt;=1,EY40&lt;=12*OPS_YEARS),ROUNDUP(EY40/12,0),0)</f>
        <v>0</v>
      </c>
      <c r="EZ41" s="148">
        <f>IF(AND(EZ40&gt;=1,EZ40&lt;=12*OPS_YEARS),ROUNDUP(EZ40/12,0),0)</f>
        <v>0</v>
      </c>
      <c r="FA41" s="148">
        <f>IF(AND(FA40&gt;=1,FA40&lt;=12*OPS_YEARS),ROUNDUP(FA40/12,0),0)</f>
        <v>0</v>
      </c>
      <c r="FB41" s="148">
        <f>IF(AND(FB40&gt;=1,FB40&lt;=12*OPS_YEARS),ROUNDUP(FB40/12,0),0)</f>
        <v>0</v>
      </c>
      <c r="FC41" s="148">
        <f>IF(AND(FC40&gt;=1,FC40&lt;=12*OPS_YEARS),ROUNDUP(FC40/12,0),0)</f>
        <v>0</v>
      </c>
      <c r="FD41" s="148">
        <f>IF(AND(FD40&gt;=1,FD40&lt;=12*OPS_YEARS),ROUNDUP(FD40/12,0),0)</f>
        <v>0</v>
      </c>
      <c r="FE41" s="148">
        <f>IF(AND(FE40&gt;=1,FE40&lt;=12*OPS_YEARS),ROUNDUP(FE40/12,0),0)</f>
        <v>0</v>
      </c>
      <c r="FF41" s="148">
        <f>IF(AND(FF40&gt;=1,FF40&lt;=12*OPS_YEARS),ROUNDUP(FF40/12,0),0)</f>
        <v>0</v>
      </c>
      <c r="FG41" s="148">
        <f>IF(AND(FG40&gt;=1,FG40&lt;=12*OPS_YEARS),ROUNDUP(FG40/12,0),0)</f>
        <v>0</v>
      </c>
      <c r="FH41" s="148">
        <f>IF(AND(FH40&gt;=1,FH40&lt;=12*OPS_YEARS),ROUNDUP(FH40/12,0),0)</f>
        <v>0</v>
      </c>
      <c r="FI41" s="148">
        <f>IF(AND(FI40&gt;=1,FI40&lt;=12*OPS_YEARS),ROUNDUP(FI40/12,0),0)</f>
        <v>0</v>
      </c>
      <c r="FJ41" s="148">
        <f>IF(AND(FJ40&gt;=1,FJ40&lt;=12*OPS_YEARS),ROUNDUP(FJ40/12,0),0)</f>
        <v>0</v>
      </c>
      <c r="FK41" s="148">
        <f>IF(AND(FK40&gt;=1,FK40&lt;=12*OPS_YEARS),ROUNDUP(FK40/12,0),0)</f>
        <v>0</v>
      </c>
      <c r="FL41" s="148">
        <f>IF(AND(FL40&gt;=1,FL40&lt;=12*OPS_YEARS),ROUNDUP(FL40/12,0),0)</f>
        <v>0</v>
      </c>
      <c r="FM41" s="148">
        <f>IF(AND(FM40&gt;=1,FM40&lt;=12*OPS_YEARS),ROUNDUP(FM40/12,0),0)</f>
        <v>0</v>
      </c>
      <c r="FN41" s="148">
        <f>IF(AND(FN40&gt;=1,FN40&lt;=12*OPS_YEARS),ROUNDUP(FN40/12,0),0)</f>
        <v>0</v>
      </c>
      <c r="FO41" s="148">
        <f>IF(AND(FO40&gt;=1,FO40&lt;=12*OPS_YEARS),ROUNDUP(FO40/12,0),0)</f>
        <v>0</v>
      </c>
      <c r="FP41" s="148">
        <f>IF(AND(FP40&gt;=1,FP40&lt;=12*OPS_YEARS),ROUNDUP(FP40/12,0),0)</f>
        <v>0</v>
      </c>
      <c r="FQ41" s="148">
        <f>IF(AND(FQ40&gt;=1,FQ40&lt;=12*OPS_YEARS),ROUNDUP(FQ40/12,0),0)</f>
        <v>0</v>
      </c>
      <c r="FR41" s="148">
        <f>IF(AND(FR40&gt;=1,FR40&lt;=12*OPS_YEARS),ROUNDUP(FR40/12,0),0)</f>
        <v>0</v>
      </c>
      <c r="FS41" s="148">
        <f>IF(AND(FS40&gt;=1,FS40&lt;=12*OPS_YEARS),ROUNDUP(FS40/12,0),0)</f>
        <v>0</v>
      </c>
      <c r="FT41" s="148">
        <f>IF(AND(FT40&gt;=1,FT40&lt;=12*OPS_YEARS),ROUNDUP(FT40/12,0),0)</f>
        <v>0</v>
      </c>
      <c r="FU41" s="148">
        <f>IF(AND(FU40&gt;=1,FU40&lt;=12*OPS_YEARS),ROUNDUP(FU40/12,0),0)</f>
        <v>0</v>
      </c>
      <c r="FV41" s="148">
        <f>IF(AND(FV40&gt;=1,FV40&lt;=12*OPS_YEARS),ROUNDUP(FV40/12,0),0)</f>
        <v>0</v>
      </c>
      <c r="FW41" s="148">
        <f>IF(AND(FW40&gt;=1,FW40&lt;=12*OPS_YEARS),ROUNDUP(FW40/12,0),0)</f>
        <v>0</v>
      </c>
      <c r="FX41" s="148">
        <f>IF(AND(FX40&gt;=1,FX40&lt;=12*OPS_YEARS),ROUNDUP(FX40/12,0),0)</f>
        <v>0</v>
      </c>
      <c r="FY41" s="148">
        <f>IF(AND(FY40&gt;=1,FY40&lt;=12*OPS_YEARS),ROUNDUP(FY40/12,0),0)</f>
        <v>0</v>
      </c>
      <c r="FZ41" s="148">
        <f>IF(AND(FZ40&gt;=1,FZ40&lt;=12*OPS_YEARS),ROUNDUP(FZ40/12,0),0)</f>
        <v>0</v>
      </c>
      <c r="GA41" s="148">
        <f>IF(AND(GA40&gt;=1,GA40&lt;=12*OPS_YEARS),ROUNDUP(GA40/12,0),0)</f>
        <v>0</v>
      </c>
      <c r="GB41" s="148">
        <f>IF(AND(GB40&gt;=1,GB40&lt;=12*OPS_YEARS),ROUNDUP(GB40/12,0),0)</f>
        <v>0</v>
      </c>
      <c r="GC41" s="148">
        <f>IF(AND(GC40&gt;=1,GC40&lt;=12*OPS_YEARS),ROUNDUP(GC40/12,0),0)</f>
        <v>0</v>
      </c>
      <c r="GD41" s="148">
        <f>IF(AND(GD40&gt;=1,GD40&lt;=12*OPS_YEARS),ROUNDUP(GD40/12,0),0)</f>
        <v>0</v>
      </c>
      <c r="GE41" s="148">
        <f>IF(AND(GE40&gt;=1,GE40&lt;=12*OPS_YEARS),ROUNDUP(GE40/12,0),0)</f>
        <v>0</v>
      </c>
      <c r="GF41" s="148">
        <f>IF(AND(GF40&gt;=1,GF40&lt;=12*OPS_YEARS),ROUNDUP(GF40/12,0),0)</f>
        <v>0</v>
      </c>
      <c r="GG41" s="148">
        <f>IF(AND(GG40&gt;=1,GG40&lt;=12*OPS_YEARS),ROUNDUP(GG40/12,0),0)</f>
        <v>0</v>
      </c>
      <c r="GH41" s="148">
        <f>IF(AND(GH40&gt;=1,GH40&lt;=12*OPS_YEARS),ROUNDUP(GH40/12,0),0)</f>
        <v>0</v>
      </c>
      <c r="GI41" s="148">
        <f>IF(AND(GI40&gt;=1,GI40&lt;=12*OPS_YEARS),ROUNDUP(GI40/12,0),0)</f>
        <v>0</v>
      </c>
      <c r="GJ41" s="148">
        <f>IF(AND(GJ40&gt;=1,GJ40&lt;=12*OPS_YEARS),ROUNDUP(GJ40/12,0),0)</f>
        <v>0</v>
      </c>
      <c r="GK41" s="148">
        <f>IF(AND(GK40&gt;=1,GK40&lt;=12*OPS_YEARS),ROUNDUP(GK40/12,0),0)</f>
        <v>0</v>
      </c>
      <c r="GL41" s="148">
        <f>IF(AND(GL40&gt;=1,GL40&lt;=12*OPS_YEARS),ROUNDUP(GL40/12,0),0)</f>
        <v>0</v>
      </c>
      <c r="GM41" s="148">
        <f>IF(AND(GM40&gt;=1,GM40&lt;=12*OPS_YEARS),ROUNDUP(GM40/12,0),0)</f>
        <v>0</v>
      </c>
      <c r="GN41" s="148">
        <f>IF(AND(GN40&gt;=1,GN40&lt;=12*OPS_YEARS),ROUNDUP(GN40/12,0),0)</f>
        <v>0</v>
      </c>
      <c r="GO41" s="148">
        <f>IF(AND(GO40&gt;=1,GO40&lt;=12*OPS_YEARS),ROUNDUP(GO40/12,0),0)</f>
        <v>0</v>
      </c>
      <c r="GP41" s="148">
        <f>IF(AND(GP40&gt;=1,GP40&lt;=12*OPS_YEARS),ROUNDUP(GP40/12,0),0)</f>
        <v>0</v>
      </c>
      <c r="GQ41" s="148">
        <f>IF(AND(GQ40&gt;=1,GQ40&lt;=12*OPS_YEARS),ROUNDUP(GQ40/12,0),0)</f>
        <v>0</v>
      </c>
      <c r="GR41" s="148">
        <f>IF(AND(GR40&gt;=1,GR40&lt;=12*OPS_YEARS),ROUNDUP(GR40/12,0),0)</f>
        <v>0</v>
      </c>
      <c r="GS41" s="148">
        <f>IF(AND(GS40&gt;=1,GS40&lt;=12*OPS_YEARS),ROUNDUP(GS40/12,0),0)</f>
        <v>0</v>
      </c>
      <c r="GT41" s="148">
        <f>IF(AND(GT40&gt;=1,GT40&lt;=12*OPS_YEARS),ROUNDUP(GT40/12,0),0)</f>
        <v>0</v>
      </c>
      <c r="GU41" s="148">
        <f>IF(AND(GU40&gt;=1,GU40&lt;=12*OPS_YEARS),ROUNDUP(GU40/12,0),0)</f>
        <v>0</v>
      </c>
      <c r="GV41" s="148">
        <f>IF(AND(GV40&gt;=1,GV40&lt;=12*OPS_YEARS),ROUNDUP(GV40/12,0),0)</f>
        <v>0</v>
      </c>
      <c r="GW41" s="148">
        <f>IF(AND(GW40&gt;=1,GW40&lt;=12*OPS_YEARS),ROUNDUP(GW40/12,0),0)</f>
        <v>0</v>
      </c>
      <c r="GX41" s="148">
        <f>IF(AND(GX40&gt;=1,GX40&lt;=12*OPS_YEARS),ROUNDUP(GX40/12,0),0)</f>
        <v>0</v>
      </c>
      <c r="GY41" s="148">
        <f>IF(AND(GY40&gt;=1,GY40&lt;=12*OPS_YEARS),ROUNDUP(GY40/12,0),0)</f>
        <v>0</v>
      </c>
      <c r="GZ41" s="148">
        <f>IF(AND(GZ40&gt;=1,GZ40&lt;=12*OPS_YEARS),ROUNDUP(GZ40/12,0),0)</f>
        <v>0</v>
      </c>
      <c r="HA41" s="148">
        <f>IF(AND(HA40&gt;=1,HA40&lt;=12*OPS_YEARS),ROUNDUP(HA40/12,0),0)</f>
        <v>0</v>
      </c>
      <c r="HB41" s="148">
        <f>IF(AND(HB40&gt;=1,HB40&lt;=12*OPS_YEARS),ROUNDUP(HB40/12,0),0)</f>
        <v>0</v>
      </c>
      <c r="HC41" s="148">
        <f>IF(AND(HC40&gt;=1,HC40&lt;=12*OPS_YEARS),ROUNDUP(HC40/12,0),0)</f>
        <v>0</v>
      </c>
      <c r="HD41" s="148">
        <f>IF(AND(HD40&gt;=1,HD40&lt;=12*OPS_YEARS),ROUNDUP(HD40/12,0),0)</f>
        <v>0</v>
      </c>
      <c r="HE41" s="148">
        <f>IF(AND(HE40&gt;=1,HE40&lt;=12*OPS_YEARS),ROUNDUP(HE40/12,0),0)</f>
        <v>0</v>
      </c>
      <c r="HF41" s="148">
        <f>IF(AND(HF40&gt;=1,HF40&lt;=12*OPS_YEARS),ROUNDUP(HF40/12,0),0)</f>
        <v>0</v>
      </c>
      <c r="HG41" s="148">
        <f>IF(AND(HG40&gt;=1,HG40&lt;=12*OPS_YEARS),ROUNDUP(HG40/12,0),0)</f>
        <v>0</v>
      </c>
      <c r="HH41" s="148">
        <f>IF(AND(HH40&gt;=1,HH40&lt;=12*OPS_YEARS),ROUNDUP(HH40/12,0),0)</f>
        <v>0</v>
      </c>
      <c r="HI41" s="148">
        <f>IF(AND(HI40&gt;=1,HI40&lt;=12*OPS_YEARS),ROUNDUP(HI40/12,0),0)</f>
        <v>0</v>
      </c>
      <c r="HJ41" s="148">
        <f>IF(AND(HJ40&gt;=1,HJ40&lt;=12*OPS_YEARS),ROUNDUP(HJ40/12,0),0)</f>
        <v>0</v>
      </c>
      <c r="HK41" s="148">
        <f>IF(AND(HK40&gt;=1,HK40&lt;=12*OPS_YEARS),ROUNDUP(HK40/12,0),0)</f>
        <v>0</v>
      </c>
      <c r="HL41" s="148">
        <f>IF(AND(HL40&gt;=1,HL40&lt;=12*OPS_YEARS),ROUNDUP(HL40/12,0),0)</f>
        <v>0</v>
      </c>
      <c r="HM41" s="148">
        <f>IF(AND(HM40&gt;=1,HM40&lt;=12*OPS_YEARS),ROUNDUP(HM40/12,0),0)</f>
        <v>0</v>
      </c>
      <c r="HN41" s="148">
        <f>IF(AND(HN40&gt;=1,HN40&lt;=12*OPS_YEARS),ROUNDUP(HN40/12,0),0)</f>
        <v>0</v>
      </c>
      <c r="HO41" s="148">
        <f>IF(AND(HO40&gt;=1,HO40&lt;=12*OPS_YEARS),ROUNDUP(HO40/12,0),0)</f>
        <v>0</v>
      </c>
      <c r="HP41" s="148">
        <f>IF(AND(HP40&gt;=1,HP40&lt;=12*OPS_YEARS),ROUNDUP(HP40/12,0),0)</f>
        <v>0</v>
      </c>
      <c r="HQ41" s="148">
        <f>IF(AND(HQ40&gt;=1,HQ40&lt;=12*OPS_YEARS),ROUNDUP(HQ40/12,0),0)</f>
        <v>0</v>
      </c>
      <c r="HR41" s="148">
        <f>IF(AND(HR40&gt;=1,HR40&lt;=12*OPS_YEARS),ROUNDUP(HR40/12,0),0)</f>
        <v>0</v>
      </c>
      <c r="HS41" s="148">
        <f>IF(AND(HS40&gt;=1,HS40&lt;=12*OPS_YEARS),ROUNDUP(HS40/12,0),0)</f>
        <v>0</v>
      </c>
      <c r="HT41" s="148">
        <f>IF(AND(HT40&gt;=1,HT40&lt;=12*OPS_YEARS),ROUNDUP(HT40/12,0),0)</f>
        <v>0</v>
      </c>
      <c r="HU41" s="148">
        <f>IF(AND(HU40&gt;=1,HU40&lt;=12*OPS_YEARS),ROUNDUP(HU40/12,0),0)</f>
        <v>0</v>
      </c>
      <c r="HV41" s="148">
        <f>IF(AND(HV40&gt;=1,HV40&lt;=12*OPS_YEARS),ROUNDUP(HV40/12,0),0)</f>
        <v>0</v>
      </c>
      <c r="HW41" s="148">
        <f>IF(AND(HW40&gt;=1,HW40&lt;=12*OPS_YEARS),ROUNDUP(HW40/12,0),0)</f>
        <v>0</v>
      </c>
      <c r="HX41" s="148">
        <f>IF(AND(HX40&gt;=1,HX40&lt;=12*OPS_YEARS),ROUNDUP(HX40/12,0),0)</f>
        <v>0</v>
      </c>
      <c r="HY41" s="148">
        <f>IF(AND(HY40&gt;=1,HY40&lt;=12*OPS_YEARS),ROUNDUP(HY40/12,0),0)</f>
        <v>0</v>
      </c>
      <c r="HZ41" s="148">
        <f>IF(AND(HZ40&gt;=1,HZ40&lt;=12*OPS_YEARS),ROUNDUP(HZ40/12,0),0)</f>
        <v>0</v>
      </c>
      <c r="IA41" s="148">
        <f>IF(AND(IA40&gt;=1,IA40&lt;=12*OPS_YEARS),ROUNDUP(IA40/12,0),0)</f>
        <v>0</v>
      </c>
      <c r="IB41" s="148">
        <f>IF(AND(IB40&gt;=1,IB40&lt;=12*OPS_YEARS),ROUNDUP(IB40/12,0),0)</f>
        <v>0</v>
      </c>
      <c r="IC41" s="148">
        <f>IF(AND(IC40&gt;=1,IC40&lt;=12*OPS_YEARS),ROUNDUP(IC40/12,0),0)</f>
        <v>0</v>
      </c>
      <c r="ID41" s="148">
        <f>IF(AND(ID40&gt;=1,ID40&lt;=12*OPS_YEARS),ROUNDUP(ID40/12,0),0)</f>
        <v>0</v>
      </c>
      <c r="IE41" s="148">
        <f>IF(AND(IE40&gt;=1,IE40&lt;=12*OPS_YEARS),ROUNDUP(IE40/12,0),0)</f>
        <v>0</v>
      </c>
      <c r="IF41" s="148">
        <f>IF(AND(IF40&gt;=1,IF40&lt;=12*OPS_YEARS),ROUNDUP(IF40/12,0),0)</f>
        <v>0</v>
      </c>
      <c r="IG41" s="148">
        <f>IF(AND(IG40&gt;=1,IG40&lt;=12*OPS_YEARS),ROUNDUP(IG40/12,0),0)</f>
        <v>0</v>
      </c>
      <c r="IH41" s="148">
        <f>IF(AND(IH40&gt;=1,IH40&lt;=12*OPS_YEARS),ROUNDUP(IH40/12,0),0)</f>
        <v>0</v>
      </c>
      <c r="II41" s="148">
        <f>IF(AND(II40&gt;=1,II40&lt;=12*OPS_YEARS),ROUNDUP(II40/12,0),0)</f>
        <v>0</v>
      </c>
      <c r="IJ41" s="148">
        <f>IF(AND(IJ40&gt;=1,IJ40&lt;=12*OPS_YEARS),ROUNDUP(IJ40/12,0),0)</f>
        <v>0</v>
      </c>
      <c r="IK41" s="148">
        <f>IF(AND(IK40&gt;=1,IK40&lt;=12*OPS_YEARS),ROUNDUP(IK40/12,0),0)</f>
        <v>0</v>
      </c>
      <c r="IL41" s="148">
        <f>IF(AND(IL40&gt;=1,IL40&lt;=12*OPS_YEARS),ROUNDUP(IL40/12,0),0)</f>
        <v>0</v>
      </c>
      <c r="IM41" s="148">
        <f>IF(AND(IM40&gt;=1,IM40&lt;=12*OPS_YEARS),ROUNDUP(IM40/12,0),0)</f>
        <v>0</v>
      </c>
      <c r="IN41" s="148">
        <f>IF(AND(IN40&gt;=1,IN40&lt;=12*OPS_YEARS),ROUNDUP(IN40/12,0),0)</f>
        <v>0</v>
      </c>
      <c r="IO41" s="148">
        <f>IF(AND(IO40&gt;=1,IO40&lt;=12*OPS_YEARS),ROUNDUP(IO40/12,0),0)</f>
        <v>0</v>
      </c>
      <c r="IP41" s="148">
        <f>IF(AND(IP40&gt;=1,IP40&lt;=12*OPS_YEARS),ROUNDUP(IP40/12,0),0)</f>
        <v>0</v>
      </c>
      <c r="IQ41" s="148">
        <f>IF(AND(IQ40&gt;=1,IQ40&lt;=12*OPS_YEARS),ROUNDUP(IQ40/12,0),0)</f>
        <v>0</v>
      </c>
      <c r="IR41" s="148">
        <f>IF(AND(IR40&gt;=1,IR40&lt;=12*OPS_YEARS),ROUNDUP(IR40/12,0),0)</f>
        <v>0</v>
      </c>
      <c r="IS41" s="148">
        <f>IF(AND(IS40&gt;=1,IS40&lt;=12*OPS_YEARS),ROUNDUP(IS40/12,0),0)</f>
        <v>0</v>
      </c>
      <c r="IT41" s="148">
        <f>IF(AND(IT40&gt;=1,IT40&lt;=12*OPS_YEARS),ROUNDUP(IT40/12,0),0)</f>
        <v>0</v>
      </c>
      <c r="IU41" s="148">
        <f>IF(AND(IU40&gt;=1,IU40&lt;=12*OPS_YEARS),ROUNDUP(IU40/12,0),0)</f>
        <v>0</v>
      </c>
      <c r="IV41" s="148">
        <f>IF(AND(IV40&gt;=1,IV40&lt;=12*OPS_YEARS),ROUNDUP(IV40/12,0),0)</f>
        <v>0</v>
      </c>
      <c r="IW41" s="148">
        <f>IF(AND(IW40&gt;=1,IW40&lt;=12*OPS_YEARS),ROUNDUP(IW40/12,0),0)</f>
        <v>0</v>
      </c>
      <c r="IX41" s="148">
        <f>IF(AND(IX40&gt;=1,IX40&lt;=12*OPS_YEARS),ROUNDUP(IX40/12,0),0)</f>
        <v>0</v>
      </c>
      <c r="IY41" s="148">
        <f>IF(AND(IY40&gt;=1,IY40&lt;=12*OPS_YEARS),ROUNDUP(IY40/12,0),0)</f>
        <v>0</v>
      </c>
      <c r="IZ41" s="148">
        <f>IF(AND(IZ40&gt;=1,IZ40&lt;=12*OPS_YEARS),ROUNDUP(IZ40/12,0),0)</f>
        <v>0</v>
      </c>
      <c r="JA41" s="148">
        <f>IF(AND(JA40&gt;=1,JA40&lt;=12*OPS_YEARS),ROUNDUP(JA40/12,0),0)</f>
        <v>0</v>
      </c>
      <c r="JB41" s="148">
        <f>IF(AND(JB40&gt;=1,JB40&lt;=12*OPS_YEARS),ROUNDUP(JB40/12,0),0)</f>
        <v>0</v>
      </c>
      <c r="JC41" s="148">
        <f>IF(AND(JC40&gt;=1,JC40&lt;=12*OPS_YEARS),ROUNDUP(JC40/12,0),0)</f>
        <v>0</v>
      </c>
      <c r="JD41" s="148">
        <f>IF(AND(JD40&gt;=1,JD40&lt;=12*OPS_YEARS),ROUNDUP(JD40/12,0),0)</f>
        <v>0</v>
      </c>
      <c r="JE41" s="148">
        <f>IF(AND(JE40&gt;=1,JE40&lt;=12*OPS_YEARS),ROUNDUP(JE40/12,0),0)</f>
        <v>0</v>
      </c>
      <c r="JF41" s="148">
        <f>IF(AND(JF40&gt;=1,JF40&lt;=12*OPS_YEARS),ROUNDUP(JF40/12,0),0)</f>
        <v>0</v>
      </c>
      <c r="JG41" s="148">
        <f>IF(AND(JG40&gt;=1,JG40&lt;=12*OPS_YEARS),ROUNDUP(JG40/12,0),0)</f>
        <v>0</v>
      </c>
      <c r="JH41" s="148">
        <f>IF(AND(JH40&gt;=1,JH40&lt;=12*OPS_YEARS),ROUNDUP(JH40/12,0),0)</f>
        <v>0</v>
      </c>
      <c r="JI41" s="148">
        <f>IF(AND(JI40&gt;=1,JI40&lt;=12*OPS_YEARS),ROUNDUP(JI40/12,0),0)</f>
        <v>0</v>
      </c>
      <c r="JJ41" s="148">
        <f>IF(AND(JJ40&gt;=1,JJ40&lt;=12*OPS_YEARS),ROUNDUP(JJ40/12,0),0)</f>
        <v>0</v>
      </c>
      <c r="JK41" s="148">
        <f>IF(AND(JK40&gt;=1,JK40&lt;=12*OPS_YEARS),ROUNDUP(JK40/12,0),0)</f>
        <v>0</v>
      </c>
      <c r="JL41" s="148">
        <f>IF(AND(JL40&gt;=1,JL40&lt;=12*OPS_YEARS),ROUNDUP(JL40/12,0),0)</f>
        <v>0</v>
      </c>
      <c r="JM41" s="148">
        <f>IF(AND(JM40&gt;=1,JM40&lt;=12*OPS_YEARS),ROUNDUP(JM40/12,0),0)</f>
        <v>0</v>
      </c>
      <c r="JN41" s="148">
        <f>IF(AND(JN40&gt;=1,JN40&lt;=12*OPS_YEARS),ROUNDUP(JN40/12,0),0)</f>
        <v>0</v>
      </c>
      <c r="JO41" s="148">
        <f>IF(AND(JO40&gt;=1,JO40&lt;=12*OPS_YEARS),ROUNDUP(JO40/12,0),0)</f>
        <v>0</v>
      </c>
      <c r="JP41" s="148">
        <f>IF(AND(JP40&gt;=1,JP40&lt;=12*OPS_YEARS),ROUNDUP(JP40/12,0),0)</f>
        <v>0</v>
      </c>
      <c r="JQ41" s="148">
        <f>IF(AND(JQ40&gt;=1,JQ40&lt;=12*OPS_YEARS),ROUNDUP(JQ40/12,0),0)</f>
        <v>0</v>
      </c>
      <c r="JR41" s="148">
        <f>IF(AND(JR40&gt;=1,JR40&lt;=12*OPS_YEARS),ROUNDUP(JR40/12,0),0)</f>
        <v>0</v>
      </c>
      <c r="JS41" s="148">
        <f>IF(AND(JS40&gt;=1,JS40&lt;=12*OPS_YEARS),ROUNDUP(JS40/12,0),0)</f>
        <v>0</v>
      </c>
      <c r="JT41" s="148">
        <f>IF(AND(JT40&gt;=1,JT40&lt;=12*OPS_YEARS),ROUNDUP(JT40/12,0),0)</f>
        <v>0</v>
      </c>
      <c r="JU41" s="148">
        <f>IF(AND(JU40&gt;=1,JU40&lt;=12*OPS_YEARS),ROUNDUP(JU40/12,0),0)</f>
        <v>0</v>
      </c>
      <c r="JV41" s="148">
        <f>IF(AND(JV40&gt;=1,JV40&lt;=12*OPS_YEARS),ROUNDUP(JV40/12,0),0)</f>
        <v>0</v>
      </c>
      <c r="JW41" s="148">
        <f>IF(AND(JW40&gt;=1,JW40&lt;=12*OPS_YEARS),ROUNDUP(JW40/12,0),0)</f>
        <v>0</v>
      </c>
      <c r="JX41" s="148">
        <f>IF(AND(JX40&gt;=1,JX40&lt;=12*OPS_YEARS),ROUNDUP(JX40/12,0),0)</f>
        <v>0</v>
      </c>
      <c r="JY41" s="148">
        <f>IF(AND(JY40&gt;=1,JY40&lt;=12*OPS_YEARS),ROUNDUP(JY40/12,0),0)</f>
        <v>0</v>
      </c>
      <c r="JZ41" s="148">
        <f>IF(AND(JZ40&gt;=1,JZ40&lt;=12*OPS_YEARS),ROUNDUP(JZ40/12,0),0)</f>
        <v>0</v>
      </c>
      <c r="KA41" s="148">
        <f>IF(AND(KA40&gt;=1,KA40&lt;=12*OPS_YEARS),ROUNDUP(KA40/12,0),0)</f>
        <v>0</v>
      </c>
      <c r="KB41" s="148">
        <f>IF(AND(KB40&gt;=1,KB40&lt;=12*OPS_YEARS),ROUNDUP(KB40/12,0),0)</f>
        <v>0</v>
      </c>
      <c r="KC41" s="148">
        <f>IF(AND(KC40&gt;=1,KC40&lt;=12*OPS_YEARS),ROUNDUP(KC40/12,0),0)</f>
        <v>0</v>
      </c>
      <c r="KD41" s="148">
        <f>IF(AND(KD40&gt;=1,KD40&lt;=12*OPS_YEARS),ROUNDUP(KD40/12,0),0)</f>
        <v>0</v>
      </c>
      <c r="KE41" s="148">
        <f>IF(AND(KE40&gt;=1,KE40&lt;=12*OPS_YEARS),ROUNDUP(KE40/12,0),0)</f>
        <v>0</v>
      </c>
      <c r="KF41" s="148">
        <f>IF(AND(KF40&gt;=1,KF40&lt;=12*OPS_YEARS),ROUNDUP(KF40/12,0),0)</f>
        <v>0</v>
      </c>
    </row>
    <row r="42">
      <c r="B42" s="36" t="inlineStr">
        <is>
          <t>Loan year after completion</t>
        </is>
      </c>
      <c r="C42" s="117" t="inlineStr">
        <is>
          <t>no.</t>
        </is>
      </c>
      <c r="E42" s="148">
        <f>IF(E40&gt;=1,ROUNDUP(E40/12,0),0)</f>
        <v>0</v>
      </c>
      <c r="F42" s="148">
        <f>IF(F40&gt;=1,ROUNDUP(F40/12,0),0)</f>
        <v>0</v>
      </c>
      <c r="G42" s="148">
        <f>IF(G40&gt;=1,ROUNDUP(G40/12,0),0)</f>
        <v>0</v>
      </c>
      <c r="H42" s="148">
        <f>IF(H40&gt;=1,ROUNDUP(H40/12,0),0)</f>
        <v>0</v>
      </c>
      <c r="I42" s="148">
        <f>IF(I40&gt;=1,ROUNDUP(I40/12,0),0)</f>
        <v>0</v>
      </c>
      <c r="J42" s="148">
        <f>IF(J40&gt;=1,ROUNDUP(J40/12,0),0)</f>
        <v>0</v>
      </c>
      <c r="K42" s="148">
        <f>IF(K40&gt;=1,ROUNDUP(K40/12,0),0)</f>
        <v>0</v>
      </c>
      <c r="L42" s="148">
        <f>IF(L40&gt;=1,ROUNDUP(L40/12,0),0)</f>
        <v>0</v>
      </c>
      <c r="M42" s="148">
        <f>IF(M40&gt;=1,ROUNDUP(M40/12,0),0)</f>
        <v>0</v>
      </c>
      <c r="N42" s="148">
        <f>IF(N40&gt;=1,ROUNDUP(N40/12,0),0)</f>
        <v>0</v>
      </c>
      <c r="O42" s="148">
        <f>IF(O40&gt;=1,ROUNDUP(O40/12,0),0)</f>
        <v>0</v>
      </c>
      <c r="P42" s="148">
        <f>IF(P40&gt;=1,ROUNDUP(P40/12,0),0)</f>
        <v>0</v>
      </c>
      <c r="Q42" s="148">
        <f>IF(Q40&gt;=1,ROUNDUP(Q40/12,0),0)</f>
        <v>0</v>
      </c>
      <c r="R42" s="148">
        <f>IF(R40&gt;=1,ROUNDUP(R40/12,0),0)</f>
        <v>0</v>
      </c>
      <c r="S42" s="148">
        <f>IF(S40&gt;=1,ROUNDUP(S40/12,0),0)</f>
        <v>0</v>
      </c>
      <c r="T42" s="148">
        <f>IF(T40&gt;=1,ROUNDUP(T40/12,0),0)</f>
        <v>0</v>
      </c>
      <c r="U42" s="148">
        <f>IF(U40&gt;=1,ROUNDUP(U40/12,0),0)</f>
        <v>0</v>
      </c>
      <c r="V42" s="148">
        <f>IF(V40&gt;=1,ROUNDUP(V40/12,0),0)</f>
        <v>0</v>
      </c>
      <c r="W42" s="148">
        <f>IF(W40&gt;=1,ROUNDUP(W40/12,0),0)</f>
        <v>0</v>
      </c>
      <c r="X42" s="148">
        <f>IF(X40&gt;=1,ROUNDUP(X40/12,0),0)</f>
        <v>0</v>
      </c>
      <c r="Y42" s="148">
        <f>IF(Y40&gt;=1,ROUNDUP(Y40/12,0),0)</f>
        <v>0</v>
      </c>
      <c r="Z42" s="148">
        <f>IF(Z40&gt;=1,ROUNDUP(Z40/12,0),0)</f>
        <v>0</v>
      </c>
      <c r="AA42" s="148">
        <f>IF(AA40&gt;=1,ROUNDUP(AA40/12,0),0)</f>
        <v>0</v>
      </c>
      <c r="AB42" s="148">
        <f>IF(AB40&gt;=1,ROUNDUP(AB40/12,0),0)</f>
        <v>0</v>
      </c>
      <c r="AC42" s="148">
        <f>IF(AC40&gt;=1,ROUNDUP(AC40/12,0),0)</f>
        <v>0</v>
      </c>
      <c r="AD42" s="148">
        <f>IF(AD40&gt;=1,ROUNDUP(AD40/12,0),0)</f>
        <v>0</v>
      </c>
      <c r="AE42" s="148">
        <f>IF(AE40&gt;=1,ROUNDUP(AE40/12,0),0)</f>
        <v>0</v>
      </c>
      <c r="AF42" s="148">
        <f>IF(AF40&gt;=1,ROUNDUP(AF40/12,0),0)</f>
        <v>0</v>
      </c>
      <c r="AG42" s="148">
        <f>IF(AG40&gt;=1,ROUNDUP(AG40/12,0),0)</f>
        <v>0</v>
      </c>
      <c r="AH42" s="148">
        <f>IF(AH40&gt;=1,ROUNDUP(AH40/12,0),0)</f>
        <v>0</v>
      </c>
      <c r="AI42" s="148">
        <f>IF(AI40&gt;=1,ROUNDUP(AI40/12,0),0)</f>
        <v>1</v>
      </c>
      <c r="AJ42" s="148">
        <f>IF(AJ40&gt;=1,ROUNDUP(AJ40/12,0),0)</f>
        <v>1</v>
      </c>
      <c r="AK42" s="148">
        <f>IF(AK40&gt;=1,ROUNDUP(AK40/12,0),0)</f>
        <v>1</v>
      </c>
      <c r="AL42" s="148">
        <f>IF(AL40&gt;=1,ROUNDUP(AL40/12,0),0)</f>
        <v>1</v>
      </c>
      <c r="AM42" s="148">
        <f>IF(AM40&gt;=1,ROUNDUP(AM40/12,0),0)</f>
        <v>1</v>
      </c>
      <c r="AN42" s="148">
        <f>IF(AN40&gt;=1,ROUNDUP(AN40/12,0),0)</f>
        <v>1</v>
      </c>
      <c r="AO42" s="148">
        <f>IF(AO40&gt;=1,ROUNDUP(AO40/12,0),0)</f>
        <v>1</v>
      </c>
      <c r="AP42" s="148">
        <f>IF(AP40&gt;=1,ROUNDUP(AP40/12,0),0)</f>
        <v>1</v>
      </c>
      <c r="AQ42" s="148">
        <f>IF(AQ40&gt;=1,ROUNDUP(AQ40/12,0),0)</f>
        <v>1</v>
      </c>
      <c r="AR42" s="148">
        <f>IF(AR40&gt;=1,ROUNDUP(AR40/12,0),0)</f>
        <v>1</v>
      </c>
      <c r="AS42" s="148">
        <f>IF(AS40&gt;=1,ROUNDUP(AS40/12,0),0)</f>
        <v>1</v>
      </c>
      <c r="AT42" s="148">
        <f>IF(AT40&gt;=1,ROUNDUP(AT40/12,0),0)</f>
        <v>1</v>
      </c>
      <c r="AU42" s="148">
        <f>IF(AU40&gt;=1,ROUNDUP(AU40/12,0),0)</f>
        <v>2</v>
      </c>
      <c r="AV42" s="148">
        <f>IF(AV40&gt;=1,ROUNDUP(AV40/12,0),0)</f>
        <v>2</v>
      </c>
      <c r="AW42" s="148">
        <f>IF(AW40&gt;=1,ROUNDUP(AW40/12,0),0)</f>
        <v>2</v>
      </c>
      <c r="AX42" s="148">
        <f>IF(AX40&gt;=1,ROUNDUP(AX40/12,0),0)</f>
        <v>2</v>
      </c>
      <c r="AY42" s="148">
        <f>IF(AY40&gt;=1,ROUNDUP(AY40/12,0),0)</f>
        <v>2</v>
      </c>
      <c r="AZ42" s="148">
        <f>IF(AZ40&gt;=1,ROUNDUP(AZ40/12,0),0)</f>
        <v>2</v>
      </c>
      <c r="BA42" s="148">
        <f>IF(BA40&gt;=1,ROUNDUP(BA40/12,0),0)</f>
        <v>2</v>
      </c>
      <c r="BB42" s="148">
        <f>IF(BB40&gt;=1,ROUNDUP(BB40/12,0),0)</f>
        <v>2</v>
      </c>
      <c r="BC42" s="148">
        <f>IF(BC40&gt;=1,ROUNDUP(BC40/12,0),0)</f>
        <v>2</v>
      </c>
      <c r="BD42" s="148">
        <f>IF(BD40&gt;=1,ROUNDUP(BD40/12,0),0)</f>
        <v>2</v>
      </c>
      <c r="BE42" s="148">
        <f>IF(BE40&gt;=1,ROUNDUP(BE40/12,0),0)</f>
        <v>2</v>
      </c>
      <c r="BF42" s="148">
        <f>IF(BF40&gt;=1,ROUNDUP(BF40/12,0),0)</f>
        <v>2</v>
      </c>
      <c r="BG42" s="148">
        <f>IF(BG40&gt;=1,ROUNDUP(BG40/12,0),0)</f>
        <v>3</v>
      </c>
      <c r="BH42" s="148">
        <f>IF(BH40&gt;=1,ROUNDUP(BH40/12,0),0)</f>
        <v>3</v>
      </c>
      <c r="BI42" s="148">
        <f>IF(BI40&gt;=1,ROUNDUP(BI40/12,0),0)</f>
        <v>3</v>
      </c>
      <c r="BJ42" s="148">
        <f>IF(BJ40&gt;=1,ROUNDUP(BJ40/12,0),0)</f>
        <v>3</v>
      </c>
      <c r="BK42" s="148">
        <f>IF(BK40&gt;=1,ROUNDUP(BK40/12,0),0)</f>
        <v>3</v>
      </c>
      <c r="BL42" s="148">
        <f>IF(BL40&gt;=1,ROUNDUP(BL40/12,0),0)</f>
        <v>3</v>
      </c>
      <c r="BM42" s="148">
        <f>IF(BM40&gt;=1,ROUNDUP(BM40/12,0),0)</f>
        <v>3</v>
      </c>
      <c r="BN42" s="148">
        <f>IF(BN40&gt;=1,ROUNDUP(BN40/12,0),0)</f>
        <v>3</v>
      </c>
      <c r="BO42" s="148">
        <f>IF(BO40&gt;=1,ROUNDUP(BO40/12,0),0)</f>
        <v>3</v>
      </c>
      <c r="BP42" s="148">
        <f>IF(BP40&gt;=1,ROUNDUP(BP40/12,0),0)</f>
        <v>3</v>
      </c>
      <c r="BQ42" s="148">
        <f>IF(BQ40&gt;=1,ROUNDUP(BQ40/12,0),0)</f>
        <v>3</v>
      </c>
      <c r="BR42" s="148">
        <f>IF(BR40&gt;=1,ROUNDUP(BR40/12,0),0)</f>
        <v>3</v>
      </c>
      <c r="BS42" s="148">
        <f>IF(BS40&gt;=1,ROUNDUP(BS40/12,0),0)</f>
        <v>4</v>
      </c>
      <c r="BT42" s="148">
        <f>IF(BT40&gt;=1,ROUNDUP(BT40/12,0),0)</f>
        <v>4</v>
      </c>
      <c r="BU42" s="148">
        <f>IF(BU40&gt;=1,ROUNDUP(BU40/12,0),0)</f>
        <v>4</v>
      </c>
      <c r="BV42" s="148">
        <f>IF(BV40&gt;=1,ROUNDUP(BV40/12,0),0)</f>
        <v>4</v>
      </c>
      <c r="BW42" s="148">
        <f>IF(BW40&gt;=1,ROUNDUP(BW40/12,0),0)</f>
        <v>4</v>
      </c>
      <c r="BX42" s="148">
        <f>IF(BX40&gt;=1,ROUNDUP(BX40/12,0),0)</f>
        <v>4</v>
      </c>
      <c r="BY42" s="148">
        <f>IF(BY40&gt;=1,ROUNDUP(BY40/12,0),0)</f>
        <v>4</v>
      </c>
      <c r="BZ42" s="148">
        <f>IF(BZ40&gt;=1,ROUNDUP(BZ40/12,0),0)</f>
        <v>4</v>
      </c>
      <c r="CA42" s="148">
        <f>IF(CA40&gt;=1,ROUNDUP(CA40/12,0),0)</f>
        <v>4</v>
      </c>
      <c r="CB42" s="148">
        <f>IF(CB40&gt;=1,ROUNDUP(CB40/12,0),0)</f>
        <v>4</v>
      </c>
      <c r="CC42" s="148">
        <f>IF(CC40&gt;=1,ROUNDUP(CC40/12,0),0)</f>
        <v>4</v>
      </c>
      <c r="CD42" s="148">
        <f>IF(CD40&gt;=1,ROUNDUP(CD40/12,0),0)</f>
        <v>4</v>
      </c>
      <c r="CE42" s="148">
        <f>IF(CE40&gt;=1,ROUNDUP(CE40/12,0),0)</f>
        <v>5</v>
      </c>
      <c r="CF42" s="148">
        <f>IF(CF40&gt;=1,ROUNDUP(CF40/12,0),0)</f>
        <v>5</v>
      </c>
      <c r="CG42" s="148">
        <f>IF(CG40&gt;=1,ROUNDUP(CG40/12,0),0)</f>
        <v>5</v>
      </c>
      <c r="CH42" s="148">
        <f>IF(CH40&gt;=1,ROUNDUP(CH40/12,0),0)</f>
        <v>5</v>
      </c>
      <c r="CI42" s="148">
        <f>IF(CI40&gt;=1,ROUNDUP(CI40/12,0),0)</f>
        <v>5</v>
      </c>
      <c r="CJ42" s="148">
        <f>IF(CJ40&gt;=1,ROUNDUP(CJ40/12,0),0)</f>
        <v>5</v>
      </c>
      <c r="CK42" s="148">
        <f>IF(CK40&gt;=1,ROUNDUP(CK40/12,0),0)</f>
        <v>5</v>
      </c>
      <c r="CL42" s="148">
        <f>IF(CL40&gt;=1,ROUNDUP(CL40/12,0),0)</f>
        <v>5</v>
      </c>
      <c r="CM42" s="148">
        <f>IF(CM40&gt;=1,ROUNDUP(CM40/12,0),0)</f>
        <v>5</v>
      </c>
      <c r="CN42" s="148">
        <f>IF(CN40&gt;=1,ROUNDUP(CN40/12,0),0)</f>
        <v>5</v>
      </c>
      <c r="CO42" s="148">
        <f>IF(CO40&gt;=1,ROUNDUP(CO40/12,0),0)</f>
        <v>5</v>
      </c>
      <c r="CP42" s="148">
        <f>IF(CP40&gt;=1,ROUNDUP(CP40/12,0),0)</f>
        <v>5</v>
      </c>
      <c r="CQ42" s="148">
        <f>IF(CQ40&gt;=1,ROUNDUP(CQ40/12,0),0)</f>
        <v>6</v>
      </c>
      <c r="CR42" s="148">
        <f>IF(CR40&gt;=1,ROUNDUP(CR40/12,0),0)</f>
        <v>6</v>
      </c>
      <c r="CS42" s="148">
        <f>IF(CS40&gt;=1,ROUNDUP(CS40/12,0),0)</f>
        <v>6</v>
      </c>
      <c r="CT42" s="148">
        <f>IF(CT40&gt;=1,ROUNDUP(CT40/12,0),0)</f>
        <v>6</v>
      </c>
      <c r="CU42" s="148">
        <f>IF(CU40&gt;=1,ROUNDUP(CU40/12,0),0)</f>
        <v>6</v>
      </c>
      <c r="CV42" s="148">
        <f>IF(CV40&gt;=1,ROUNDUP(CV40/12,0),0)</f>
        <v>6</v>
      </c>
      <c r="CW42" s="148">
        <f>IF(CW40&gt;=1,ROUNDUP(CW40/12,0),0)</f>
        <v>6</v>
      </c>
      <c r="CX42" s="148">
        <f>IF(CX40&gt;=1,ROUNDUP(CX40/12,0),0)</f>
        <v>6</v>
      </c>
      <c r="CY42" s="148">
        <f>IF(CY40&gt;=1,ROUNDUP(CY40/12,0),0)</f>
        <v>6</v>
      </c>
      <c r="CZ42" s="148">
        <f>IF(CZ40&gt;=1,ROUNDUP(CZ40/12,0),0)</f>
        <v>6</v>
      </c>
      <c r="DA42" s="148">
        <f>IF(DA40&gt;=1,ROUNDUP(DA40/12,0),0)</f>
        <v>6</v>
      </c>
      <c r="DB42" s="148">
        <f>IF(DB40&gt;=1,ROUNDUP(DB40/12,0),0)</f>
        <v>6</v>
      </c>
      <c r="DC42" s="148">
        <f>IF(DC40&gt;=1,ROUNDUP(DC40/12,0),0)</f>
        <v>7</v>
      </c>
      <c r="DD42" s="148">
        <f>IF(DD40&gt;=1,ROUNDUP(DD40/12,0),0)</f>
        <v>7</v>
      </c>
      <c r="DE42" s="148">
        <f>IF(DE40&gt;=1,ROUNDUP(DE40/12,0),0)</f>
        <v>7</v>
      </c>
      <c r="DF42" s="148">
        <f>IF(DF40&gt;=1,ROUNDUP(DF40/12,0),0)</f>
        <v>7</v>
      </c>
      <c r="DG42" s="148">
        <f>IF(DG40&gt;=1,ROUNDUP(DG40/12,0),0)</f>
        <v>7</v>
      </c>
      <c r="DH42" s="148">
        <f>IF(DH40&gt;=1,ROUNDUP(DH40/12,0),0)</f>
        <v>7</v>
      </c>
      <c r="DI42" s="148">
        <f>IF(DI40&gt;=1,ROUNDUP(DI40/12,0),0)</f>
        <v>7</v>
      </c>
      <c r="DJ42" s="148">
        <f>IF(DJ40&gt;=1,ROUNDUP(DJ40/12,0),0)</f>
        <v>7</v>
      </c>
      <c r="DK42" s="148">
        <f>IF(DK40&gt;=1,ROUNDUP(DK40/12,0),0)</f>
        <v>7</v>
      </c>
      <c r="DL42" s="148">
        <f>IF(DL40&gt;=1,ROUNDUP(DL40/12,0),0)</f>
        <v>7</v>
      </c>
      <c r="DM42" s="148">
        <f>IF(DM40&gt;=1,ROUNDUP(DM40/12,0),0)</f>
        <v>7</v>
      </c>
      <c r="DN42" s="148">
        <f>IF(DN40&gt;=1,ROUNDUP(DN40/12,0),0)</f>
        <v>7</v>
      </c>
      <c r="DO42" s="148">
        <f>IF(DO40&gt;=1,ROUNDUP(DO40/12,0),0)</f>
        <v>8</v>
      </c>
      <c r="DP42" s="148">
        <f>IF(DP40&gt;=1,ROUNDUP(DP40/12,0),0)</f>
        <v>8</v>
      </c>
      <c r="DQ42" s="148">
        <f>IF(DQ40&gt;=1,ROUNDUP(DQ40/12,0),0)</f>
        <v>8</v>
      </c>
      <c r="DR42" s="148">
        <f>IF(DR40&gt;=1,ROUNDUP(DR40/12,0),0)</f>
        <v>8</v>
      </c>
      <c r="DS42" s="148">
        <f>IF(DS40&gt;=1,ROUNDUP(DS40/12,0),0)</f>
        <v>8</v>
      </c>
      <c r="DT42" s="148">
        <f>IF(DT40&gt;=1,ROUNDUP(DT40/12,0),0)</f>
        <v>8</v>
      </c>
      <c r="DU42" s="148">
        <f>IF(DU40&gt;=1,ROUNDUP(DU40/12,0),0)</f>
        <v>8</v>
      </c>
      <c r="DV42" s="148">
        <f>IF(DV40&gt;=1,ROUNDUP(DV40/12,0),0)</f>
        <v>8</v>
      </c>
      <c r="DW42" s="148">
        <f>IF(DW40&gt;=1,ROUNDUP(DW40/12,0),0)</f>
        <v>8</v>
      </c>
      <c r="DX42" s="148">
        <f>IF(DX40&gt;=1,ROUNDUP(DX40/12,0),0)</f>
        <v>8</v>
      </c>
      <c r="DY42" s="148">
        <f>IF(DY40&gt;=1,ROUNDUP(DY40/12,0),0)</f>
        <v>8</v>
      </c>
      <c r="DZ42" s="148">
        <f>IF(DZ40&gt;=1,ROUNDUP(DZ40/12,0),0)</f>
        <v>8</v>
      </c>
      <c r="EA42" s="148">
        <f>IF(EA40&gt;=1,ROUNDUP(EA40/12,0),0)</f>
        <v>9</v>
      </c>
      <c r="EB42" s="148">
        <f>IF(EB40&gt;=1,ROUNDUP(EB40/12,0),0)</f>
        <v>9</v>
      </c>
      <c r="EC42" s="148">
        <f>IF(EC40&gt;=1,ROUNDUP(EC40/12,0),0)</f>
        <v>9</v>
      </c>
      <c r="ED42" s="148">
        <f>IF(ED40&gt;=1,ROUNDUP(ED40/12,0),0)</f>
        <v>9</v>
      </c>
      <c r="EE42" s="148">
        <f>IF(EE40&gt;=1,ROUNDUP(EE40/12,0),0)</f>
        <v>9</v>
      </c>
      <c r="EF42" s="148">
        <f>IF(EF40&gt;=1,ROUNDUP(EF40/12,0),0)</f>
        <v>9</v>
      </c>
      <c r="EG42" s="148">
        <f>IF(EG40&gt;=1,ROUNDUP(EG40/12,0),0)</f>
        <v>9</v>
      </c>
      <c r="EH42" s="148">
        <f>IF(EH40&gt;=1,ROUNDUP(EH40/12,0),0)</f>
        <v>9</v>
      </c>
      <c r="EI42" s="148">
        <f>IF(EI40&gt;=1,ROUNDUP(EI40/12,0),0)</f>
        <v>9</v>
      </c>
      <c r="EJ42" s="148">
        <f>IF(EJ40&gt;=1,ROUNDUP(EJ40/12,0),0)</f>
        <v>9</v>
      </c>
      <c r="EK42" s="148">
        <f>IF(EK40&gt;=1,ROUNDUP(EK40/12,0),0)</f>
        <v>9</v>
      </c>
      <c r="EL42" s="148">
        <f>IF(EL40&gt;=1,ROUNDUP(EL40/12,0),0)</f>
        <v>9</v>
      </c>
      <c r="EM42" s="148">
        <f>IF(EM40&gt;=1,ROUNDUP(EM40/12,0),0)</f>
        <v>10</v>
      </c>
      <c r="EN42" s="148">
        <f>IF(EN40&gt;=1,ROUNDUP(EN40/12,0),0)</f>
        <v>10</v>
      </c>
      <c r="EO42" s="148">
        <f>IF(EO40&gt;=1,ROUNDUP(EO40/12,0),0)</f>
        <v>10</v>
      </c>
      <c r="EP42" s="148">
        <f>IF(EP40&gt;=1,ROUNDUP(EP40/12,0),0)</f>
        <v>10</v>
      </c>
      <c r="EQ42" s="148">
        <f>IF(EQ40&gt;=1,ROUNDUP(EQ40/12,0),0)</f>
        <v>10</v>
      </c>
      <c r="ER42" s="148">
        <f>IF(ER40&gt;=1,ROUNDUP(ER40/12,0),0)</f>
        <v>10</v>
      </c>
      <c r="ES42" s="148">
        <f>IF(ES40&gt;=1,ROUNDUP(ES40/12,0),0)</f>
        <v>10</v>
      </c>
      <c r="ET42" s="148">
        <f>IF(ET40&gt;=1,ROUNDUP(ET40/12,0),0)</f>
        <v>10</v>
      </c>
      <c r="EU42" s="148">
        <f>IF(EU40&gt;=1,ROUNDUP(EU40/12,0),0)</f>
        <v>10</v>
      </c>
      <c r="EV42" s="148">
        <f>IF(EV40&gt;=1,ROUNDUP(EV40/12,0),0)</f>
        <v>10</v>
      </c>
      <c r="EW42" s="148">
        <f>IF(EW40&gt;=1,ROUNDUP(EW40/12,0),0)</f>
        <v>10</v>
      </c>
      <c r="EX42" s="148">
        <f>IF(EX40&gt;=1,ROUNDUP(EX40/12,0),0)</f>
        <v>10</v>
      </c>
      <c r="EY42" s="148">
        <f>IF(EY40&gt;=1,ROUNDUP(EY40/12,0),0)</f>
        <v>11</v>
      </c>
      <c r="EZ42" s="148">
        <f>IF(EZ40&gt;=1,ROUNDUP(EZ40/12,0),0)</f>
        <v>11</v>
      </c>
      <c r="FA42" s="148">
        <f>IF(FA40&gt;=1,ROUNDUP(FA40/12,0),0)</f>
        <v>11</v>
      </c>
      <c r="FB42" s="148">
        <f>IF(FB40&gt;=1,ROUNDUP(FB40/12,0),0)</f>
        <v>11</v>
      </c>
      <c r="FC42" s="148">
        <f>IF(FC40&gt;=1,ROUNDUP(FC40/12,0),0)</f>
        <v>11</v>
      </c>
      <c r="FD42" s="148">
        <f>IF(FD40&gt;=1,ROUNDUP(FD40/12,0),0)</f>
        <v>11</v>
      </c>
      <c r="FE42" s="148">
        <f>IF(FE40&gt;=1,ROUNDUP(FE40/12,0),0)</f>
        <v>11</v>
      </c>
      <c r="FF42" s="148">
        <f>IF(FF40&gt;=1,ROUNDUP(FF40/12,0),0)</f>
        <v>11</v>
      </c>
      <c r="FG42" s="148">
        <f>IF(FG40&gt;=1,ROUNDUP(FG40/12,0),0)</f>
        <v>11</v>
      </c>
      <c r="FH42" s="148">
        <f>IF(FH40&gt;=1,ROUNDUP(FH40/12,0),0)</f>
        <v>11</v>
      </c>
      <c r="FI42" s="148">
        <f>IF(FI40&gt;=1,ROUNDUP(FI40/12,0),0)</f>
        <v>11</v>
      </c>
      <c r="FJ42" s="148">
        <f>IF(FJ40&gt;=1,ROUNDUP(FJ40/12,0),0)</f>
        <v>11</v>
      </c>
      <c r="FK42" s="148">
        <f>IF(FK40&gt;=1,ROUNDUP(FK40/12,0),0)</f>
        <v>12</v>
      </c>
      <c r="FL42" s="148">
        <f>IF(FL40&gt;=1,ROUNDUP(FL40/12,0),0)</f>
        <v>12</v>
      </c>
      <c r="FM42" s="148">
        <f>IF(FM40&gt;=1,ROUNDUP(FM40/12,0),0)</f>
        <v>12</v>
      </c>
      <c r="FN42" s="148">
        <f>IF(FN40&gt;=1,ROUNDUP(FN40/12,0),0)</f>
        <v>12</v>
      </c>
      <c r="FO42" s="148">
        <f>IF(FO40&gt;=1,ROUNDUP(FO40/12,0),0)</f>
        <v>12</v>
      </c>
      <c r="FP42" s="148">
        <f>IF(FP40&gt;=1,ROUNDUP(FP40/12,0),0)</f>
        <v>12</v>
      </c>
      <c r="FQ42" s="148">
        <f>IF(FQ40&gt;=1,ROUNDUP(FQ40/12,0),0)</f>
        <v>12</v>
      </c>
      <c r="FR42" s="148">
        <f>IF(FR40&gt;=1,ROUNDUP(FR40/12,0),0)</f>
        <v>12</v>
      </c>
      <c r="FS42" s="148">
        <f>IF(FS40&gt;=1,ROUNDUP(FS40/12,0),0)</f>
        <v>12</v>
      </c>
      <c r="FT42" s="148">
        <f>IF(FT40&gt;=1,ROUNDUP(FT40/12,0),0)</f>
        <v>12</v>
      </c>
      <c r="FU42" s="148">
        <f>IF(FU40&gt;=1,ROUNDUP(FU40/12,0),0)</f>
        <v>12</v>
      </c>
      <c r="FV42" s="148">
        <f>IF(FV40&gt;=1,ROUNDUP(FV40/12,0),0)</f>
        <v>12</v>
      </c>
      <c r="FW42" s="148">
        <f>IF(FW40&gt;=1,ROUNDUP(FW40/12,0),0)</f>
        <v>13</v>
      </c>
      <c r="FX42" s="148">
        <f>IF(FX40&gt;=1,ROUNDUP(FX40/12,0),0)</f>
        <v>13</v>
      </c>
      <c r="FY42" s="148">
        <f>IF(FY40&gt;=1,ROUNDUP(FY40/12,0),0)</f>
        <v>13</v>
      </c>
      <c r="FZ42" s="148">
        <f>IF(FZ40&gt;=1,ROUNDUP(FZ40/12,0),0)</f>
        <v>13</v>
      </c>
      <c r="GA42" s="148">
        <f>IF(GA40&gt;=1,ROUNDUP(GA40/12,0),0)</f>
        <v>13</v>
      </c>
      <c r="GB42" s="148">
        <f>IF(GB40&gt;=1,ROUNDUP(GB40/12,0),0)</f>
        <v>13</v>
      </c>
      <c r="GC42" s="148">
        <f>IF(GC40&gt;=1,ROUNDUP(GC40/12,0),0)</f>
        <v>13</v>
      </c>
      <c r="GD42" s="148">
        <f>IF(GD40&gt;=1,ROUNDUP(GD40/12,0),0)</f>
        <v>13</v>
      </c>
      <c r="GE42" s="148">
        <f>IF(GE40&gt;=1,ROUNDUP(GE40/12,0),0)</f>
        <v>13</v>
      </c>
      <c r="GF42" s="148">
        <f>IF(GF40&gt;=1,ROUNDUP(GF40/12,0),0)</f>
        <v>13</v>
      </c>
      <c r="GG42" s="148">
        <f>IF(GG40&gt;=1,ROUNDUP(GG40/12,0),0)</f>
        <v>13</v>
      </c>
      <c r="GH42" s="148">
        <f>IF(GH40&gt;=1,ROUNDUP(GH40/12,0),0)</f>
        <v>13</v>
      </c>
      <c r="GI42" s="148">
        <f>IF(GI40&gt;=1,ROUNDUP(GI40/12,0),0)</f>
        <v>14</v>
      </c>
      <c r="GJ42" s="148">
        <f>IF(GJ40&gt;=1,ROUNDUP(GJ40/12,0),0)</f>
        <v>14</v>
      </c>
      <c r="GK42" s="148">
        <f>IF(GK40&gt;=1,ROUNDUP(GK40/12,0),0)</f>
        <v>14</v>
      </c>
      <c r="GL42" s="148">
        <f>IF(GL40&gt;=1,ROUNDUP(GL40/12,0),0)</f>
        <v>14</v>
      </c>
      <c r="GM42" s="148">
        <f>IF(GM40&gt;=1,ROUNDUP(GM40/12,0),0)</f>
        <v>14</v>
      </c>
      <c r="GN42" s="148">
        <f>IF(GN40&gt;=1,ROUNDUP(GN40/12,0),0)</f>
        <v>14</v>
      </c>
      <c r="GO42" s="148">
        <f>IF(GO40&gt;=1,ROUNDUP(GO40/12,0),0)</f>
        <v>14</v>
      </c>
      <c r="GP42" s="148">
        <f>IF(GP40&gt;=1,ROUNDUP(GP40/12,0),0)</f>
        <v>14</v>
      </c>
      <c r="GQ42" s="148">
        <f>IF(GQ40&gt;=1,ROUNDUP(GQ40/12,0),0)</f>
        <v>14</v>
      </c>
      <c r="GR42" s="148">
        <f>IF(GR40&gt;=1,ROUNDUP(GR40/12,0),0)</f>
        <v>14</v>
      </c>
      <c r="GS42" s="148">
        <f>IF(GS40&gt;=1,ROUNDUP(GS40/12,0),0)</f>
        <v>14</v>
      </c>
      <c r="GT42" s="148">
        <f>IF(GT40&gt;=1,ROUNDUP(GT40/12,0),0)</f>
        <v>14</v>
      </c>
      <c r="GU42" s="148">
        <f>IF(GU40&gt;=1,ROUNDUP(GU40/12,0),0)</f>
        <v>15</v>
      </c>
      <c r="GV42" s="148">
        <f>IF(GV40&gt;=1,ROUNDUP(GV40/12,0),0)</f>
        <v>15</v>
      </c>
      <c r="GW42" s="148">
        <f>IF(GW40&gt;=1,ROUNDUP(GW40/12,0),0)</f>
        <v>15</v>
      </c>
      <c r="GX42" s="148">
        <f>IF(GX40&gt;=1,ROUNDUP(GX40/12,0),0)</f>
        <v>15</v>
      </c>
      <c r="GY42" s="148">
        <f>IF(GY40&gt;=1,ROUNDUP(GY40/12,0),0)</f>
        <v>15</v>
      </c>
      <c r="GZ42" s="148">
        <f>IF(GZ40&gt;=1,ROUNDUP(GZ40/12,0),0)</f>
        <v>15</v>
      </c>
      <c r="HA42" s="148">
        <f>IF(HA40&gt;=1,ROUNDUP(HA40/12,0),0)</f>
        <v>15</v>
      </c>
      <c r="HB42" s="148">
        <f>IF(HB40&gt;=1,ROUNDUP(HB40/12,0),0)</f>
        <v>15</v>
      </c>
      <c r="HC42" s="148">
        <f>IF(HC40&gt;=1,ROUNDUP(HC40/12,0),0)</f>
        <v>15</v>
      </c>
      <c r="HD42" s="148">
        <f>IF(HD40&gt;=1,ROUNDUP(HD40/12,0),0)</f>
        <v>15</v>
      </c>
      <c r="HE42" s="148">
        <f>IF(HE40&gt;=1,ROUNDUP(HE40/12,0),0)</f>
        <v>15</v>
      </c>
      <c r="HF42" s="148">
        <f>IF(HF40&gt;=1,ROUNDUP(HF40/12,0),0)</f>
        <v>15</v>
      </c>
      <c r="HG42" s="148">
        <f>IF(HG40&gt;=1,ROUNDUP(HG40/12,0),0)</f>
        <v>16</v>
      </c>
      <c r="HH42" s="148">
        <f>IF(HH40&gt;=1,ROUNDUP(HH40/12,0),0)</f>
        <v>16</v>
      </c>
      <c r="HI42" s="148">
        <f>IF(HI40&gt;=1,ROUNDUP(HI40/12,0),0)</f>
        <v>16</v>
      </c>
      <c r="HJ42" s="148">
        <f>IF(HJ40&gt;=1,ROUNDUP(HJ40/12,0),0)</f>
        <v>16</v>
      </c>
      <c r="HK42" s="148">
        <f>IF(HK40&gt;=1,ROUNDUP(HK40/12,0),0)</f>
        <v>16</v>
      </c>
      <c r="HL42" s="148">
        <f>IF(HL40&gt;=1,ROUNDUP(HL40/12,0),0)</f>
        <v>16</v>
      </c>
      <c r="HM42" s="148">
        <f>IF(HM40&gt;=1,ROUNDUP(HM40/12,0),0)</f>
        <v>16</v>
      </c>
      <c r="HN42" s="148">
        <f>IF(HN40&gt;=1,ROUNDUP(HN40/12,0),0)</f>
        <v>16</v>
      </c>
      <c r="HO42" s="148">
        <f>IF(HO40&gt;=1,ROUNDUP(HO40/12,0),0)</f>
        <v>16</v>
      </c>
      <c r="HP42" s="148">
        <f>IF(HP40&gt;=1,ROUNDUP(HP40/12,0),0)</f>
        <v>16</v>
      </c>
      <c r="HQ42" s="148">
        <f>IF(HQ40&gt;=1,ROUNDUP(HQ40/12,0),0)</f>
        <v>16</v>
      </c>
      <c r="HR42" s="148">
        <f>IF(HR40&gt;=1,ROUNDUP(HR40/12,0),0)</f>
        <v>16</v>
      </c>
      <c r="HS42" s="148">
        <f>IF(HS40&gt;=1,ROUNDUP(HS40/12,0),0)</f>
        <v>17</v>
      </c>
      <c r="HT42" s="148">
        <f>IF(HT40&gt;=1,ROUNDUP(HT40/12,0),0)</f>
        <v>17</v>
      </c>
      <c r="HU42" s="148">
        <f>IF(HU40&gt;=1,ROUNDUP(HU40/12,0),0)</f>
        <v>17</v>
      </c>
      <c r="HV42" s="148">
        <f>IF(HV40&gt;=1,ROUNDUP(HV40/12,0),0)</f>
        <v>17</v>
      </c>
      <c r="HW42" s="148">
        <f>IF(HW40&gt;=1,ROUNDUP(HW40/12,0),0)</f>
        <v>17</v>
      </c>
      <c r="HX42" s="148">
        <f>IF(HX40&gt;=1,ROUNDUP(HX40/12,0),0)</f>
        <v>17</v>
      </c>
      <c r="HY42" s="148">
        <f>IF(HY40&gt;=1,ROUNDUP(HY40/12,0),0)</f>
        <v>17</v>
      </c>
      <c r="HZ42" s="148">
        <f>IF(HZ40&gt;=1,ROUNDUP(HZ40/12,0),0)</f>
        <v>17</v>
      </c>
      <c r="IA42" s="148">
        <f>IF(IA40&gt;=1,ROUNDUP(IA40/12,0),0)</f>
        <v>17</v>
      </c>
      <c r="IB42" s="148">
        <f>IF(IB40&gt;=1,ROUNDUP(IB40/12,0),0)</f>
        <v>17</v>
      </c>
      <c r="IC42" s="148">
        <f>IF(IC40&gt;=1,ROUNDUP(IC40/12,0),0)</f>
        <v>17</v>
      </c>
      <c r="ID42" s="148">
        <f>IF(ID40&gt;=1,ROUNDUP(ID40/12,0),0)</f>
        <v>17</v>
      </c>
      <c r="IE42" s="148">
        <f>IF(IE40&gt;=1,ROUNDUP(IE40/12,0),0)</f>
        <v>18</v>
      </c>
      <c r="IF42" s="148">
        <f>IF(IF40&gt;=1,ROUNDUP(IF40/12,0),0)</f>
        <v>18</v>
      </c>
      <c r="IG42" s="148">
        <f>IF(IG40&gt;=1,ROUNDUP(IG40/12,0),0)</f>
        <v>18</v>
      </c>
      <c r="IH42" s="148">
        <f>IF(IH40&gt;=1,ROUNDUP(IH40/12,0),0)</f>
        <v>18</v>
      </c>
      <c r="II42" s="148">
        <f>IF(II40&gt;=1,ROUNDUP(II40/12,0),0)</f>
        <v>18</v>
      </c>
      <c r="IJ42" s="148">
        <f>IF(IJ40&gt;=1,ROUNDUP(IJ40/12,0),0)</f>
        <v>18</v>
      </c>
      <c r="IK42" s="148">
        <f>IF(IK40&gt;=1,ROUNDUP(IK40/12,0),0)</f>
        <v>18</v>
      </c>
      <c r="IL42" s="148">
        <f>IF(IL40&gt;=1,ROUNDUP(IL40/12,0),0)</f>
        <v>18</v>
      </c>
      <c r="IM42" s="148">
        <f>IF(IM40&gt;=1,ROUNDUP(IM40/12,0),0)</f>
        <v>18</v>
      </c>
      <c r="IN42" s="148">
        <f>IF(IN40&gt;=1,ROUNDUP(IN40/12,0),0)</f>
        <v>18</v>
      </c>
      <c r="IO42" s="148">
        <f>IF(IO40&gt;=1,ROUNDUP(IO40/12,0),0)</f>
        <v>18</v>
      </c>
      <c r="IP42" s="148">
        <f>IF(IP40&gt;=1,ROUNDUP(IP40/12,0),0)</f>
        <v>18</v>
      </c>
      <c r="IQ42" s="148">
        <f>IF(IQ40&gt;=1,ROUNDUP(IQ40/12,0),0)</f>
        <v>19</v>
      </c>
      <c r="IR42" s="148">
        <f>IF(IR40&gt;=1,ROUNDUP(IR40/12,0),0)</f>
        <v>19</v>
      </c>
      <c r="IS42" s="148">
        <f>IF(IS40&gt;=1,ROUNDUP(IS40/12,0),0)</f>
        <v>19</v>
      </c>
      <c r="IT42" s="148">
        <f>IF(IT40&gt;=1,ROUNDUP(IT40/12,0),0)</f>
        <v>19</v>
      </c>
      <c r="IU42" s="148">
        <f>IF(IU40&gt;=1,ROUNDUP(IU40/12,0),0)</f>
        <v>19</v>
      </c>
      <c r="IV42" s="148">
        <f>IF(IV40&gt;=1,ROUNDUP(IV40/12,0),0)</f>
        <v>19</v>
      </c>
      <c r="IW42" s="148">
        <f>IF(IW40&gt;=1,ROUNDUP(IW40/12,0),0)</f>
        <v>19</v>
      </c>
      <c r="IX42" s="148">
        <f>IF(IX40&gt;=1,ROUNDUP(IX40/12,0),0)</f>
        <v>19</v>
      </c>
      <c r="IY42" s="148">
        <f>IF(IY40&gt;=1,ROUNDUP(IY40/12,0),0)</f>
        <v>19</v>
      </c>
      <c r="IZ42" s="148">
        <f>IF(IZ40&gt;=1,ROUNDUP(IZ40/12,0),0)</f>
        <v>19</v>
      </c>
      <c r="JA42" s="148">
        <f>IF(JA40&gt;=1,ROUNDUP(JA40/12,0),0)</f>
        <v>19</v>
      </c>
      <c r="JB42" s="148">
        <f>IF(JB40&gt;=1,ROUNDUP(JB40/12,0),0)</f>
        <v>19</v>
      </c>
      <c r="JC42" s="148">
        <f>IF(JC40&gt;=1,ROUNDUP(JC40/12,0),0)</f>
        <v>20</v>
      </c>
      <c r="JD42" s="148">
        <f>IF(JD40&gt;=1,ROUNDUP(JD40/12,0),0)</f>
        <v>20</v>
      </c>
      <c r="JE42" s="148">
        <f>IF(JE40&gt;=1,ROUNDUP(JE40/12,0),0)</f>
        <v>20</v>
      </c>
      <c r="JF42" s="148">
        <f>IF(JF40&gt;=1,ROUNDUP(JF40/12,0),0)</f>
        <v>20</v>
      </c>
      <c r="JG42" s="148">
        <f>IF(JG40&gt;=1,ROUNDUP(JG40/12,0),0)</f>
        <v>20</v>
      </c>
      <c r="JH42" s="148">
        <f>IF(JH40&gt;=1,ROUNDUP(JH40/12,0),0)</f>
        <v>20</v>
      </c>
      <c r="JI42" s="148">
        <f>IF(JI40&gt;=1,ROUNDUP(JI40/12,0),0)</f>
        <v>20</v>
      </c>
      <c r="JJ42" s="148">
        <f>IF(JJ40&gt;=1,ROUNDUP(JJ40/12,0),0)</f>
        <v>20</v>
      </c>
      <c r="JK42" s="148">
        <f>IF(JK40&gt;=1,ROUNDUP(JK40/12,0),0)</f>
        <v>20</v>
      </c>
      <c r="JL42" s="148">
        <f>IF(JL40&gt;=1,ROUNDUP(JL40/12,0),0)</f>
        <v>20</v>
      </c>
      <c r="JM42" s="148">
        <f>IF(JM40&gt;=1,ROUNDUP(JM40/12,0),0)</f>
        <v>20</v>
      </c>
      <c r="JN42" s="148">
        <f>IF(JN40&gt;=1,ROUNDUP(JN40/12,0),0)</f>
        <v>20</v>
      </c>
      <c r="JO42" s="148">
        <f>IF(JO40&gt;=1,ROUNDUP(JO40/12,0),0)</f>
        <v>21</v>
      </c>
      <c r="JP42" s="148">
        <f>IF(JP40&gt;=1,ROUNDUP(JP40/12,0),0)</f>
        <v>21</v>
      </c>
      <c r="JQ42" s="148">
        <f>IF(JQ40&gt;=1,ROUNDUP(JQ40/12,0),0)</f>
        <v>21</v>
      </c>
      <c r="JR42" s="148">
        <f>IF(JR40&gt;=1,ROUNDUP(JR40/12,0),0)</f>
        <v>21</v>
      </c>
      <c r="JS42" s="148">
        <f>IF(JS40&gt;=1,ROUNDUP(JS40/12,0),0)</f>
        <v>21</v>
      </c>
      <c r="JT42" s="148">
        <f>IF(JT40&gt;=1,ROUNDUP(JT40/12,0),0)</f>
        <v>21</v>
      </c>
      <c r="JU42" s="148">
        <f>IF(JU40&gt;=1,ROUNDUP(JU40/12,0),0)</f>
        <v>21</v>
      </c>
      <c r="JV42" s="148">
        <f>IF(JV40&gt;=1,ROUNDUP(JV40/12,0),0)</f>
        <v>21</v>
      </c>
      <c r="JW42" s="148">
        <f>IF(JW40&gt;=1,ROUNDUP(JW40/12,0),0)</f>
        <v>21</v>
      </c>
      <c r="JX42" s="148">
        <f>IF(JX40&gt;=1,ROUNDUP(JX40/12,0),0)</f>
        <v>21</v>
      </c>
      <c r="JY42" s="148">
        <f>IF(JY40&gt;=1,ROUNDUP(JY40/12,0),0)</f>
        <v>21</v>
      </c>
      <c r="JZ42" s="148">
        <f>IF(JZ40&gt;=1,ROUNDUP(JZ40/12,0),0)</f>
        <v>21</v>
      </c>
      <c r="KA42" s="148">
        <f>IF(KA40&gt;=1,ROUNDUP(KA40/12,0),0)</f>
        <v>22</v>
      </c>
      <c r="KB42" s="148">
        <f>IF(KB40&gt;=1,ROUNDUP(KB40/12,0),0)</f>
        <v>22</v>
      </c>
      <c r="KC42" s="148">
        <f>IF(KC40&gt;=1,ROUNDUP(KC40/12,0),0)</f>
        <v>22</v>
      </c>
      <c r="KD42" s="148">
        <f>IF(KD40&gt;=1,ROUNDUP(KD40/12,0),0)</f>
        <v>22</v>
      </c>
      <c r="KE42" s="148">
        <f>IF(KE40&gt;=1,ROUNDUP(KE40/12,0),0)</f>
        <v>22</v>
      </c>
      <c r="KF42" s="148">
        <f>IF(KF40&gt;=1,ROUNDUP(KF40/12,0),0)</f>
        <v>22</v>
      </c>
    </row>
    <row r="43">
      <c r="B43" s="36" t="inlineStr">
        <is>
          <t>Annual period index (1–14, 0 = beyond horizon)</t>
        </is>
      </c>
      <c r="C43" s="117" t="inlineStr">
        <is>
          <t>no.</t>
        </is>
      </c>
      <c r="E43" s="148">
        <f>IF(E37&lt;=CONSTR_EFF,ROUNDUP(E37/12,0),IF(E41&gt;0,4+E41,0))</f>
        <v>1</v>
      </c>
      <c r="F43" s="148">
        <f>IF(F37&lt;=CONSTR_EFF,ROUNDUP(F37/12,0),IF(F41&gt;0,4+F41,0))</f>
        <v>1</v>
      </c>
      <c r="G43" s="148">
        <f>IF(G37&lt;=CONSTR_EFF,ROUNDUP(G37/12,0),IF(G41&gt;0,4+G41,0))</f>
        <v>1</v>
      </c>
      <c r="H43" s="148">
        <f>IF(H37&lt;=CONSTR_EFF,ROUNDUP(H37/12,0),IF(H41&gt;0,4+H41,0))</f>
        <v>1</v>
      </c>
      <c r="I43" s="148">
        <f>IF(I37&lt;=CONSTR_EFF,ROUNDUP(I37/12,0),IF(I41&gt;0,4+I41,0))</f>
        <v>1</v>
      </c>
      <c r="J43" s="148">
        <f>IF(J37&lt;=CONSTR_EFF,ROUNDUP(J37/12,0),IF(J41&gt;0,4+J41,0))</f>
        <v>1</v>
      </c>
      <c r="K43" s="148">
        <f>IF(K37&lt;=CONSTR_EFF,ROUNDUP(K37/12,0),IF(K41&gt;0,4+K41,0))</f>
        <v>1</v>
      </c>
      <c r="L43" s="148">
        <f>IF(L37&lt;=CONSTR_EFF,ROUNDUP(L37/12,0),IF(L41&gt;0,4+L41,0))</f>
        <v>1</v>
      </c>
      <c r="M43" s="148">
        <f>IF(M37&lt;=CONSTR_EFF,ROUNDUP(M37/12,0),IF(M41&gt;0,4+M41,0))</f>
        <v>1</v>
      </c>
      <c r="N43" s="148">
        <f>IF(N37&lt;=CONSTR_EFF,ROUNDUP(N37/12,0),IF(N41&gt;0,4+N41,0))</f>
        <v>1</v>
      </c>
      <c r="O43" s="148">
        <f>IF(O37&lt;=CONSTR_EFF,ROUNDUP(O37/12,0),IF(O41&gt;0,4+O41,0))</f>
        <v>1</v>
      </c>
      <c r="P43" s="148">
        <f>IF(P37&lt;=CONSTR_EFF,ROUNDUP(P37/12,0),IF(P41&gt;0,4+P41,0))</f>
        <v>1</v>
      </c>
      <c r="Q43" s="148">
        <f>IF(Q37&lt;=CONSTR_EFF,ROUNDUP(Q37/12,0),IF(Q41&gt;0,4+Q41,0))</f>
        <v>2</v>
      </c>
      <c r="R43" s="148">
        <f>IF(R37&lt;=CONSTR_EFF,ROUNDUP(R37/12,0),IF(R41&gt;0,4+R41,0))</f>
        <v>2</v>
      </c>
      <c r="S43" s="148">
        <f>IF(S37&lt;=CONSTR_EFF,ROUNDUP(S37/12,0),IF(S41&gt;0,4+S41,0))</f>
        <v>2</v>
      </c>
      <c r="T43" s="148">
        <f>IF(T37&lt;=CONSTR_EFF,ROUNDUP(T37/12,0),IF(T41&gt;0,4+T41,0))</f>
        <v>2</v>
      </c>
      <c r="U43" s="148">
        <f>IF(U37&lt;=CONSTR_EFF,ROUNDUP(U37/12,0),IF(U41&gt;0,4+U41,0))</f>
        <v>2</v>
      </c>
      <c r="V43" s="148">
        <f>IF(V37&lt;=CONSTR_EFF,ROUNDUP(V37/12,0),IF(V41&gt;0,4+V41,0))</f>
        <v>2</v>
      </c>
      <c r="W43" s="148">
        <f>IF(W37&lt;=CONSTR_EFF,ROUNDUP(W37/12,0),IF(W41&gt;0,4+W41,0))</f>
        <v>2</v>
      </c>
      <c r="X43" s="148">
        <f>IF(X37&lt;=CONSTR_EFF,ROUNDUP(X37/12,0),IF(X41&gt;0,4+X41,0))</f>
        <v>2</v>
      </c>
      <c r="Y43" s="148">
        <f>IF(Y37&lt;=CONSTR_EFF,ROUNDUP(Y37/12,0),IF(Y41&gt;0,4+Y41,0))</f>
        <v>2</v>
      </c>
      <c r="Z43" s="148">
        <f>IF(Z37&lt;=CONSTR_EFF,ROUNDUP(Z37/12,0),IF(Z41&gt;0,4+Z41,0))</f>
        <v>2</v>
      </c>
      <c r="AA43" s="148">
        <f>IF(AA37&lt;=CONSTR_EFF,ROUNDUP(AA37/12,0),IF(AA41&gt;0,4+AA41,0))</f>
        <v>2</v>
      </c>
      <c r="AB43" s="148">
        <f>IF(AB37&lt;=CONSTR_EFF,ROUNDUP(AB37/12,0),IF(AB41&gt;0,4+AB41,0))</f>
        <v>2</v>
      </c>
      <c r="AC43" s="148">
        <f>IF(AC37&lt;=CONSTR_EFF,ROUNDUP(AC37/12,0),IF(AC41&gt;0,4+AC41,0))</f>
        <v>3</v>
      </c>
      <c r="AD43" s="148">
        <f>IF(AD37&lt;=CONSTR_EFF,ROUNDUP(AD37/12,0),IF(AD41&gt;0,4+AD41,0))</f>
        <v>3</v>
      </c>
      <c r="AE43" s="148">
        <f>IF(AE37&lt;=CONSTR_EFF,ROUNDUP(AE37/12,0),IF(AE41&gt;0,4+AE41,0))</f>
        <v>3</v>
      </c>
      <c r="AF43" s="148">
        <f>IF(AF37&lt;=CONSTR_EFF,ROUNDUP(AF37/12,0),IF(AF41&gt;0,4+AF41,0))</f>
        <v>3</v>
      </c>
      <c r="AG43" s="148">
        <f>IF(AG37&lt;=CONSTR_EFF,ROUNDUP(AG37/12,0),IF(AG41&gt;0,4+AG41,0))</f>
        <v>3</v>
      </c>
      <c r="AH43" s="148">
        <f>IF(AH37&lt;=CONSTR_EFF,ROUNDUP(AH37/12,0),IF(AH41&gt;0,4+AH41,0))</f>
        <v>3</v>
      </c>
      <c r="AI43" s="148">
        <f>IF(AI37&lt;=CONSTR_EFF,ROUNDUP(AI37/12,0),IF(AI41&gt;0,4+AI41,0))</f>
        <v>5</v>
      </c>
      <c r="AJ43" s="148">
        <f>IF(AJ37&lt;=CONSTR_EFF,ROUNDUP(AJ37/12,0),IF(AJ41&gt;0,4+AJ41,0))</f>
        <v>5</v>
      </c>
      <c r="AK43" s="148">
        <f>IF(AK37&lt;=CONSTR_EFF,ROUNDUP(AK37/12,0),IF(AK41&gt;0,4+AK41,0))</f>
        <v>5</v>
      </c>
      <c r="AL43" s="148">
        <f>IF(AL37&lt;=CONSTR_EFF,ROUNDUP(AL37/12,0),IF(AL41&gt;0,4+AL41,0))</f>
        <v>5</v>
      </c>
      <c r="AM43" s="148">
        <f>IF(AM37&lt;=CONSTR_EFF,ROUNDUP(AM37/12,0),IF(AM41&gt;0,4+AM41,0))</f>
        <v>5</v>
      </c>
      <c r="AN43" s="148">
        <f>IF(AN37&lt;=CONSTR_EFF,ROUNDUP(AN37/12,0),IF(AN41&gt;0,4+AN41,0))</f>
        <v>5</v>
      </c>
      <c r="AO43" s="148">
        <f>IF(AO37&lt;=CONSTR_EFF,ROUNDUP(AO37/12,0),IF(AO41&gt;0,4+AO41,0))</f>
        <v>5</v>
      </c>
      <c r="AP43" s="148">
        <f>IF(AP37&lt;=CONSTR_EFF,ROUNDUP(AP37/12,0),IF(AP41&gt;0,4+AP41,0))</f>
        <v>5</v>
      </c>
      <c r="AQ43" s="148">
        <f>IF(AQ37&lt;=CONSTR_EFF,ROUNDUP(AQ37/12,0),IF(AQ41&gt;0,4+AQ41,0))</f>
        <v>5</v>
      </c>
      <c r="AR43" s="148">
        <f>IF(AR37&lt;=CONSTR_EFF,ROUNDUP(AR37/12,0),IF(AR41&gt;0,4+AR41,0))</f>
        <v>5</v>
      </c>
      <c r="AS43" s="148">
        <f>IF(AS37&lt;=CONSTR_EFF,ROUNDUP(AS37/12,0),IF(AS41&gt;0,4+AS41,0))</f>
        <v>5</v>
      </c>
      <c r="AT43" s="148">
        <f>IF(AT37&lt;=CONSTR_EFF,ROUNDUP(AT37/12,0),IF(AT41&gt;0,4+AT41,0))</f>
        <v>5</v>
      </c>
      <c r="AU43" s="148">
        <f>IF(AU37&lt;=CONSTR_EFF,ROUNDUP(AU37/12,0),IF(AU41&gt;0,4+AU41,0))</f>
        <v>6</v>
      </c>
      <c r="AV43" s="148">
        <f>IF(AV37&lt;=CONSTR_EFF,ROUNDUP(AV37/12,0),IF(AV41&gt;0,4+AV41,0))</f>
        <v>6</v>
      </c>
      <c r="AW43" s="148">
        <f>IF(AW37&lt;=CONSTR_EFF,ROUNDUP(AW37/12,0),IF(AW41&gt;0,4+AW41,0))</f>
        <v>6</v>
      </c>
      <c r="AX43" s="148">
        <f>IF(AX37&lt;=CONSTR_EFF,ROUNDUP(AX37/12,0),IF(AX41&gt;0,4+AX41,0))</f>
        <v>6</v>
      </c>
      <c r="AY43" s="148">
        <f>IF(AY37&lt;=CONSTR_EFF,ROUNDUP(AY37/12,0),IF(AY41&gt;0,4+AY41,0))</f>
        <v>6</v>
      </c>
      <c r="AZ43" s="148">
        <f>IF(AZ37&lt;=CONSTR_EFF,ROUNDUP(AZ37/12,0),IF(AZ41&gt;0,4+AZ41,0))</f>
        <v>6</v>
      </c>
      <c r="BA43" s="148">
        <f>IF(BA37&lt;=CONSTR_EFF,ROUNDUP(BA37/12,0),IF(BA41&gt;0,4+BA41,0))</f>
        <v>6</v>
      </c>
      <c r="BB43" s="148">
        <f>IF(BB37&lt;=CONSTR_EFF,ROUNDUP(BB37/12,0),IF(BB41&gt;0,4+BB41,0))</f>
        <v>6</v>
      </c>
      <c r="BC43" s="148">
        <f>IF(BC37&lt;=CONSTR_EFF,ROUNDUP(BC37/12,0),IF(BC41&gt;0,4+BC41,0))</f>
        <v>6</v>
      </c>
      <c r="BD43" s="148">
        <f>IF(BD37&lt;=CONSTR_EFF,ROUNDUP(BD37/12,0),IF(BD41&gt;0,4+BD41,0))</f>
        <v>6</v>
      </c>
      <c r="BE43" s="148">
        <f>IF(BE37&lt;=CONSTR_EFF,ROUNDUP(BE37/12,0),IF(BE41&gt;0,4+BE41,0))</f>
        <v>6</v>
      </c>
      <c r="BF43" s="148">
        <f>IF(BF37&lt;=CONSTR_EFF,ROUNDUP(BF37/12,0),IF(BF41&gt;0,4+BF41,0))</f>
        <v>6</v>
      </c>
      <c r="BG43" s="148">
        <f>IF(BG37&lt;=CONSTR_EFF,ROUNDUP(BG37/12,0),IF(BG41&gt;0,4+BG41,0))</f>
        <v>7</v>
      </c>
      <c r="BH43" s="148">
        <f>IF(BH37&lt;=CONSTR_EFF,ROUNDUP(BH37/12,0),IF(BH41&gt;0,4+BH41,0))</f>
        <v>7</v>
      </c>
      <c r="BI43" s="148">
        <f>IF(BI37&lt;=CONSTR_EFF,ROUNDUP(BI37/12,0),IF(BI41&gt;0,4+BI41,0))</f>
        <v>7</v>
      </c>
      <c r="BJ43" s="148">
        <f>IF(BJ37&lt;=CONSTR_EFF,ROUNDUP(BJ37/12,0),IF(BJ41&gt;0,4+BJ41,0))</f>
        <v>7</v>
      </c>
      <c r="BK43" s="148">
        <f>IF(BK37&lt;=CONSTR_EFF,ROUNDUP(BK37/12,0),IF(BK41&gt;0,4+BK41,0))</f>
        <v>7</v>
      </c>
      <c r="BL43" s="148">
        <f>IF(BL37&lt;=CONSTR_EFF,ROUNDUP(BL37/12,0),IF(BL41&gt;0,4+BL41,0))</f>
        <v>7</v>
      </c>
      <c r="BM43" s="148">
        <f>IF(BM37&lt;=CONSTR_EFF,ROUNDUP(BM37/12,0),IF(BM41&gt;0,4+BM41,0))</f>
        <v>7</v>
      </c>
      <c r="BN43" s="148">
        <f>IF(BN37&lt;=CONSTR_EFF,ROUNDUP(BN37/12,0),IF(BN41&gt;0,4+BN41,0))</f>
        <v>7</v>
      </c>
      <c r="BO43" s="148">
        <f>IF(BO37&lt;=CONSTR_EFF,ROUNDUP(BO37/12,0),IF(BO41&gt;0,4+BO41,0))</f>
        <v>7</v>
      </c>
      <c r="BP43" s="148">
        <f>IF(BP37&lt;=CONSTR_EFF,ROUNDUP(BP37/12,0),IF(BP41&gt;0,4+BP41,0))</f>
        <v>7</v>
      </c>
      <c r="BQ43" s="148">
        <f>IF(BQ37&lt;=CONSTR_EFF,ROUNDUP(BQ37/12,0),IF(BQ41&gt;0,4+BQ41,0))</f>
        <v>7</v>
      </c>
      <c r="BR43" s="148">
        <f>IF(BR37&lt;=CONSTR_EFF,ROUNDUP(BR37/12,0),IF(BR41&gt;0,4+BR41,0))</f>
        <v>7</v>
      </c>
      <c r="BS43" s="148">
        <f>IF(BS37&lt;=CONSTR_EFF,ROUNDUP(BS37/12,0),IF(BS41&gt;0,4+BS41,0))</f>
        <v>8</v>
      </c>
      <c r="BT43" s="148">
        <f>IF(BT37&lt;=CONSTR_EFF,ROUNDUP(BT37/12,0),IF(BT41&gt;0,4+BT41,0))</f>
        <v>8</v>
      </c>
      <c r="BU43" s="148">
        <f>IF(BU37&lt;=CONSTR_EFF,ROUNDUP(BU37/12,0),IF(BU41&gt;0,4+BU41,0))</f>
        <v>8</v>
      </c>
      <c r="BV43" s="148">
        <f>IF(BV37&lt;=CONSTR_EFF,ROUNDUP(BV37/12,0),IF(BV41&gt;0,4+BV41,0))</f>
        <v>8</v>
      </c>
      <c r="BW43" s="148">
        <f>IF(BW37&lt;=CONSTR_EFF,ROUNDUP(BW37/12,0),IF(BW41&gt;0,4+BW41,0))</f>
        <v>8</v>
      </c>
      <c r="BX43" s="148">
        <f>IF(BX37&lt;=CONSTR_EFF,ROUNDUP(BX37/12,0),IF(BX41&gt;0,4+BX41,0))</f>
        <v>8</v>
      </c>
      <c r="BY43" s="148">
        <f>IF(BY37&lt;=CONSTR_EFF,ROUNDUP(BY37/12,0),IF(BY41&gt;0,4+BY41,0))</f>
        <v>8</v>
      </c>
      <c r="BZ43" s="148">
        <f>IF(BZ37&lt;=CONSTR_EFF,ROUNDUP(BZ37/12,0),IF(BZ41&gt;0,4+BZ41,0))</f>
        <v>8</v>
      </c>
      <c r="CA43" s="148">
        <f>IF(CA37&lt;=CONSTR_EFF,ROUNDUP(CA37/12,0),IF(CA41&gt;0,4+CA41,0))</f>
        <v>8</v>
      </c>
      <c r="CB43" s="148">
        <f>IF(CB37&lt;=CONSTR_EFF,ROUNDUP(CB37/12,0),IF(CB41&gt;0,4+CB41,0))</f>
        <v>8</v>
      </c>
      <c r="CC43" s="148">
        <f>IF(CC37&lt;=CONSTR_EFF,ROUNDUP(CC37/12,0),IF(CC41&gt;0,4+CC41,0))</f>
        <v>8</v>
      </c>
      <c r="CD43" s="148">
        <f>IF(CD37&lt;=CONSTR_EFF,ROUNDUP(CD37/12,0),IF(CD41&gt;0,4+CD41,0))</f>
        <v>8</v>
      </c>
      <c r="CE43" s="148">
        <f>IF(CE37&lt;=CONSTR_EFF,ROUNDUP(CE37/12,0),IF(CE41&gt;0,4+CE41,0))</f>
        <v>9</v>
      </c>
      <c r="CF43" s="148">
        <f>IF(CF37&lt;=CONSTR_EFF,ROUNDUP(CF37/12,0),IF(CF41&gt;0,4+CF41,0))</f>
        <v>9</v>
      </c>
      <c r="CG43" s="148">
        <f>IF(CG37&lt;=CONSTR_EFF,ROUNDUP(CG37/12,0),IF(CG41&gt;0,4+CG41,0))</f>
        <v>9</v>
      </c>
      <c r="CH43" s="148">
        <f>IF(CH37&lt;=CONSTR_EFF,ROUNDUP(CH37/12,0),IF(CH41&gt;0,4+CH41,0))</f>
        <v>9</v>
      </c>
      <c r="CI43" s="148">
        <f>IF(CI37&lt;=CONSTR_EFF,ROUNDUP(CI37/12,0),IF(CI41&gt;0,4+CI41,0))</f>
        <v>9</v>
      </c>
      <c r="CJ43" s="148">
        <f>IF(CJ37&lt;=CONSTR_EFF,ROUNDUP(CJ37/12,0),IF(CJ41&gt;0,4+CJ41,0))</f>
        <v>9</v>
      </c>
      <c r="CK43" s="148">
        <f>IF(CK37&lt;=CONSTR_EFF,ROUNDUP(CK37/12,0),IF(CK41&gt;0,4+CK41,0))</f>
        <v>9</v>
      </c>
      <c r="CL43" s="148">
        <f>IF(CL37&lt;=CONSTR_EFF,ROUNDUP(CL37/12,0),IF(CL41&gt;0,4+CL41,0))</f>
        <v>9</v>
      </c>
      <c r="CM43" s="148">
        <f>IF(CM37&lt;=CONSTR_EFF,ROUNDUP(CM37/12,0),IF(CM41&gt;0,4+CM41,0))</f>
        <v>9</v>
      </c>
      <c r="CN43" s="148">
        <f>IF(CN37&lt;=CONSTR_EFF,ROUNDUP(CN37/12,0),IF(CN41&gt;0,4+CN41,0))</f>
        <v>9</v>
      </c>
      <c r="CO43" s="148">
        <f>IF(CO37&lt;=CONSTR_EFF,ROUNDUP(CO37/12,0),IF(CO41&gt;0,4+CO41,0))</f>
        <v>9</v>
      </c>
      <c r="CP43" s="148">
        <f>IF(CP37&lt;=CONSTR_EFF,ROUNDUP(CP37/12,0),IF(CP41&gt;0,4+CP41,0))</f>
        <v>9</v>
      </c>
      <c r="CQ43" s="148">
        <f>IF(CQ37&lt;=CONSTR_EFF,ROUNDUP(CQ37/12,0),IF(CQ41&gt;0,4+CQ41,0))</f>
        <v>10</v>
      </c>
      <c r="CR43" s="148">
        <f>IF(CR37&lt;=CONSTR_EFF,ROUNDUP(CR37/12,0),IF(CR41&gt;0,4+CR41,0))</f>
        <v>10</v>
      </c>
      <c r="CS43" s="148">
        <f>IF(CS37&lt;=CONSTR_EFF,ROUNDUP(CS37/12,0),IF(CS41&gt;0,4+CS41,0))</f>
        <v>10</v>
      </c>
      <c r="CT43" s="148">
        <f>IF(CT37&lt;=CONSTR_EFF,ROUNDUP(CT37/12,0),IF(CT41&gt;0,4+CT41,0))</f>
        <v>10</v>
      </c>
      <c r="CU43" s="148">
        <f>IF(CU37&lt;=CONSTR_EFF,ROUNDUP(CU37/12,0),IF(CU41&gt;0,4+CU41,0))</f>
        <v>10</v>
      </c>
      <c r="CV43" s="148">
        <f>IF(CV37&lt;=CONSTR_EFF,ROUNDUP(CV37/12,0),IF(CV41&gt;0,4+CV41,0))</f>
        <v>10</v>
      </c>
      <c r="CW43" s="148">
        <f>IF(CW37&lt;=CONSTR_EFF,ROUNDUP(CW37/12,0),IF(CW41&gt;0,4+CW41,0))</f>
        <v>10</v>
      </c>
      <c r="CX43" s="148">
        <f>IF(CX37&lt;=CONSTR_EFF,ROUNDUP(CX37/12,0),IF(CX41&gt;0,4+CX41,0))</f>
        <v>10</v>
      </c>
      <c r="CY43" s="148">
        <f>IF(CY37&lt;=CONSTR_EFF,ROUNDUP(CY37/12,0),IF(CY41&gt;0,4+CY41,0))</f>
        <v>10</v>
      </c>
      <c r="CZ43" s="148">
        <f>IF(CZ37&lt;=CONSTR_EFF,ROUNDUP(CZ37/12,0),IF(CZ41&gt;0,4+CZ41,0))</f>
        <v>10</v>
      </c>
      <c r="DA43" s="148">
        <f>IF(DA37&lt;=CONSTR_EFF,ROUNDUP(DA37/12,0),IF(DA41&gt;0,4+DA41,0))</f>
        <v>10</v>
      </c>
      <c r="DB43" s="148">
        <f>IF(DB37&lt;=CONSTR_EFF,ROUNDUP(DB37/12,0),IF(DB41&gt;0,4+DB41,0))</f>
        <v>10</v>
      </c>
      <c r="DC43" s="148">
        <f>IF(DC37&lt;=CONSTR_EFF,ROUNDUP(DC37/12,0),IF(DC41&gt;0,4+DC41,0))</f>
        <v>11</v>
      </c>
      <c r="DD43" s="148">
        <f>IF(DD37&lt;=CONSTR_EFF,ROUNDUP(DD37/12,0),IF(DD41&gt;0,4+DD41,0))</f>
        <v>11</v>
      </c>
      <c r="DE43" s="148">
        <f>IF(DE37&lt;=CONSTR_EFF,ROUNDUP(DE37/12,0),IF(DE41&gt;0,4+DE41,0))</f>
        <v>11</v>
      </c>
      <c r="DF43" s="148">
        <f>IF(DF37&lt;=CONSTR_EFF,ROUNDUP(DF37/12,0),IF(DF41&gt;0,4+DF41,0))</f>
        <v>11</v>
      </c>
      <c r="DG43" s="148">
        <f>IF(DG37&lt;=CONSTR_EFF,ROUNDUP(DG37/12,0),IF(DG41&gt;0,4+DG41,0))</f>
        <v>11</v>
      </c>
      <c r="DH43" s="148">
        <f>IF(DH37&lt;=CONSTR_EFF,ROUNDUP(DH37/12,0),IF(DH41&gt;0,4+DH41,0))</f>
        <v>11</v>
      </c>
      <c r="DI43" s="148">
        <f>IF(DI37&lt;=CONSTR_EFF,ROUNDUP(DI37/12,0),IF(DI41&gt;0,4+DI41,0))</f>
        <v>11</v>
      </c>
      <c r="DJ43" s="148">
        <f>IF(DJ37&lt;=CONSTR_EFF,ROUNDUP(DJ37/12,0),IF(DJ41&gt;0,4+DJ41,0))</f>
        <v>11</v>
      </c>
      <c r="DK43" s="148">
        <f>IF(DK37&lt;=CONSTR_EFF,ROUNDUP(DK37/12,0),IF(DK41&gt;0,4+DK41,0))</f>
        <v>11</v>
      </c>
      <c r="DL43" s="148">
        <f>IF(DL37&lt;=CONSTR_EFF,ROUNDUP(DL37/12,0),IF(DL41&gt;0,4+DL41,0))</f>
        <v>11</v>
      </c>
      <c r="DM43" s="148">
        <f>IF(DM37&lt;=CONSTR_EFF,ROUNDUP(DM37/12,0),IF(DM41&gt;0,4+DM41,0))</f>
        <v>11</v>
      </c>
      <c r="DN43" s="148">
        <f>IF(DN37&lt;=CONSTR_EFF,ROUNDUP(DN37/12,0),IF(DN41&gt;0,4+DN41,0))</f>
        <v>11</v>
      </c>
      <c r="DO43" s="148">
        <f>IF(DO37&lt;=CONSTR_EFF,ROUNDUP(DO37/12,0),IF(DO41&gt;0,4+DO41,0))</f>
        <v>12</v>
      </c>
      <c r="DP43" s="148">
        <f>IF(DP37&lt;=CONSTR_EFF,ROUNDUP(DP37/12,0),IF(DP41&gt;0,4+DP41,0))</f>
        <v>12</v>
      </c>
      <c r="DQ43" s="148">
        <f>IF(DQ37&lt;=CONSTR_EFF,ROUNDUP(DQ37/12,0),IF(DQ41&gt;0,4+DQ41,0))</f>
        <v>12</v>
      </c>
      <c r="DR43" s="148">
        <f>IF(DR37&lt;=CONSTR_EFF,ROUNDUP(DR37/12,0),IF(DR41&gt;0,4+DR41,0))</f>
        <v>12</v>
      </c>
      <c r="DS43" s="148">
        <f>IF(DS37&lt;=CONSTR_EFF,ROUNDUP(DS37/12,0),IF(DS41&gt;0,4+DS41,0))</f>
        <v>12</v>
      </c>
      <c r="DT43" s="148">
        <f>IF(DT37&lt;=CONSTR_EFF,ROUNDUP(DT37/12,0),IF(DT41&gt;0,4+DT41,0))</f>
        <v>12</v>
      </c>
      <c r="DU43" s="148">
        <f>IF(DU37&lt;=CONSTR_EFF,ROUNDUP(DU37/12,0),IF(DU41&gt;0,4+DU41,0))</f>
        <v>12</v>
      </c>
      <c r="DV43" s="148">
        <f>IF(DV37&lt;=CONSTR_EFF,ROUNDUP(DV37/12,0),IF(DV41&gt;0,4+DV41,0))</f>
        <v>12</v>
      </c>
      <c r="DW43" s="148">
        <f>IF(DW37&lt;=CONSTR_EFF,ROUNDUP(DW37/12,0),IF(DW41&gt;0,4+DW41,0))</f>
        <v>12</v>
      </c>
      <c r="DX43" s="148">
        <f>IF(DX37&lt;=CONSTR_EFF,ROUNDUP(DX37/12,0),IF(DX41&gt;0,4+DX41,0))</f>
        <v>12</v>
      </c>
      <c r="DY43" s="148">
        <f>IF(DY37&lt;=CONSTR_EFF,ROUNDUP(DY37/12,0),IF(DY41&gt;0,4+DY41,0))</f>
        <v>12</v>
      </c>
      <c r="DZ43" s="148">
        <f>IF(DZ37&lt;=CONSTR_EFF,ROUNDUP(DZ37/12,0),IF(DZ41&gt;0,4+DZ41,0))</f>
        <v>12</v>
      </c>
      <c r="EA43" s="148">
        <f>IF(EA37&lt;=CONSTR_EFF,ROUNDUP(EA37/12,0),IF(EA41&gt;0,4+EA41,0))</f>
        <v>13</v>
      </c>
      <c r="EB43" s="148">
        <f>IF(EB37&lt;=CONSTR_EFF,ROUNDUP(EB37/12,0),IF(EB41&gt;0,4+EB41,0))</f>
        <v>13</v>
      </c>
      <c r="EC43" s="148">
        <f>IF(EC37&lt;=CONSTR_EFF,ROUNDUP(EC37/12,0),IF(EC41&gt;0,4+EC41,0))</f>
        <v>13</v>
      </c>
      <c r="ED43" s="148">
        <f>IF(ED37&lt;=CONSTR_EFF,ROUNDUP(ED37/12,0),IF(ED41&gt;0,4+ED41,0))</f>
        <v>13</v>
      </c>
      <c r="EE43" s="148">
        <f>IF(EE37&lt;=CONSTR_EFF,ROUNDUP(EE37/12,0),IF(EE41&gt;0,4+EE41,0))</f>
        <v>13</v>
      </c>
      <c r="EF43" s="148">
        <f>IF(EF37&lt;=CONSTR_EFF,ROUNDUP(EF37/12,0),IF(EF41&gt;0,4+EF41,0))</f>
        <v>13</v>
      </c>
      <c r="EG43" s="148">
        <f>IF(EG37&lt;=CONSTR_EFF,ROUNDUP(EG37/12,0),IF(EG41&gt;0,4+EG41,0))</f>
        <v>13</v>
      </c>
      <c r="EH43" s="148">
        <f>IF(EH37&lt;=CONSTR_EFF,ROUNDUP(EH37/12,0),IF(EH41&gt;0,4+EH41,0))</f>
        <v>13</v>
      </c>
      <c r="EI43" s="148">
        <f>IF(EI37&lt;=CONSTR_EFF,ROUNDUP(EI37/12,0),IF(EI41&gt;0,4+EI41,0))</f>
        <v>13</v>
      </c>
      <c r="EJ43" s="148">
        <f>IF(EJ37&lt;=CONSTR_EFF,ROUNDUP(EJ37/12,0),IF(EJ41&gt;0,4+EJ41,0))</f>
        <v>13</v>
      </c>
      <c r="EK43" s="148">
        <f>IF(EK37&lt;=CONSTR_EFF,ROUNDUP(EK37/12,0),IF(EK41&gt;0,4+EK41,0))</f>
        <v>13</v>
      </c>
      <c r="EL43" s="148">
        <f>IF(EL37&lt;=CONSTR_EFF,ROUNDUP(EL37/12,0),IF(EL41&gt;0,4+EL41,0))</f>
        <v>13</v>
      </c>
      <c r="EM43" s="148">
        <f>IF(EM37&lt;=CONSTR_EFF,ROUNDUP(EM37/12,0),IF(EM41&gt;0,4+EM41,0))</f>
        <v>14</v>
      </c>
      <c r="EN43" s="148">
        <f>IF(EN37&lt;=CONSTR_EFF,ROUNDUP(EN37/12,0),IF(EN41&gt;0,4+EN41,0))</f>
        <v>14</v>
      </c>
      <c r="EO43" s="148">
        <f>IF(EO37&lt;=CONSTR_EFF,ROUNDUP(EO37/12,0),IF(EO41&gt;0,4+EO41,0))</f>
        <v>14</v>
      </c>
      <c r="EP43" s="148">
        <f>IF(EP37&lt;=CONSTR_EFF,ROUNDUP(EP37/12,0),IF(EP41&gt;0,4+EP41,0))</f>
        <v>14</v>
      </c>
      <c r="EQ43" s="148">
        <f>IF(EQ37&lt;=CONSTR_EFF,ROUNDUP(EQ37/12,0),IF(EQ41&gt;0,4+EQ41,0))</f>
        <v>14</v>
      </c>
      <c r="ER43" s="148">
        <f>IF(ER37&lt;=CONSTR_EFF,ROUNDUP(ER37/12,0),IF(ER41&gt;0,4+ER41,0))</f>
        <v>14</v>
      </c>
      <c r="ES43" s="148">
        <f>IF(ES37&lt;=CONSTR_EFF,ROUNDUP(ES37/12,0),IF(ES41&gt;0,4+ES41,0))</f>
        <v>14</v>
      </c>
      <c r="ET43" s="148">
        <f>IF(ET37&lt;=CONSTR_EFF,ROUNDUP(ET37/12,0),IF(ET41&gt;0,4+ET41,0))</f>
        <v>14</v>
      </c>
      <c r="EU43" s="148">
        <f>IF(EU37&lt;=CONSTR_EFF,ROUNDUP(EU37/12,0),IF(EU41&gt;0,4+EU41,0))</f>
        <v>14</v>
      </c>
      <c r="EV43" s="148">
        <f>IF(EV37&lt;=CONSTR_EFF,ROUNDUP(EV37/12,0),IF(EV41&gt;0,4+EV41,0))</f>
        <v>14</v>
      </c>
      <c r="EW43" s="148">
        <f>IF(EW37&lt;=CONSTR_EFF,ROUNDUP(EW37/12,0),IF(EW41&gt;0,4+EW41,0))</f>
        <v>14</v>
      </c>
      <c r="EX43" s="148">
        <f>IF(EX37&lt;=CONSTR_EFF,ROUNDUP(EX37/12,0),IF(EX41&gt;0,4+EX41,0))</f>
        <v>14</v>
      </c>
      <c r="EY43" s="148">
        <f>IF(EY37&lt;=CONSTR_EFF,ROUNDUP(EY37/12,0),IF(EY41&gt;0,4+EY41,0))</f>
        <v>0</v>
      </c>
      <c r="EZ43" s="148">
        <f>IF(EZ37&lt;=CONSTR_EFF,ROUNDUP(EZ37/12,0),IF(EZ41&gt;0,4+EZ41,0))</f>
        <v>0</v>
      </c>
      <c r="FA43" s="148">
        <f>IF(FA37&lt;=CONSTR_EFF,ROUNDUP(FA37/12,0),IF(FA41&gt;0,4+FA41,0))</f>
        <v>0</v>
      </c>
      <c r="FB43" s="148">
        <f>IF(FB37&lt;=CONSTR_EFF,ROUNDUP(FB37/12,0),IF(FB41&gt;0,4+FB41,0))</f>
        <v>0</v>
      </c>
      <c r="FC43" s="148">
        <f>IF(FC37&lt;=CONSTR_EFF,ROUNDUP(FC37/12,0),IF(FC41&gt;0,4+FC41,0))</f>
        <v>0</v>
      </c>
      <c r="FD43" s="148">
        <f>IF(FD37&lt;=CONSTR_EFF,ROUNDUP(FD37/12,0),IF(FD41&gt;0,4+FD41,0))</f>
        <v>0</v>
      </c>
      <c r="FE43" s="148">
        <f>IF(FE37&lt;=CONSTR_EFF,ROUNDUP(FE37/12,0),IF(FE41&gt;0,4+FE41,0))</f>
        <v>0</v>
      </c>
      <c r="FF43" s="148">
        <f>IF(FF37&lt;=CONSTR_EFF,ROUNDUP(FF37/12,0),IF(FF41&gt;0,4+FF41,0))</f>
        <v>0</v>
      </c>
      <c r="FG43" s="148">
        <f>IF(FG37&lt;=CONSTR_EFF,ROUNDUP(FG37/12,0),IF(FG41&gt;0,4+FG41,0))</f>
        <v>0</v>
      </c>
      <c r="FH43" s="148">
        <f>IF(FH37&lt;=CONSTR_EFF,ROUNDUP(FH37/12,0),IF(FH41&gt;0,4+FH41,0))</f>
        <v>0</v>
      </c>
      <c r="FI43" s="148">
        <f>IF(FI37&lt;=CONSTR_EFF,ROUNDUP(FI37/12,0),IF(FI41&gt;0,4+FI41,0))</f>
        <v>0</v>
      </c>
      <c r="FJ43" s="148">
        <f>IF(FJ37&lt;=CONSTR_EFF,ROUNDUP(FJ37/12,0),IF(FJ41&gt;0,4+FJ41,0))</f>
        <v>0</v>
      </c>
      <c r="FK43" s="148">
        <f>IF(FK37&lt;=CONSTR_EFF,ROUNDUP(FK37/12,0),IF(FK41&gt;0,4+FK41,0))</f>
        <v>0</v>
      </c>
      <c r="FL43" s="148">
        <f>IF(FL37&lt;=CONSTR_EFF,ROUNDUP(FL37/12,0),IF(FL41&gt;0,4+FL41,0))</f>
        <v>0</v>
      </c>
      <c r="FM43" s="148">
        <f>IF(FM37&lt;=CONSTR_EFF,ROUNDUP(FM37/12,0),IF(FM41&gt;0,4+FM41,0))</f>
        <v>0</v>
      </c>
      <c r="FN43" s="148">
        <f>IF(FN37&lt;=CONSTR_EFF,ROUNDUP(FN37/12,0),IF(FN41&gt;0,4+FN41,0))</f>
        <v>0</v>
      </c>
      <c r="FO43" s="148">
        <f>IF(FO37&lt;=CONSTR_EFF,ROUNDUP(FO37/12,0),IF(FO41&gt;0,4+FO41,0))</f>
        <v>0</v>
      </c>
      <c r="FP43" s="148">
        <f>IF(FP37&lt;=CONSTR_EFF,ROUNDUP(FP37/12,0),IF(FP41&gt;0,4+FP41,0))</f>
        <v>0</v>
      </c>
      <c r="FQ43" s="148">
        <f>IF(FQ37&lt;=CONSTR_EFF,ROUNDUP(FQ37/12,0),IF(FQ41&gt;0,4+FQ41,0))</f>
        <v>0</v>
      </c>
      <c r="FR43" s="148">
        <f>IF(FR37&lt;=CONSTR_EFF,ROUNDUP(FR37/12,0),IF(FR41&gt;0,4+FR41,0))</f>
        <v>0</v>
      </c>
      <c r="FS43" s="148">
        <f>IF(FS37&lt;=CONSTR_EFF,ROUNDUP(FS37/12,0),IF(FS41&gt;0,4+FS41,0))</f>
        <v>0</v>
      </c>
      <c r="FT43" s="148">
        <f>IF(FT37&lt;=CONSTR_EFF,ROUNDUP(FT37/12,0),IF(FT41&gt;0,4+FT41,0))</f>
        <v>0</v>
      </c>
      <c r="FU43" s="148">
        <f>IF(FU37&lt;=CONSTR_EFF,ROUNDUP(FU37/12,0),IF(FU41&gt;0,4+FU41,0))</f>
        <v>0</v>
      </c>
      <c r="FV43" s="148">
        <f>IF(FV37&lt;=CONSTR_EFF,ROUNDUP(FV37/12,0),IF(FV41&gt;0,4+FV41,0))</f>
        <v>0</v>
      </c>
      <c r="FW43" s="148">
        <f>IF(FW37&lt;=CONSTR_EFF,ROUNDUP(FW37/12,0),IF(FW41&gt;0,4+FW41,0))</f>
        <v>0</v>
      </c>
      <c r="FX43" s="148">
        <f>IF(FX37&lt;=CONSTR_EFF,ROUNDUP(FX37/12,0),IF(FX41&gt;0,4+FX41,0))</f>
        <v>0</v>
      </c>
      <c r="FY43" s="148">
        <f>IF(FY37&lt;=CONSTR_EFF,ROUNDUP(FY37/12,0),IF(FY41&gt;0,4+FY41,0))</f>
        <v>0</v>
      </c>
      <c r="FZ43" s="148">
        <f>IF(FZ37&lt;=CONSTR_EFF,ROUNDUP(FZ37/12,0),IF(FZ41&gt;0,4+FZ41,0))</f>
        <v>0</v>
      </c>
      <c r="GA43" s="148">
        <f>IF(GA37&lt;=CONSTR_EFF,ROUNDUP(GA37/12,0),IF(GA41&gt;0,4+GA41,0))</f>
        <v>0</v>
      </c>
      <c r="GB43" s="148">
        <f>IF(GB37&lt;=CONSTR_EFF,ROUNDUP(GB37/12,0),IF(GB41&gt;0,4+GB41,0))</f>
        <v>0</v>
      </c>
      <c r="GC43" s="148">
        <f>IF(GC37&lt;=CONSTR_EFF,ROUNDUP(GC37/12,0),IF(GC41&gt;0,4+GC41,0))</f>
        <v>0</v>
      </c>
      <c r="GD43" s="148">
        <f>IF(GD37&lt;=CONSTR_EFF,ROUNDUP(GD37/12,0),IF(GD41&gt;0,4+GD41,0))</f>
        <v>0</v>
      </c>
      <c r="GE43" s="148">
        <f>IF(GE37&lt;=CONSTR_EFF,ROUNDUP(GE37/12,0),IF(GE41&gt;0,4+GE41,0))</f>
        <v>0</v>
      </c>
      <c r="GF43" s="148">
        <f>IF(GF37&lt;=CONSTR_EFF,ROUNDUP(GF37/12,0),IF(GF41&gt;0,4+GF41,0))</f>
        <v>0</v>
      </c>
      <c r="GG43" s="148">
        <f>IF(GG37&lt;=CONSTR_EFF,ROUNDUP(GG37/12,0),IF(GG41&gt;0,4+GG41,0))</f>
        <v>0</v>
      </c>
      <c r="GH43" s="148">
        <f>IF(GH37&lt;=CONSTR_EFF,ROUNDUP(GH37/12,0),IF(GH41&gt;0,4+GH41,0))</f>
        <v>0</v>
      </c>
      <c r="GI43" s="148">
        <f>IF(GI37&lt;=CONSTR_EFF,ROUNDUP(GI37/12,0),IF(GI41&gt;0,4+GI41,0))</f>
        <v>0</v>
      </c>
      <c r="GJ43" s="148">
        <f>IF(GJ37&lt;=CONSTR_EFF,ROUNDUP(GJ37/12,0),IF(GJ41&gt;0,4+GJ41,0))</f>
        <v>0</v>
      </c>
      <c r="GK43" s="148">
        <f>IF(GK37&lt;=CONSTR_EFF,ROUNDUP(GK37/12,0),IF(GK41&gt;0,4+GK41,0))</f>
        <v>0</v>
      </c>
      <c r="GL43" s="148">
        <f>IF(GL37&lt;=CONSTR_EFF,ROUNDUP(GL37/12,0),IF(GL41&gt;0,4+GL41,0))</f>
        <v>0</v>
      </c>
      <c r="GM43" s="148">
        <f>IF(GM37&lt;=CONSTR_EFF,ROUNDUP(GM37/12,0),IF(GM41&gt;0,4+GM41,0))</f>
        <v>0</v>
      </c>
      <c r="GN43" s="148">
        <f>IF(GN37&lt;=CONSTR_EFF,ROUNDUP(GN37/12,0),IF(GN41&gt;0,4+GN41,0))</f>
        <v>0</v>
      </c>
      <c r="GO43" s="148">
        <f>IF(GO37&lt;=CONSTR_EFF,ROUNDUP(GO37/12,0),IF(GO41&gt;0,4+GO41,0))</f>
        <v>0</v>
      </c>
      <c r="GP43" s="148">
        <f>IF(GP37&lt;=CONSTR_EFF,ROUNDUP(GP37/12,0),IF(GP41&gt;0,4+GP41,0))</f>
        <v>0</v>
      </c>
      <c r="GQ43" s="148">
        <f>IF(GQ37&lt;=CONSTR_EFF,ROUNDUP(GQ37/12,0),IF(GQ41&gt;0,4+GQ41,0))</f>
        <v>0</v>
      </c>
      <c r="GR43" s="148">
        <f>IF(GR37&lt;=CONSTR_EFF,ROUNDUP(GR37/12,0),IF(GR41&gt;0,4+GR41,0))</f>
        <v>0</v>
      </c>
      <c r="GS43" s="148">
        <f>IF(GS37&lt;=CONSTR_EFF,ROUNDUP(GS37/12,0),IF(GS41&gt;0,4+GS41,0))</f>
        <v>0</v>
      </c>
      <c r="GT43" s="148">
        <f>IF(GT37&lt;=CONSTR_EFF,ROUNDUP(GT37/12,0),IF(GT41&gt;0,4+GT41,0))</f>
        <v>0</v>
      </c>
      <c r="GU43" s="148">
        <f>IF(GU37&lt;=CONSTR_EFF,ROUNDUP(GU37/12,0),IF(GU41&gt;0,4+GU41,0))</f>
        <v>0</v>
      </c>
      <c r="GV43" s="148">
        <f>IF(GV37&lt;=CONSTR_EFF,ROUNDUP(GV37/12,0),IF(GV41&gt;0,4+GV41,0))</f>
        <v>0</v>
      </c>
      <c r="GW43" s="148">
        <f>IF(GW37&lt;=CONSTR_EFF,ROUNDUP(GW37/12,0),IF(GW41&gt;0,4+GW41,0))</f>
        <v>0</v>
      </c>
      <c r="GX43" s="148">
        <f>IF(GX37&lt;=CONSTR_EFF,ROUNDUP(GX37/12,0),IF(GX41&gt;0,4+GX41,0))</f>
        <v>0</v>
      </c>
      <c r="GY43" s="148">
        <f>IF(GY37&lt;=CONSTR_EFF,ROUNDUP(GY37/12,0),IF(GY41&gt;0,4+GY41,0))</f>
        <v>0</v>
      </c>
      <c r="GZ43" s="148">
        <f>IF(GZ37&lt;=CONSTR_EFF,ROUNDUP(GZ37/12,0),IF(GZ41&gt;0,4+GZ41,0))</f>
        <v>0</v>
      </c>
      <c r="HA43" s="148">
        <f>IF(HA37&lt;=CONSTR_EFF,ROUNDUP(HA37/12,0),IF(HA41&gt;0,4+HA41,0))</f>
        <v>0</v>
      </c>
      <c r="HB43" s="148">
        <f>IF(HB37&lt;=CONSTR_EFF,ROUNDUP(HB37/12,0),IF(HB41&gt;0,4+HB41,0))</f>
        <v>0</v>
      </c>
      <c r="HC43" s="148">
        <f>IF(HC37&lt;=CONSTR_EFF,ROUNDUP(HC37/12,0),IF(HC41&gt;0,4+HC41,0))</f>
        <v>0</v>
      </c>
      <c r="HD43" s="148">
        <f>IF(HD37&lt;=CONSTR_EFF,ROUNDUP(HD37/12,0),IF(HD41&gt;0,4+HD41,0))</f>
        <v>0</v>
      </c>
      <c r="HE43" s="148">
        <f>IF(HE37&lt;=CONSTR_EFF,ROUNDUP(HE37/12,0),IF(HE41&gt;0,4+HE41,0))</f>
        <v>0</v>
      </c>
      <c r="HF43" s="148">
        <f>IF(HF37&lt;=CONSTR_EFF,ROUNDUP(HF37/12,0),IF(HF41&gt;0,4+HF41,0))</f>
        <v>0</v>
      </c>
      <c r="HG43" s="148">
        <f>IF(HG37&lt;=CONSTR_EFF,ROUNDUP(HG37/12,0),IF(HG41&gt;0,4+HG41,0))</f>
        <v>0</v>
      </c>
      <c r="HH43" s="148">
        <f>IF(HH37&lt;=CONSTR_EFF,ROUNDUP(HH37/12,0),IF(HH41&gt;0,4+HH41,0))</f>
        <v>0</v>
      </c>
      <c r="HI43" s="148">
        <f>IF(HI37&lt;=CONSTR_EFF,ROUNDUP(HI37/12,0),IF(HI41&gt;0,4+HI41,0))</f>
        <v>0</v>
      </c>
      <c r="HJ43" s="148">
        <f>IF(HJ37&lt;=CONSTR_EFF,ROUNDUP(HJ37/12,0),IF(HJ41&gt;0,4+HJ41,0))</f>
        <v>0</v>
      </c>
      <c r="HK43" s="148">
        <f>IF(HK37&lt;=CONSTR_EFF,ROUNDUP(HK37/12,0),IF(HK41&gt;0,4+HK41,0))</f>
        <v>0</v>
      </c>
      <c r="HL43" s="148">
        <f>IF(HL37&lt;=CONSTR_EFF,ROUNDUP(HL37/12,0),IF(HL41&gt;0,4+HL41,0))</f>
        <v>0</v>
      </c>
      <c r="HM43" s="148">
        <f>IF(HM37&lt;=CONSTR_EFF,ROUNDUP(HM37/12,0),IF(HM41&gt;0,4+HM41,0))</f>
        <v>0</v>
      </c>
      <c r="HN43" s="148">
        <f>IF(HN37&lt;=CONSTR_EFF,ROUNDUP(HN37/12,0),IF(HN41&gt;0,4+HN41,0))</f>
        <v>0</v>
      </c>
      <c r="HO43" s="148">
        <f>IF(HO37&lt;=CONSTR_EFF,ROUNDUP(HO37/12,0),IF(HO41&gt;0,4+HO41,0))</f>
        <v>0</v>
      </c>
      <c r="HP43" s="148">
        <f>IF(HP37&lt;=CONSTR_EFF,ROUNDUP(HP37/12,0),IF(HP41&gt;0,4+HP41,0))</f>
        <v>0</v>
      </c>
      <c r="HQ43" s="148">
        <f>IF(HQ37&lt;=CONSTR_EFF,ROUNDUP(HQ37/12,0),IF(HQ41&gt;0,4+HQ41,0))</f>
        <v>0</v>
      </c>
      <c r="HR43" s="148">
        <f>IF(HR37&lt;=CONSTR_EFF,ROUNDUP(HR37/12,0),IF(HR41&gt;0,4+HR41,0))</f>
        <v>0</v>
      </c>
      <c r="HS43" s="148">
        <f>IF(HS37&lt;=CONSTR_EFF,ROUNDUP(HS37/12,0),IF(HS41&gt;0,4+HS41,0))</f>
        <v>0</v>
      </c>
      <c r="HT43" s="148">
        <f>IF(HT37&lt;=CONSTR_EFF,ROUNDUP(HT37/12,0),IF(HT41&gt;0,4+HT41,0))</f>
        <v>0</v>
      </c>
      <c r="HU43" s="148">
        <f>IF(HU37&lt;=CONSTR_EFF,ROUNDUP(HU37/12,0),IF(HU41&gt;0,4+HU41,0))</f>
        <v>0</v>
      </c>
      <c r="HV43" s="148">
        <f>IF(HV37&lt;=CONSTR_EFF,ROUNDUP(HV37/12,0),IF(HV41&gt;0,4+HV41,0))</f>
        <v>0</v>
      </c>
      <c r="HW43" s="148">
        <f>IF(HW37&lt;=CONSTR_EFF,ROUNDUP(HW37/12,0),IF(HW41&gt;0,4+HW41,0))</f>
        <v>0</v>
      </c>
      <c r="HX43" s="148">
        <f>IF(HX37&lt;=CONSTR_EFF,ROUNDUP(HX37/12,0),IF(HX41&gt;0,4+HX41,0))</f>
        <v>0</v>
      </c>
      <c r="HY43" s="148">
        <f>IF(HY37&lt;=CONSTR_EFF,ROUNDUP(HY37/12,0),IF(HY41&gt;0,4+HY41,0))</f>
        <v>0</v>
      </c>
      <c r="HZ43" s="148">
        <f>IF(HZ37&lt;=CONSTR_EFF,ROUNDUP(HZ37/12,0),IF(HZ41&gt;0,4+HZ41,0))</f>
        <v>0</v>
      </c>
      <c r="IA43" s="148">
        <f>IF(IA37&lt;=CONSTR_EFF,ROUNDUP(IA37/12,0),IF(IA41&gt;0,4+IA41,0))</f>
        <v>0</v>
      </c>
      <c r="IB43" s="148">
        <f>IF(IB37&lt;=CONSTR_EFF,ROUNDUP(IB37/12,0),IF(IB41&gt;0,4+IB41,0))</f>
        <v>0</v>
      </c>
      <c r="IC43" s="148">
        <f>IF(IC37&lt;=CONSTR_EFF,ROUNDUP(IC37/12,0),IF(IC41&gt;0,4+IC41,0))</f>
        <v>0</v>
      </c>
      <c r="ID43" s="148">
        <f>IF(ID37&lt;=CONSTR_EFF,ROUNDUP(ID37/12,0),IF(ID41&gt;0,4+ID41,0))</f>
        <v>0</v>
      </c>
      <c r="IE43" s="148">
        <f>IF(IE37&lt;=CONSTR_EFF,ROUNDUP(IE37/12,0),IF(IE41&gt;0,4+IE41,0))</f>
        <v>0</v>
      </c>
      <c r="IF43" s="148">
        <f>IF(IF37&lt;=CONSTR_EFF,ROUNDUP(IF37/12,0),IF(IF41&gt;0,4+IF41,0))</f>
        <v>0</v>
      </c>
      <c r="IG43" s="148">
        <f>IF(IG37&lt;=CONSTR_EFF,ROUNDUP(IG37/12,0),IF(IG41&gt;0,4+IG41,0))</f>
        <v>0</v>
      </c>
      <c r="IH43" s="148">
        <f>IF(IH37&lt;=CONSTR_EFF,ROUNDUP(IH37/12,0),IF(IH41&gt;0,4+IH41,0))</f>
        <v>0</v>
      </c>
      <c r="II43" s="148">
        <f>IF(II37&lt;=CONSTR_EFF,ROUNDUP(II37/12,0),IF(II41&gt;0,4+II41,0))</f>
        <v>0</v>
      </c>
      <c r="IJ43" s="148">
        <f>IF(IJ37&lt;=CONSTR_EFF,ROUNDUP(IJ37/12,0),IF(IJ41&gt;0,4+IJ41,0))</f>
        <v>0</v>
      </c>
      <c r="IK43" s="148">
        <f>IF(IK37&lt;=CONSTR_EFF,ROUNDUP(IK37/12,0),IF(IK41&gt;0,4+IK41,0))</f>
        <v>0</v>
      </c>
      <c r="IL43" s="148">
        <f>IF(IL37&lt;=CONSTR_EFF,ROUNDUP(IL37/12,0),IF(IL41&gt;0,4+IL41,0))</f>
        <v>0</v>
      </c>
      <c r="IM43" s="148">
        <f>IF(IM37&lt;=CONSTR_EFF,ROUNDUP(IM37/12,0),IF(IM41&gt;0,4+IM41,0))</f>
        <v>0</v>
      </c>
      <c r="IN43" s="148">
        <f>IF(IN37&lt;=CONSTR_EFF,ROUNDUP(IN37/12,0),IF(IN41&gt;0,4+IN41,0))</f>
        <v>0</v>
      </c>
      <c r="IO43" s="148">
        <f>IF(IO37&lt;=CONSTR_EFF,ROUNDUP(IO37/12,0),IF(IO41&gt;0,4+IO41,0))</f>
        <v>0</v>
      </c>
      <c r="IP43" s="148">
        <f>IF(IP37&lt;=CONSTR_EFF,ROUNDUP(IP37/12,0),IF(IP41&gt;0,4+IP41,0))</f>
        <v>0</v>
      </c>
      <c r="IQ43" s="148">
        <f>IF(IQ37&lt;=CONSTR_EFF,ROUNDUP(IQ37/12,0),IF(IQ41&gt;0,4+IQ41,0))</f>
        <v>0</v>
      </c>
      <c r="IR43" s="148">
        <f>IF(IR37&lt;=CONSTR_EFF,ROUNDUP(IR37/12,0),IF(IR41&gt;0,4+IR41,0))</f>
        <v>0</v>
      </c>
      <c r="IS43" s="148">
        <f>IF(IS37&lt;=CONSTR_EFF,ROUNDUP(IS37/12,0),IF(IS41&gt;0,4+IS41,0))</f>
        <v>0</v>
      </c>
      <c r="IT43" s="148">
        <f>IF(IT37&lt;=CONSTR_EFF,ROUNDUP(IT37/12,0),IF(IT41&gt;0,4+IT41,0))</f>
        <v>0</v>
      </c>
      <c r="IU43" s="148">
        <f>IF(IU37&lt;=CONSTR_EFF,ROUNDUP(IU37/12,0),IF(IU41&gt;0,4+IU41,0))</f>
        <v>0</v>
      </c>
      <c r="IV43" s="148">
        <f>IF(IV37&lt;=CONSTR_EFF,ROUNDUP(IV37/12,0),IF(IV41&gt;0,4+IV41,0))</f>
        <v>0</v>
      </c>
      <c r="IW43" s="148">
        <f>IF(IW37&lt;=CONSTR_EFF,ROUNDUP(IW37/12,0),IF(IW41&gt;0,4+IW41,0))</f>
        <v>0</v>
      </c>
      <c r="IX43" s="148">
        <f>IF(IX37&lt;=CONSTR_EFF,ROUNDUP(IX37/12,0),IF(IX41&gt;0,4+IX41,0))</f>
        <v>0</v>
      </c>
      <c r="IY43" s="148">
        <f>IF(IY37&lt;=CONSTR_EFF,ROUNDUP(IY37/12,0),IF(IY41&gt;0,4+IY41,0))</f>
        <v>0</v>
      </c>
      <c r="IZ43" s="148">
        <f>IF(IZ37&lt;=CONSTR_EFF,ROUNDUP(IZ37/12,0),IF(IZ41&gt;0,4+IZ41,0))</f>
        <v>0</v>
      </c>
      <c r="JA43" s="148">
        <f>IF(JA37&lt;=CONSTR_EFF,ROUNDUP(JA37/12,0),IF(JA41&gt;0,4+JA41,0))</f>
        <v>0</v>
      </c>
      <c r="JB43" s="148">
        <f>IF(JB37&lt;=CONSTR_EFF,ROUNDUP(JB37/12,0),IF(JB41&gt;0,4+JB41,0))</f>
        <v>0</v>
      </c>
      <c r="JC43" s="148">
        <f>IF(JC37&lt;=CONSTR_EFF,ROUNDUP(JC37/12,0),IF(JC41&gt;0,4+JC41,0))</f>
        <v>0</v>
      </c>
      <c r="JD43" s="148">
        <f>IF(JD37&lt;=CONSTR_EFF,ROUNDUP(JD37/12,0),IF(JD41&gt;0,4+JD41,0))</f>
        <v>0</v>
      </c>
      <c r="JE43" s="148">
        <f>IF(JE37&lt;=CONSTR_EFF,ROUNDUP(JE37/12,0),IF(JE41&gt;0,4+JE41,0))</f>
        <v>0</v>
      </c>
      <c r="JF43" s="148">
        <f>IF(JF37&lt;=CONSTR_EFF,ROUNDUP(JF37/12,0),IF(JF41&gt;0,4+JF41,0))</f>
        <v>0</v>
      </c>
      <c r="JG43" s="148">
        <f>IF(JG37&lt;=CONSTR_EFF,ROUNDUP(JG37/12,0),IF(JG41&gt;0,4+JG41,0))</f>
        <v>0</v>
      </c>
      <c r="JH43" s="148">
        <f>IF(JH37&lt;=CONSTR_EFF,ROUNDUP(JH37/12,0),IF(JH41&gt;0,4+JH41,0))</f>
        <v>0</v>
      </c>
      <c r="JI43" s="148">
        <f>IF(JI37&lt;=CONSTR_EFF,ROUNDUP(JI37/12,0),IF(JI41&gt;0,4+JI41,0))</f>
        <v>0</v>
      </c>
      <c r="JJ43" s="148">
        <f>IF(JJ37&lt;=CONSTR_EFF,ROUNDUP(JJ37/12,0),IF(JJ41&gt;0,4+JJ41,0))</f>
        <v>0</v>
      </c>
      <c r="JK43" s="148">
        <f>IF(JK37&lt;=CONSTR_EFF,ROUNDUP(JK37/12,0),IF(JK41&gt;0,4+JK41,0))</f>
        <v>0</v>
      </c>
      <c r="JL43" s="148">
        <f>IF(JL37&lt;=CONSTR_EFF,ROUNDUP(JL37/12,0),IF(JL41&gt;0,4+JL41,0))</f>
        <v>0</v>
      </c>
      <c r="JM43" s="148">
        <f>IF(JM37&lt;=CONSTR_EFF,ROUNDUP(JM37/12,0),IF(JM41&gt;0,4+JM41,0))</f>
        <v>0</v>
      </c>
      <c r="JN43" s="148">
        <f>IF(JN37&lt;=CONSTR_EFF,ROUNDUP(JN37/12,0),IF(JN41&gt;0,4+JN41,0))</f>
        <v>0</v>
      </c>
      <c r="JO43" s="148">
        <f>IF(JO37&lt;=CONSTR_EFF,ROUNDUP(JO37/12,0),IF(JO41&gt;0,4+JO41,0))</f>
        <v>0</v>
      </c>
      <c r="JP43" s="148">
        <f>IF(JP37&lt;=CONSTR_EFF,ROUNDUP(JP37/12,0),IF(JP41&gt;0,4+JP41,0))</f>
        <v>0</v>
      </c>
      <c r="JQ43" s="148">
        <f>IF(JQ37&lt;=CONSTR_EFF,ROUNDUP(JQ37/12,0),IF(JQ41&gt;0,4+JQ41,0))</f>
        <v>0</v>
      </c>
      <c r="JR43" s="148">
        <f>IF(JR37&lt;=CONSTR_EFF,ROUNDUP(JR37/12,0),IF(JR41&gt;0,4+JR41,0))</f>
        <v>0</v>
      </c>
      <c r="JS43" s="148">
        <f>IF(JS37&lt;=CONSTR_EFF,ROUNDUP(JS37/12,0),IF(JS41&gt;0,4+JS41,0))</f>
        <v>0</v>
      </c>
      <c r="JT43" s="148">
        <f>IF(JT37&lt;=CONSTR_EFF,ROUNDUP(JT37/12,0),IF(JT41&gt;0,4+JT41,0))</f>
        <v>0</v>
      </c>
      <c r="JU43" s="148">
        <f>IF(JU37&lt;=CONSTR_EFF,ROUNDUP(JU37/12,0),IF(JU41&gt;0,4+JU41,0))</f>
        <v>0</v>
      </c>
      <c r="JV43" s="148">
        <f>IF(JV37&lt;=CONSTR_EFF,ROUNDUP(JV37/12,0),IF(JV41&gt;0,4+JV41,0))</f>
        <v>0</v>
      </c>
      <c r="JW43" s="148">
        <f>IF(JW37&lt;=CONSTR_EFF,ROUNDUP(JW37/12,0),IF(JW41&gt;0,4+JW41,0))</f>
        <v>0</v>
      </c>
      <c r="JX43" s="148">
        <f>IF(JX37&lt;=CONSTR_EFF,ROUNDUP(JX37/12,0),IF(JX41&gt;0,4+JX41,0))</f>
        <v>0</v>
      </c>
      <c r="JY43" s="148">
        <f>IF(JY37&lt;=CONSTR_EFF,ROUNDUP(JY37/12,0),IF(JY41&gt;0,4+JY41,0))</f>
        <v>0</v>
      </c>
      <c r="JZ43" s="148">
        <f>IF(JZ37&lt;=CONSTR_EFF,ROUNDUP(JZ37/12,0),IF(JZ41&gt;0,4+JZ41,0))</f>
        <v>0</v>
      </c>
      <c r="KA43" s="148">
        <f>IF(KA37&lt;=CONSTR_EFF,ROUNDUP(KA37/12,0),IF(KA41&gt;0,4+KA41,0))</f>
        <v>0</v>
      </c>
      <c r="KB43" s="148">
        <f>IF(KB37&lt;=CONSTR_EFF,ROUNDUP(KB37/12,0),IF(KB41&gt;0,4+KB41,0))</f>
        <v>0</v>
      </c>
      <c r="KC43" s="148">
        <f>IF(KC37&lt;=CONSTR_EFF,ROUNDUP(KC37/12,0),IF(KC41&gt;0,4+KC41,0))</f>
        <v>0</v>
      </c>
      <c r="KD43" s="148">
        <f>IF(KD37&lt;=CONSTR_EFF,ROUNDUP(KD37/12,0),IF(KD41&gt;0,4+KD41,0))</f>
        <v>0</v>
      </c>
      <c r="KE43" s="148">
        <f>IF(KE37&lt;=CONSTR_EFF,ROUNDUP(KE37/12,0),IF(KE41&gt;0,4+KE41,0))</f>
        <v>0</v>
      </c>
      <c r="KF43" s="148">
        <f>IF(KF37&lt;=CONSTR_EFF,ROUNDUP(KF37/12,0),IF(KF41&gt;0,4+KF41,0))</f>
        <v>0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T5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</cols>
  <sheetData>
    <row r="1" ht="30" customHeight="1">
      <c r="A1" s="1" t="n"/>
      <c r="B1" s="2" t="inlineStr">
        <is>
          <t>21 · Area programme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3" t="str">
        <f>HYPERLINK("#'00_Start'!A1","◂ Start")</f>
        <v>◂ Start</v>
      </c>
    </row>
    <row r="2" ht="20" customHeight="1">
      <c r="A2" s="1" t="n"/>
      <c r="B2" s="4" t="inlineStr">
        <is>
          <t>የቦታና የወለል ስፋት ፕሮግራም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</row>
    <row r="10" ht="20" customHeight="1">
      <c r="B10" s="113" t="inlineStr">
        <is>
          <t>Floors (from Inputs block 3)</t>
        </is>
      </c>
      <c r="C10" s="37" t="inlineStr">
        <is>
          <t>ፎቆች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36" t="inlineStr">
        <is>
          <t>Floor</t>
        </is>
      </c>
      <c r="C11" s="117" t="inlineStr"/>
      <c r="E11" s="108" t="inlineStr">
        <is>
          <t>Basement 2</t>
        </is>
      </c>
      <c r="F11" s="108" t="inlineStr">
        <is>
          <t>Basement 1</t>
        </is>
      </c>
      <c r="G11" s="108" t="inlineStr">
        <is>
          <t>Ground floor</t>
        </is>
      </c>
      <c r="H11" s="108" t="inlineStr">
        <is>
          <t>Floor 1</t>
        </is>
      </c>
      <c r="I11" s="108" t="inlineStr">
        <is>
          <t>Floor 2</t>
        </is>
      </c>
      <c r="J11" s="108" t="inlineStr">
        <is>
          <t>Floor 3</t>
        </is>
      </c>
      <c r="K11" s="108" t="inlineStr">
        <is>
          <t>Floor 4</t>
        </is>
      </c>
      <c r="L11" s="108" t="inlineStr">
        <is>
          <t>Floor 5</t>
        </is>
      </c>
      <c r="M11" s="108" t="inlineStr">
        <is>
          <t>Floor 6</t>
        </is>
      </c>
      <c r="N11" s="108" t="inlineStr">
        <is>
          <t>Floor 7</t>
        </is>
      </c>
      <c r="O11" s="108" t="inlineStr">
        <is>
          <t>Floor 8</t>
        </is>
      </c>
      <c r="P11" s="108" t="inlineStr">
        <is>
          <t>Floor 9</t>
        </is>
      </c>
      <c r="Q11" s="108" t="inlineStr">
        <is>
          <t>Floor 10</t>
        </is>
      </c>
      <c r="R11" s="108" t="inlineStr">
        <is>
          <t>Floor 11</t>
        </is>
      </c>
      <c r="S11" s="108" t="inlineStr">
        <is>
          <t>Floor 12</t>
        </is>
      </c>
      <c r="T11" s="108" t="inlineStr">
        <is>
          <t>Floor 13</t>
        </is>
      </c>
    </row>
    <row r="12">
      <c r="B12" s="36" t="inlineStr">
        <is>
          <t>Gross floor area</t>
        </is>
      </c>
      <c r="C12" s="117" t="inlineStr">
        <is>
          <t>m²</t>
        </is>
      </c>
      <c r="D12" s="169">
        <f>SUM(E12:T12)</f>
        <v>6400</v>
      </c>
      <c r="E12" s="170">
        <f>FL_A1</f>
        <v>0</v>
      </c>
      <c r="F12" s="170">
        <f>FL_A2</f>
        <v>900</v>
      </c>
      <c r="G12" s="170">
        <f>FL_A3</f>
        <v>650</v>
      </c>
      <c r="H12" s="170">
        <f>FL_A4</f>
        <v>650</v>
      </c>
      <c r="I12" s="170">
        <f>FL_A5</f>
        <v>600</v>
      </c>
      <c r="J12" s="170">
        <f>FL_A6</f>
        <v>600</v>
      </c>
      <c r="K12" s="170">
        <f>FL_A7</f>
        <v>600</v>
      </c>
      <c r="L12" s="170">
        <f>FL_A8</f>
        <v>600</v>
      </c>
      <c r="M12" s="170">
        <f>FL_A9</f>
        <v>600</v>
      </c>
      <c r="N12" s="170">
        <f>FL_A10</f>
        <v>600</v>
      </c>
      <c r="O12" s="170">
        <f>FL_A11</f>
        <v>600</v>
      </c>
      <c r="P12" s="170">
        <f>FL_A12</f>
        <v>0</v>
      </c>
      <c r="Q12" s="170">
        <f>FL_A13</f>
        <v>0</v>
      </c>
      <c r="R12" s="170">
        <f>FL_A14</f>
        <v>0</v>
      </c>
      <c r="S12" s="170">
        <f>FL_A15</f>
        <v>0</v>
      </c>
      <c r="T12" s="170">
        <f>FL_A16</f>
        <v>0</v>
      </c>
    </row>
    <row r="13">
      <c r="B13" s="36" t="inlineStr">
        <is>
          <t>Use</t>
        </is>
      </c>
      <c r="C13" s="117" t="inlineStr"/>
      <c r="E13" s="171" t="str">
        <f>FL_U1</f>
        <v>Parking</v>
      </c>
      <c r="F13" s="171" t="str">
        <f>FL_U2</f>
        <v>Parking</v>
      </c>
      <c r="G13" s="171" t="str">
        <f>FL_U3</f>
        <v>Retail</v>
      </c>
      <c r="H13" s="171" t="str">
        <f>FL_U4</f>
        <v>Retail</v>
      </c>
      <c r="I13" s="171" t="str">
        <f>FL_U5</f>
        <v>Residential</v>
      </c>
      <c r="J13" s="171" t="str">
        <f>FL_U6</f>
        <v>Residential</v>
      </c>
      <c r="K13" s="171" t="str">
        <f>FL_U7</f>
        <v>Residential</v>
      </c>
      <c r="L13" s="171" t="str">
        <f>FL_U8</f>
        <v>Residential</v>
      </c>
      <c r="M13" s="171" t="str">
        <f>FL_U9</f>
        <v>Residential</v>
      </c>
      <c r="N13" s="171" t="str">
        <f>FL_U10</f>
        <v>Residential</v>
      </c>
      <c r="O13" s="171" t="str">
        <f>FL_U11</f>
        <v>Residential</v>
      </c>
      <c r="P13" s="171" t="str">
        <f>FL_U12</f>
        <v>Residential</v>
      </c>
      <c r="Q13" s="171" t="str">
        <f>FL_U13</f>
        <v>Residential</v>
      </c>
      <c r="R13" s="171" t="str">
        <f>FL_U14</f>
        <v>Residential</v>
      </c>
      <c r="S13" s="171" t="str">
        <f>FL_U15</f>
        <v>Residential</v>
      </c>
      <c r="T13" s="171" t="str">
        <f>FL_U16</f>
        <v>Residential</v>
      </c>
    </row>
    <row r="14">
      <c r="B14" s="36" t="inlineStr">
        <is>
          <t>Basement flag</t>
        </is>
      </c>
      <c r="C14" s="117" t="inlineStr">
        <is>
          <t>flag</t>
        </is>
      </c>
      <c r="E14" s="148" t="n">
        <v>1</v>
      </c>
      <c r="F14" s="148" t="n">
        <v>1</v>
      </c>
      <c r="G14" s="148" t="n">
        <v>0</v>
      </c>
      <c r="H14" s="148" t="n">
        <v>0</v>
      </c>
      <c r="I14" s="148" t="n">
        <v>0</v>
      </c>
      <c r="J14" s="148" t="n">
        <v>0</v>
      </c>
      <c r="K14" s="148" t="n">
        <v>0</v>
      </c>
      <c r="L14" s="148" t="n">
        <v>0</v>
      </c>
      <c r="M14" s="148" t="n">
        <v>0</v>
      </c>
      <c r="N14" s="148" t="n">
        <v>0</v>
      </c>
      <c r="O14" s="148" t="n">
        <v>0</v>
      </c>
      <c r="P14" s="148" t="n">
        <v>0</v>
      </c>
      <c r="Q14" s="148" t="n">
        <v>0</v>
      </c>
      <c r="R14" s="148" t="n">
        <v>0</v>
      </c>
      <c r="S14" s="148" t="n">
        <v>0</v>
      </c>
      <c r="T14" s="148" t="n">
        <v>0</v>
      </c>
    </row>
    <row r="15">
      <c r="B15" s="36" t="inlineStr">
        <is>
          <t>Floor built flag</t>
        </is>
      </c>
      <c r="C15" s="117" t="inlineStr">
        <is>
          <t>flag</t>
        </is>
      </c>
      <c r="D15" s="147">
        <f>SUM(E15:T15)</f>
        <v>10</v>
      </c>
      <c r="E15" s="148">
        <f>IF(E12&gt;0,1,0)</f>
        <v>0</v>
      </c>
      <c r="F15" s="148">
        <f>IF(F12&gt;0,1,0)</f>
        <v>1</v>
      </c>
      <c r="G15" s="148">
        <f>IF(G12&gt;0,1,0)</f>
        <v>1</v>
      </c>
      <c r="H15" s="148">
        <f>IF(H12&gt;0,1,0)</f>
        <v>1</v>
      </c>
      <c r="I15" s="148">
        <f>IF(I12&gt;0,1,0)</f>
        <v>1</v>
      </c>
      <c r="J15" s="148">
        <f>IF(J12&gt;0,1,0)</f>
        <v>1</v>
      </c>
      <c r="K15" s="148">
        <f>IF(K12&gt;0,1,0)</f>
        <v>1</v>
      </c>
      <c r="L15" s="148">
        <f>IF(L12&gt;0,1,0)</f>
        <v>1</v>
      </c>
      <c r="M15" s="148">
        <f>IF(M12&gt;0,1,0)</f>
        <v>1</v>
      </c>
      <c r="N15" s="148">
        <f>IF(N12&gt;0,1,0)</f>
        <v>1</v>
      </c>
      <c r="O15" s="148">
        <f>IF(O12&gt;0,1,0)</f>
        <v>1</v>
      </c>
      <c r="P15" s="148">
        <f>IF(P12&gt;0,1,0)</f>
        <v>0</v>
      </c>
      <c r="Q15" s="148">
        <f>IF(Q12&gt;0,1,0)</f>
        <v>0</v>
      </c>
      <c r="R15" s="148">
        <f>IF(R12&gt;0,1,0)</f>
        <v>0</v>
      </c>
      <c r="S15" s="148">
        <f>IF(S12&gt;0,1,0)</f>
        <v>0</v>
      </c>
      <c r="T15" s="148">
        <f>IF(T12&gt;0,1,0)</f>
        <v>0</v>
      </c>
    </row>
    <row r="17" ht="20" customHeight="1">
      <c r="B17" s="113" t="inlineStr">
        <is>
          <t>Building summary</t>
        </is>
      </c>
      <c r="C17" s="37" t="inlineStr">
        <is>
          <t>የሕንፃ ማጠቃለያ</t>
        </is>
      </c>
      <c r="D17" s="115" t="n"/>
      <c r="E17" s="115" t="n"/>
      <c r="F17" s="115" t="n"/>
      <c r="G17" s="115" t="n"/>
      <c r="H17" s="115" t="n"/>
      <c r="I17" s="115" t="n"/>
      <c r="J17" s="115" t="n"/>
    </row>
    <row r="18">
      <c r="B18" s="36" t="inlineStr">
        <is>
          <t>Gross floor area (GFA)</t>
        </is>
      </c>
      <c r="C18" s="117" t="inlineStr">
        <is>
          <t>m²</t>
        </is>
      </c>
      <c r="D18" s="172">
        <f>SUM(E12:T12)</f>
        <v>6400</v>
      </c>
    </row>
    <row r="19">
      <c r="B19" s="36" t="inlineStr">
        <is>
          <t>Basement gross area</t>
        </is>
      </c>
      <c r="C19" s="117" t="inlineStr">
        <is>
          <t>m²</t>
        </is>
      </c>
      <c r="D19" s="173">
        <f>SUMPRODUCT(E12:T12,E14:T14)</f>
        <v>900</v>
      </c>
    </row>
    <row r="20">
      <c r="B20" s="36" t="inlineStr">
        <is>
          <t>Above-ground gross area</t>
        </is>
      </c>
      <c r="C20" s="117" t="inlineStr">
        <is>
          <t>m²</t>
        </is>
      </c>
      <c r="D20" s="173">
        <f>GFA-GFA_BASE</f>
        <v>5500</v>
      </c>
    </row>
    <row r="21">
      <c r="B21" s="36" t="inlineStr">
        <is>
          <t>Above-ground floors built</t>
        </is>
      </c>
      <c r="C21" s="117" t="inlineStr">
        <is>
          <t>no.</t>
        </is>
      </c>
      <c r="D21" s="148">
        <f>SUM(G15:T15)</f>
        <v>9</v>
      </c>
    </row>
    <row r="22">
      <c r="B22" s="36" t="inlineStr">
        <is>
          <t>Basement levels built</t>
        </is>
      </c>
      <c r="C22" s="117" t="inlineStr">
        <is>
          <t>no.</t>
        </is>
      </c>
      <c r="D22" s="148">
        <f>SUM(E15:F15)</f>
        <v>1</v>
      </c>
    </row>
    <row r="23">
      <c r="B23" s="36" t="inlineStr">
        <is>
          <t>Building configuration</t>
        </is>
      </c>
      <c r="C23" s="117" t="inlineStr"/>
      <c r="D23" s="36" t="str">
        <f>IF(N_BASE&gt;0,"B"&amp;N_BASE&amp;"+","")&amp;"G+"&amp;MAX(0,N_ABOVE-1)</f>
        <v>B1+G+8</v>
      </c>
    </row>
    <row r="24">
      <c r="B24" s="36" t="inlineStr">
        <is>
          <t>Ground-floor footprint</t>
        </is>
      </c>
      <c r="C24" s="117" t="inlineStr">
        <is>
          <t>m²</t>
        </is>
      </c>
      <c r="D24" s="170">
        <f>G12</f>
        <v>650</v>
      </c>
    </row>
    <row r="25">
      <c r="B25" s="36" t="inlineStr">
        <is>
          <t>Actual FAR (above-ground GFA ÷ plot)</t>
        </is>
      </c>
      <c r="C25" s="117" t="inlineStr">
        <is>
          <t>x</t>
        </is>
      </c>
      <c r="D25" s="149">
        <f>IF(PLOT_AREA&gt;0,GFA_ABOVE/PLOT_AREA,0)</f>
        <v>5.5</v>
      </c>
    </row>
    <row r="26">
      <c r="B26" s="36" t="inlineStr">
        <is>
          <t>Building type matches floors entered (1 = yes)</t>
        </is>
      </c>
      <c r="C26" s="117" t="inlineStr">
        <is>
          <t>flag</t>
        </is>
      </c>
      <c r="D26" s="148">
        <f>IF(AND(IF(BLDG_TYPE=5,1,IF(N_ABOVE=BLDG_TYPE,1,0))=1,IF(BASEMENT_YN=1,N_BASE&gt;0,N_BASE=0)),1,0)</f>
        <v>1</v>
      </c>
    </row>
    <row r="28" ht="20" customHeight="1">
      <c r="B28" s="113" t="inlineStr">
        <is>
          <t>By use – areas and disposition (IAS 2 sold · IAS 40 let · IAS 16 owner-occupied)</t>
        </is>
      </c>
      <c r="C28" s="37" t="inlineStr">
        <is>
          <t>በአገልግሎት</t>
        </is>
      </c>
      <c r="D28" s="115" t="n"/>
      <c r="E28" s="115" t="n"/>
      <c r="F28" s="115" t="n"/>
      <c r="G28" s="115" t="n"/>
      <c r="H28" s="115" t="n"/>
      <c r="I28" s="115" t="n"/>
      <c r="J28" s="115" t="n"/>
    </row>
    <row r="29">
      <c r="B29" s="36" t="inlineStr">
        <is>
          <t>Use</t>
        </is>
      </c>
      <c r="C29" s="117" t="inlineStr"/>
      <c r="E29" s="108" t="inlineStr">
        <is>
          <t>Residential</t>
        </is>
      </c>
      <c r="F29" s="108" t="inlineStr">
        <is>
          <t>Retail</t>
        </is>
      </c>
      <c r="G29" s="108" t="inlineStr">
        <is>
          <t>Office</t>
        </is>
      </c>
      <c r="H29" s="108" t="inlineStr">
        <is>
          <t>Parking</t>
        </is>
      </c>
      <c r="I29" s="108" t="inlineStr">
        <is>
          <t>Other</t>
        </is>
      </c>
    </row>
    <row r="30">
      <c r="B30" s="36" t="inlineStr">
        <is>
          <t>Gross area</t>
        </is>
      </c>
      <c r="C30" s="117" t="inlineStr">
        <is>
          <t>m²</t>
        </is>
      </c>
      <c r="D30" s="169">
        <f>SUM(E30:I30)</f>
        <v>6400</v>
      </c>
      <c r="E30" s="173">
        <f>SUMIF($E$13:$T$13,E29,$E$12:$T$12)</f>
        <v>4200</v>
      </c>
      <c r="F30" s="173">
        <f>SUMIF($E$13:$T$13,F29,$E$12:$T$12)</f>
        <v>1300</v>
      </c>
      <c r="G30" s="173">
        <f>SUMIF($E$13:$T$13,G29,$E$12:$T$12)</f>
        <v>0</v>
      </c>
      <c r="H30" s="173">
        <f>SUMIF($E$13:$T$13,H29,$E$12:$T$12)</f>
        <v>900</v>
      </c>
      <c r="I30" s="173">
        <f>SUMIF($E$13:$T$13,I29,$E$12:$T$12)</f>
        <v>0</v>
      </c>
    </row>
    <row r="31">
      <c r="B31" s="36" t="inlineStr">
        <is>
          <t>Net-to-gross efficiency</t>
        </is>
      </c>
      <c r="C31" s="117" t="inlineStr">
        <is>
          <t>%</t>
        </is>
      </c>
      <c r="E31" s="150">
        <f>EFF_RES</f>
        <v>0.8</v>
      </c>
      <c r="F31" s="150">
        <f>EFF_RET</f>
        <v>0.85</v>
      </c>
      <c r="G31" s="150">
        <f>EFF_OFF</f>
        <v>0.82</v>
      </c>
      <c r="H31" s="150">
        <f>EFF_PAR</f>
        <v>0</v>
      </c>
      <c r="I31" s="150">
        <f>EFF_OTH</f>
        <v>0</v>
      </c>
    </row>
    <row r="32">
      <c r="B32" s="36" t="inlineStr">
        <is>
          <t>Net saleable / lettable area</t>
        </is>
      </c>
      <c r="C32" s="117" t="inlineStr">
        <is>
          <t>m²</t>
        </is>
      </c>
      <c r="D32" s="169">
        <f>SUM(E32:I32)</f>
        <v>4465</v>
      </c>
      <c r="E32" s="173">
        <f>E30*E31</f>
        <v>3360</v>
      </c>
      <c r="F32" s="173">
        <f>F30*F31</f>
        <v>1105</v>
      </c>
      <c r="G32" s="173">
        <f>G30*G31</f>
        <v>0</v>
      </c>
      <c r="H32" s="173">
        <f>H30*H31</f>
        <v>0</v>
      </c>
      <c r="I32" s="173">
        <f>I30*I31</f>
        <v>0</v>
      </c>
    </row>
    <row r="33">
      <c r="B33" s="36" t="inlineStr">
        <is>
          <t>Share sold (IAS 2)</t>
        </is>
      </c>
      <c r="C33" s="117" t="inlineStr">
        <is>
          <t>%</t>
        </is>
      </c>
      <c r="E33" s="154">
        <f>CHOOSE(PROJECT_MODE+1,0,1-OWNUSE_PCT,0,SOLD_RES)</f>
        <v>1</v>
      </c>
      <c r="F33" s="154">
        <f>CHOOSE(PROJECT_MODE+1,0,1-OWNUSE_PCT,0,SOLD_RET)</f>
        <v>0</v>
      </c>
      <c r="G33" s="154">
        <f>CHOOSE(PROJECT_MODE+1,0,1-OWNUSE_PCT,0,SOLD_OFF)</f>
        <v>0</v>
      </c>
      <c r="H33" s="154">
        <f>CHOOSE(PROJECT_MODE+1,0,1-OWNUSE_PCT,0,SOLD_PAR)</f>
        <v>0</v>
      </c>
      <c r="I33" s="154">
        <f>CHOOSE(PROJECT_MODE+1,0,1-OWNUSE_PCT,0,SOLD_OTH)</f>
        <v>0</v>
      </c>
    </row>
    <row r="34">
      <c r="B34" s="36" t="inlineStr">
        <is>
          <t>Share owner-occupied (IAS 16)</t>
        </is>
      </c>
      <c r="C34" s="117" t="inlineStr">
        <is>
          <t>%</t>
        </is>
      </c>
      <c r="E34" s="154">
        <f>CHOOSE(PROJECT_MODE+1,1-HOME_RENT_SH,OWNUSE_PCT,OWNUSE_PCT,OWNUSE_PCT*(1-E33))</f>
        <v>0</v>
      </c>
      <c r="F34" s="154">
        <f>CHOOSE(PROJECT_MODE+1,1-HOME_RENT_SH,OWNUSE_PCT,OWNUSE_PCT,OWNUSE_PCT*(1-F33))</f>
        <v>0</v>
      </c>
      <c r="G34" s="154">
        <f>CHOOSE(PROJECT_MODE+1,1-HOME_RENT_SH,OWNUSE_PCT,OWNUSE_PCT,OWNUSE_PCT*(1-G33))</f>
        <v>0</v>
      </c>
      <c r="H34" s="154">
        <f>CHOOSE(PROJECT_MODE+1,1-HOME_RENT_SH,OWNUSE_PCT,OWNUSE_PCT,OWNUSE_PCT*(1-H33))</f>
        <v>0</v>
      </c>
      <c r="I34" s="154">
        <f>CHOOSE(PROJECT_MODE+1,1-HOME_RENT_SH,OWNUSE_PCT,OWNUSE_PCT,OWNUSE_PCT*(1-I33))</f>
        <v>0</v>
      </c>
    </row>
    <row r="35">
      <c r="B35" s="36" t="inlineStr">
        <is>
          <t>Share let (IAS 40)</t>
        </is>
      </c>
      <c r="C35" s="117" t="inlineStr">
        <is>
          <t>%</t>
        </is>
      </c>
      <c r="E35" s="154">
        <f>1-E33-E34</f>
        <v>0</v>
      </c>
      <c r="F35" s="154">
        <f>1-F33-F34</f>
        <v>1</v>
      </c>
      <c r="G35" s="154">
        <f>1-G33-G34</f>
        <v>1</v>
      </c>
      <c r="H35" s="154">
        <f>1-H33-H34</f>
        <v>1</v>
      </c>
      <c r="I35" s="154">
        <f>1-I33-I34</f>
        <v>1</v>
      </c>
    </row>
    <row r="36">
      <c r="B36" s="36" t="inlineStr">
        <is>
          <t>Saleable area</t>
        </is>
      </c>
      <c r="C36" s="117" t="inlineStr">
        <is>
          <t>m²</t>
        </is>
      </c>
      <c r="D36" s="169">
        <f>SUM(E36:I36)</f>
        <v>3360</v>
      </c>
      <c r="E36" s="173">
        <f>E32*E33</f>
        <v>3360</v>
      </c>
      <c r="F36" s="173">
        <f>F32*F33</f>
        <v>0</v>
      </c>
      <c r="G36" s="173">
        <f>G32*G33</f>
        <v>0</v>
      </c>
      <c r="H36" s="173">
        <f>H32*H33</f>
        <v>0</v>
      </c>
      <c r="I36" s="173">
        <f>I32*I33</f>
        <v>0</v>
      </c>
    </row>
    <row r="37">
      <c r="B37" s="36" t="inlineStr">
        <is>
          <t>Lettable area</t>
        </is>
      </c>
      <c r="C37" s="117" t="inlineStr">
        <is>
          <t>m²</t>
        </is>
      </c>
      <c r="D37" s="169">
        <f>SUM(E37:I37)</f>
        <v>1105</v>
      </c>
      <c r="E37" s="173">
        <f>E32*E35</f>
        <v>0</v>
      </c>
      <c r="F37" s="173">
        <f>F32*F35</f>
        <v>1105</v>
      </c>
      <c r="G37" s="173">
        <f>G32*G35</f>
        <v>0</v>
      </c>
      <c r="H37" s="173">
        <f>H32*H35</f>
        <v>0</v>
      </c>
      <c r="I37" s="173">
        <f>I32*I35</f>
        <v>0</v>
      </c>
    </row>
    <row r="38">
      <c r="B38" s="36" t="inlineStr">
        <is>
          <t>Owner-occupied area</t>
        </is>
      </c>
      <c r="C38" s="117" t="inlineStr">
        <is>
          <t>m²</t>
        </is>
      </c>
      <c r="D38" s="169">
        <f>SUM(E38:I38)</f>
        <v>0</v>
      </c>
      <c r="E38" s="173">
        <f>E32*E34</f>
        <v>0</v>
      </c>
      <c r="F38" s="173">
        <f>F32*F34</f>
        <v>0</v>
      </c>
      <c r="G38" s="173">
        <f>G32*G34</f>
        <v>0</v>
      </c>
      <c r="H38" s="173">
        <f>H32*H34</f>
        <v>0</v>
      </c>
      <c r="I38" s="173">
        <f>I32*I34</f>
        <v>0</v>
      </c>
    </row>
    <row r="39">
      <c r="B39" s="36" t="inlineStr">
        <is>
          <t>Sale price (today)</t>
        </is>
      </c>
      <c r="C39" s="117" t="inlineStr">
        <is>
          <t>ETB/m²</t>
        </is>
      </c>
      <c r="E39" s="170">
        <f>PRICE_RES</f>
        <v>125000</v>
      </c>
      <c r="F39" s="170">
        <f>PRICE_RET</f>
        <v>180000</v>
      </c>
      <c r="G39" s="170">
        <f>PRICE_OFF</f>
        <v>110000</v>
      </c>
      <c r="H39" s="170">
        <f>PRICE_PAR</f>
        <v>0</v>
      </c>
      <c r="I39" s="170">
        <f>PRICE_OTH</f>
        <v>0</v>
      </c>
    </row>
    <row r="40">
      <c r="B40" s="36" t="inlineStr">
        <is>
          <t>Rent (today)</t>
        </is>
      </c>
      <c r="C40" s="117" t="inlineStr">
        <is>
          <t>ETB/m²/mo</t>
        </is>
      </c>
      <c r="E40" s="170">
        <f>RENT_RES</f>
        <v>650</v>
      </c>
      <c r="F40" s="170">
        <f>RENT_RET</f>
        <v>2000</v>
      </c>
      <c r="G40" s="170">
        <f>RENT_OFF</f>
        <v>900</v>
      </c>
      <c r="H40" s="170">
        <f>RENT_PAR</f>
        <v>0</v>
      </c>
      <c r="I40" s="170">
        <f>RENT_OTH</f>
        <v>0</v>
      </c>
    </row>
    <row r="41">
      <c r="B41" s="36" t="inlineStr">
        <is>
          <t>Sales value (today's prices)</t>
        </is>
      </c>
      <c r="C41" s="117" t="inlineStr">
        <is>
          <t>ETB</t>
        </is>
      </c>
      <c r="D41" s="169">
        <f>SUM(E41:I41)</f>
        <v>420000000</v>
      </c>
      <c r="E41" s="173">
        <f>E36*E39</f>
        <v>420000000</v>
      </c>
      <c r="F41" s="173">
        <f>F36*F39</f>
        <v>0</v>
      </c>
      <c r="G41" s="173">
        <f>G36*G39</f>
        <v>0</v>
      </c>
      <c r="H41" s="173">
        <f>H36*H39</f>
        <v>0</v>
      </c>
      <c r="I41" s="173">
        <f>I36*I39</f>
        <v>0</v>
      </c>
    </row>
    <row r="42">
      <c r="B42" s="36" t="inlineStr">
        <is>
          <t>Potential rent p.a. (today's prices)</t>
        </is>
      </c>
      <c r="C42" s="117" t="inlineStr">
        <is>
          <t>ETB</t>
        </is>
      </c>
      <c r="D42" s="169">
        <f>SUM(E42:I42)</f>
        <v>26520000</v>
      </c>
      <c r="E42" s="173">
        <f>E37*E40*12</f>
        <v>0</v>
      </c>
      <c r="F42" s="173">
        <f>F37*F40*12</f>
        <v>26520000</v>
      </c>
      <c r="G42" s="173">
        <f>G37*G40*12</f>
        <v>0</v>
      </c>
      <c r="H42" s="173">
        <f>H37*H40*12</f>
        <v>0</v>
      </c>
      <c r="I42" s="173">
        <f>I37*I40*12</f>
        <v>0</v>
      </c>
    </row>
    <row r="44" ht="20" customHeight="1">
      <c r="B44" s="113" t="inlineStr">
        <is>
          <t>Area totals and allocation shares</t>
        </is>
      </c>
      <c r="C44" s="37" t="inlineStr">
        <is>
          <t>ጠቅላላ ስፋትና የወጪ ድልድል</t>
        </is>
      </c>
      <c r="D44" s="115" t="n"/>
      <c r="E44" s="115" t="n"/>
      <c r="F44" s="115" t="n"/>
      <c r="G44" s="115" t="n"/>
      <c r="H44" s="115" t="n"/>
      <c r="I44" s="115" t="n"/>
      <c r="J44" s="115" t="n"/>
    </row>
    <row r="45">
      <c r="B45" s="36" t="inlineStr">
        <is>
          <t>Net area (all uses)</t>
        </is>
      </c>
      <c r="C45" s="117" t="inlineStr">
        <is>
          <t>m²</t>
        </is>
      </c>
      <c r="D45" s="173">
        <f>$D$32</f>
        <v>4465</v>
      </c>
    </row>
    <row r="46">
      <c r="B46" s="36" t="inlineStr">
        <is>
          <t>Mode 0: share of house rented out</t>
        </is>
      </c>
      <c r="C46" s="117" t="inlineStr">
        <is>
          <t>%</t>
        </is>
      </c>
      <c r="D46" s="154">
        <f>IF(AND(RENT_HOME_F=1,NET_AREA&gt;0),MIN(1,RENT_HOME_AREA/NET_AREA),0)</f>
        <v>0</v>
      </c>
    </row>
    <row r="47">
      <c r="B47" s="36" t="inlineStr">
        <is>
          <t>Saleable area</t>
        </is>
      </c>
      <c r="C47" s="117" t="inlineStr">
        <is>
          <t>m²</t>
        </is>
      </c>
      <c r="D47" s="172">
        <f>$D$36</f>
        <v>3360</v>
      </c>
    </row>
    <row r="48">
      <c r="B48" s="36" t="inlineStr">
        <is>
          <t>Lettable area</t>
        </is>
      </c>
      <c r="C48" s="117" t="inlineStr">
        <is>
          <t>m²</t>
        </is>
      </c>
      <c r="D48" s="172">
        <f>$D$37</f>
        <v>1105</v>
      </c>
    </row>
    <row r="49">
      <c r="B49" s="36" t="inlineStr">
        <is>
          <t>Owner-occupied area</t>
        </is>
      </c>
      <c r="C49" s="117" t="inlineStr">
        <is>
          <t>m²</t>
        </is>
      </c>
      <c r="D49" s="173">
        <f>$D$38</f>
        <v>0</v>
      </c>
    </row>
    <row r="50">
      <c r="B50" s="36" t="inlineStr">
        <is>
          <t>Cost share → inventory (IAS 2)</t>
        </is>
      </c>
      <c r="C50" s="117" t="inlineStr">
        <is>
          <t>%</t>
        </is>
      </c>
      <c r="D50" s="154">
        <f>IF(NET_AREA&gt;0,SALE_AREA/NET_AREA,0)</f>
        <v>0.752519596864502</v>
      </c>
    </row>
    <row r="51">
      <c r="B51" s="36" t="inlineStr">
        <is>
          <t>Cost share → investment property (IAS 40)</t>
        </is>
      </c>
      <c r="C51" s="117" t="inlineStr">
        <is>
          <t>%</t>
        </is>
      </c>
      <c r="D51" s="154">
        <f>IF(NET_AREA&gt;0,LET_AREA/NET_AREA,0)</f>
        <v>0.247480403135498</v>
      </c>
    </row>
    <row r="52">
      <c r="B52" s="36" t="inlineStr">
        <is>
          <t>Cost share → owner-occupied PPE (IAS 16)</t>
        </is>
      </c>
      <c r="C52" s="117" t="inlineStr">
        <is>
          <t>%</t>
        </is>
      </c>
      <c r="D52" s="154">
        <f>IF(NET_AREA&gt;0,OWN_AREA/NET_AREA,1)</f>
        <v>0</v>
      </c>
    </row>
    <row r="53">
      <c r="B53" s="36" t="inlineStr">
        <is>
          <t>Cost share retained (IAS 40 + IAS 16)</t>
        </is>
      </c>
      <c r="C53" s="117" t="inlineStr">
        <is>
          <t>%</t>
        </is>
      </c>
      <c r="D53" s="154">
        <f>IP_SH+PPE_SH</f>
        <v>0.247480403135498</v>
      </c>
    </row>
    <row r="54">
      <c r="B54" s="36" t="inlineStr">
        <is>
          <t>Sales value at today's prices</t>
        </is>
      </c>
      <c r="C54" s="117" t="inlineStr">
        <is>
          <t>ETB</t>
        </is>
      </c>
      <c r="D54" s="173">
        <f>$D$41</f>
        <v>420000000</v>
      </c>
    </row>
    <row r="55">
      <c r="B55" s="36" t="inlineStr">
        <is>
          <t>Blended sale price (today, after scenario &amp; flex)</t>
        </is>
      </c>
      <c r="C55" s="117" t="inlineStr">
        <is>
          <t>ETB/m²</t>
        </is>
      </c>
      <c r="D55" s="173">
        <f>IF(SALE_AREA&gt;0,SALEVAL_TODAY/SALE_AREA,0)*D_PRICE_F</f>
        <v>125000</v>
      </c>
    </row>
    <row r="56">
      <c r="B56" s="36" t="inlineStr">
        <is>
          <t>Potential rent p.a. (today's prices, before scenario)</t>
        </is>
      </c>
      <c r="C56" s="117" t="inlineStr">
        <is>
          <t>ETB</t>
        </is>
      </c>
      <c r="D56" s="173">
        <f>IF(PROJECT_MODE=0,IF(RENT_HOME_F=1,RENT_HOME_MONTHLY*12,0),$D$42)</f>
        <v>26520000</v>
      </c>
    </row>
    <row r="57">
      <c r="B57" s="36" t="inlineStr">
        <is>
          <t>Area reconciliation difference (uses vs floors)</t>
        </is>
      </c>
      <c r="C57" s="117" t="inlineStr">
        <is>
          <t>m²</t>
        </is>
      </c>
      <c r="D57" s="173">
        <f>$D$30-GFA</f>
        <v>0</v>
      </c>
    </row>
    <row r="58">
      <c r="B58" s="36" t="inlineStr">
        <is>
          <t>Share reconciliation (should be 100%)</t>
        </is>
      </c>
      <c r="C58" s="117" t="inlineStr">
        <is>
          <t>%</t>
        </is>
      </c>
      <c r="D58" s="154">
        <f>INV_SH+IP_SH+PPE_SH</f>
        <v>1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L93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8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</cols>
  <sheetData>
    <row r="1" ht="30" customHeight="1">
      <c r="A1" s="1" t="n"/>
      <c r="B1" s="2" t="inlineStr">
        <is>
          <t>22 · Capex – elemental BOQ, soft costs, land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str">
        <f>HYPERLINK("#'00_Start'!A1","◂ Start")</f>
        <v>◂ Start</v>
      </c>
    </row>
    <row r="2" ht="20" customHeight="1">
      <c r="A2" s="1" t="n"/>
      <c r="B2" s="4" t="inlineStr">
        <is>
          <t>የካፒታል ወጪ – የግንባታ ዝርዝር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10" ht="20" customHeight="1">
      <c r="B10" s="113" t="inlineStr">
        <is>
          <t>Cost drivers</t>
        </is>
      </c>
      <c r="C10" s="37" t="inlineStr">
        <is>
          <t>የወጪ መወሰኛዎች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36" t="inlineStr">
        <is>
          <t>Finish level (1 Basic · 2 Standard · 3 Premium)</t>
        </is>
      </c>
      <c r="C11" s="117" t="inlineStr">
        <is>
          <t>code</t>
        </is>
      </c>
      <c r="D11" s="174">
        <f>FINISH</f>
        <v>2</v>
      </c>
    </row>
    <row r="12">
      <c r="B12" s="36" t="inlineStr">
        <is>
          <t>Location factor</t>
        </is>
      </c>
      <c r="C12" s="117" t="inlineStr">
        <is>
          <t>x</t>
        </is>
      </c>
      <c r="D12" s="149">
        <f>IF(LOC_TYPE=1,LOCF_ADDIS,LOCF_REG)</f>
        <v>1</v>
      </c>
    </row>
    <row r="13">
      <c r="B13" s="36" t="inlineStr">
        <is>
          <t>Storey factor (superstructure)</t>
        </is>
      </c>
      <c r="C13" s="117" t="inlineStr">
        <is>
          <t>x</t>
        </is>
      </c>
      <c r="D13" s="149">
        <f>1+STOREY_UPLIFT*MAX(0,N_ABOVE-4)</f>
        <v>1.1</v>
      </c>
    </row>
    <row r="14">
      <c r="B14" s="36" t="inlineStr">
        <is>
          <t>Construction cost factor (scenario × flex)</t>
        </is>
      </c>
      <c r="C14" s="117" t="inlineStr">
        <is>
          <t>x</t>
        </is>
      </c>
      <c r="D14" s="151">
        <f>D_COST_F</f>
        <v>1</v>
      </c>
    </row>
    <row r="16" ht="20" customHeight="1">
      <c r="B16" s="113" t="inlineStr">
        <is>
          <t>Elemental cost plan (budget-date prices)</t>
        </is>
      </c>
      <c r="C16" s="37" t="inlineStr">
        <is>
          <t>የግንባታ ወጪ ዝርዝር (በበጀት ቀን ዋጋ)</t>
        </is>
      </c>
      <c r="D16" s="115" t="n"/>
      <c r="E16" s="115" t="n"/>
      <c r="F16" s="115" t="n"/>
      <c r="G16" s="115" t="n"/>
      <c r="H16" s="115" t="n"/>
      <c r="I16" s="115" t="n"/>
      <c r="J16" s="115" t="n"/>
    </row>
    <row r="17">
      <c r="B17" s="175" t="inlineStr">
        <is>
          <t>Element</t>
        </is>
      </c>
      <c r="C17" s="175" t="inlineStr">
        <is>
          <t>Unit</t>
        </is>
      </c>
      <c r="D17" s="176" t="inlineStr">
        <is>
          <t>Budget (ETB)</t>
        </is>
      </c>
      <c r="E17" s="176" t="inlineStr">
        <is>
          <t>Library rate</t>
        </is>
      </c>
      <c r="F17" s="176" t="inlineStr">
        <is>
          <t>Location</t>
        </is>
      </c>
      <c r="G17" s="176" t="inlineStr">
        <is>
          <t>Storey</t>
        </is>
      </c>
      <c r="H17" s="176" t="inlineStr">
        <is>
          <t>Area m²</t>
        </is>
      </c>
      <c r="I17" s="176" t="inlineStr">
        <is>
          <t>Rate × area</t>
        </is>
      </c>
      <c r="J17" s="176" t="inlineStr">
        <is>
          <t>Method</t>
        </is>
      </c>
      <c r="K17" s="176" t="inlineStr">
        <is>
          <t>Lump sum</t>
        </is>
      </c>
      <c r="L17" s="176" t="inlineStr">
        <is>
          <t>Pre-flex</t>
        </is>
      </c>
    </row>
    <row r="18">
      <c r="B18" s="36" t="inlineStr">
        <is>
          <t>Preliminaries  ·  ቅድመ-ሥራዎች</t>
        </is>
      </c>
      <c r="C18" s="117" t="inlineStr">
        <is>
          <t>ETB</t>
        </is>
      </c>
      <c r="D18" s="172">
        <f>L18*D_COST_F</f>
        <v>10240000</v>
      </c>
      <c r="E18" s="173">
        <f>INDEX(RATE_LIB,1,FIN_IX)</f>
        <v>1600</v>
      </c>
      <c r="F18" s="151">
        <f>LOCF</f>
        <v>1</v>
      </c>
      <c r="G18" s="149" t="n">
        <v>1</v>
      </c>
      <c r="H18" s="170">
        <f>GFA</f>
        <v>6400</v>
      </c>
      <c r="I18" s="173">
        <f>E18*F18*G18*H18</f>
        <v>10240000</v>
      </c>
      <c r="J18" s="174">
        <f>METH_PRELIM</f>
        <v>1</v>
      </c>
      <c r="K18" s="170">
        <f>LUMP_PRELIM</f>
        <v>0</v>
      </c>
      <c r="L18" s="173">
        <f>IF(J18=2,K18,I18)</f>
        <v>10240000</v>
      </c>
    </row>
    <row r="19">
      <c r="B19" s="36" t="inlineStr">
        <is>
          <t>Substructure  ·  የመሠረት ሥራ</t>
        </is>
      </c>
      <c r="C19" s="117" t="inlineStr">
        <is>
          <t>ETB</t>
        </is>
      </c>
      <c r="D19" s="172">
        <f>L19*D_COST_F</f>
        <v>24320000</v>
      </c>
      <c r="E19" s="173">
        <f>INDEX(RATE_LIB,2,FIN_IX)</f>
        <v>3800</v>
      </c>
      <c r="F19" s="151">
        <f>LOCF</f>
        <v>1</v>
      </c>
      <c r="G19" s="149" t="n">
        <v>1</v>
      </c>
      <c r="H19" s="170">
        <f>GFA</f>
        <v>6400</v>
      </c>
      <c r="I19" s="173">
        <f>E19*F19*G19*H19</f>
        <v>24320000</v>
      </c>
      <c r="J19" s="174">
        <f>METH_SUBSTR</f>
        <v>1</v>
      </c>
      <c r="K19" s="170">
        <f>LUMP_SUBSTR</f>
        <v>0</v>
      </c>
      <c r="L19" s="173">
        <f>IF(J19=2,K19,I19)</f>
        <v>24320000</v>
      </c>
    </row>
    <row r="20">
      <c r="B20" s="36" t="inlineStr">
        <is>
          <t>Superstructure (frame)  ·  ከመሬት በላይ መዋቅር (ፍሬም)</t>
        </is>
      </c>
      <c r="C20" s="117" t="inlineStr">
        <is>
          <t>ETB</t>
        </is>
      </c>
      <c r="D20" s="172">
        <f>L20*D_COST_F</f>
        <v>54912000</v>
      </c>
      <c r="E20" s="173">
        <f>INDEX(RATE_LIB,3,FIN_IX)</f>
        <v>7800</v>
      </c>
      <c r="F20" s="151">
        <f>LOCF</f>
        <v>1</v>
      </c>
      <c r="G20" s="151">
        <f>STOREY_F</f>
        <v>1.1</v>
      </c>
      <c r="H20" s="170">
        <f>GFA</f>
        <v>6400</v>
      </c>
      <c r="I20" s="173">
        <f>E20*F20*G20*H20</f>
        <v>54912000</v>
      </c>
      <c r="J20" s="174">
        <f>METH_SUPER</f>
        <v>1</v>
      </c>
      <c r="K20" s="170">
        <f>LUMP_SUPER</f>
        <v>0</v>
      </c>
      <c r="L20" s="173">
        <f>IF(J20=2,K20,I20)</f>
        <v>54912000</v>
      </c>
    </row>
    <row r="21">
      <c r="B21" s="36" t="inlineStr">
        <is>
          <t>Envelope (walls, windows, roof)  ·  ግድግዳ፣ መስኮትና ጣሪያ</t>
        </is>
      </c>
      <c r="C21" s="117" t="inlineStr">
        <is>
          <t>ETB</t>
        </is>
      </c>
      <c r="D21" s="172">
        <f>L21*D_COST_F</f>
        <v>30720000</v>
      </c>
      <c r="E21" s="173">
        <f>INDEX(RATE_LIB,4,FIN_IX)</f>
        <v>4800</v>
      </c>
      <c r="F21" s="151">
        <f>LOCF</f>
        <v>1</v>
      </c>
      <c r="G21" s="149" t="n">
        <v>1</v>
      </c>
      <c r="H21" s="170">
        <f>GFA</f>
        <v>6400</v>
      </c>
      <c r="I21" s="173">
        <f>E21*F21*G21*H21</f>
        <v>30720000</v>
      </c>
      <c r="J21" s="174">
        <f>METH_ENVEL</f>
        <v>1</v>
      </c>
      <c r="K21" s="170">
        <f>LUMP_ENVEL</f>
        <v>0</v>
      </c>
      <c r="L21" s="173">
        <f>IF(J21=2,K21,I21)</f>
        <v>30720000</v>
      </c>
    </row>
    <row r="22">
      <c r="B22" s="36" t="inlineStr">
        <is>
          <t>Internal works (partitions, doors)  ·  የውስጥ ሥራዎች (ክፍልፋይ፣ በር)</t>
        </is>
      </c>
      <c r="C22" s="117" t="inlineStr">
        <is>
          <t>ETB</t>
        </is>
      </c>
      <c r="D22" s="172">
        <f>L22*D_COST_F</f>
        <v>15360000</v>
      </c>
      <c r="E22" s="173">
        <f>INDEX(RATE_LIB,5,FIN_IX)</f>
        <v>2400</v>
      </c>
      <c r="F22" s="151">
        <f>LOCF</f>
        <v>1</v>
      </c>
      <c r="G22" s="149" t="n">
        <v>1</v>
      </c>
      <c r="H22" s="170">
        <f>GFA</f>
        <v>6400</v>
      </c>
      <c r="I22" s="173">
        <f>E22*F22*G22*H22</f>
        <v>15360000</v>
      </c>
      <c r="J22" s="174">
        <f>METH_INTERN</f>
        <v>1</v>
      </c>
      <c r="K22" s="170">
        <f>LUMP_INTERN</f>
        <v>0</v>
      </c>
      <c r="L22" s="173">
        <f>IF(J22=2,K22,I22)</f>
        <v>15360000</v>
      </c>
    </row>
    <row r="23">
      <c r="B23" s="36" t="inlineStr">
        <is>
          <t>Finishes  ·  የማጠናቀቂያ ሥራዎች</t>
        </is>
      </c>
      <c r="C23" s="117" t="inlineStr">
        <is>
          <t>ETB</t>
        </is>
      </c>
      <c r="D23" s="172">
        <f>L23*D_COST_F</f>
        <v>35840000</v>
      </c>
      <c r="E23" s="173">
        <f>INDEX(RATE_LIB,6,FIN_IX)</f>
        <v>5600</v>
      </c>
      <c r="F23" s="151">
        <f>LOCF</f>
        <v>1</v>
      </c>
      <c r="G23" s="149" t="n">
        <v>1</v>
      </c>
      <c r="H23" s="170">
        <f>GFA</f>
        <v>6400</v>
      </c>
      <c r="I23" s="173">
        <f>E23*F23*G23*H23</f>
        <v>35840000</v>
      </c>
      <c r="J23" s="174">
        <f>METH_FINISH</f>
        <v>1</v>
      </c>
      <c r="K23" s="170">
        <f>LUMP_FINISH</f>
        <v>0</v>
      </c>
      <c r="L23" s="173">
        <f>IF(J23=2,K23,I23)</f>
        <v>35840000</v>
      </c>
    </row>
    <row r="24">
      <c r="B24" s="36" t="inlineStr">
        <is>
          <t>MEP (electrical, mechanical, plumbing)  ·  ኤሌክትሪክ፣ ሜካኒካልና ቧንቧ</t>
        </is>
      </c>
      <c r="C24" s="117" t="inlineStr">
        <is>
          <t>ETB</t>
        </is>
      </c>
      <c r="D24" s="172">
        <f>L24*D_COST_F</f>
        <v>28160000</v>
      </c>
      <c r="E24" s="173">
        <f>INDEX(RATE_LIB,7,FIN_IX)</f>
        <v>4400</v>
      </c>
      <c r="F24" s="151">
        <f>LOCF</f>
        <v>1</v>
      </c>
      <c r="G24" s="149" t="n">
        <v>1</v>
      </c>
      <c r="H24" s="170">
        <f>GFA</f>
        <v>6400</v>
      </c>
      <c r="I24" s="173">
        <f>E24*F24*G24*H24</f>
        <v>28160000</v>
      </c>
      <c r="J24" s="174">
        <f>METH_MEP</f>
        <v>1</v>
      </c>
      <c r="K24" s="170">
        <f>LUMP_MEP</f>
        <v>0</v>
      </c>
      <c r="L24" s="173">
        <f>IF(J24=2,K24,I24)</f>
        <v>28160000</v>
      </c>
    </row>
    <row r="25">
      <c r="B25" s="36" t="inlineStr">
        <is>
          <t>External works  ·  የውጭ ሥራዎች</t>
        </is>
      </c>
      <c r="C25" s="117" t="inlineStr">
        <is>
          <t>ETB</t>
        </is>
      </c>
      <c r="D25" s="172">
        <f>L25*D_COST_F</f>
        <v>7680000</v>
      </c>
      <c r="E25" s="173">
        <f>INDEX(RATE_LIB,8,FIN_IX)</f>
        <v>1200</v>
      </c>
      <c r="F25" s="151">
        <f>LOCF</f>
        <v>1</v>
      </c>
      <c r="G25" s="149" t="n">
        <v>1</v>
      </c>
      <c r="H25" s="170">
        <f>GFA</f>
        <v>6400</v>
      </c>
      <c r="I25" s="173">
        <f>E25*F25*G25*H25</f>
        <v>7680000</v>
      </c>
      <c r="J25" s="174">
        <f>METH_EXTW</f>
        <v>1</v>
      </c>
      <c r="K25" s="170">
        <f>LUMP_EXTW</f>
        <v>0</v>
      </c>
      <c r="L25" s="173">
        <f>IF(J25=2,K25,I25)</f>
        <v>7680000</v>
      </c>
    </row>
    <row r="26">
      <c r="B26" s="36" t="inlineStr">
        <is>
          <t>Specialist systems (lifts, fire, CCTV)  ·  ልዩ ሲስተሞች (ሊፍት፣ እሳት፣ ካሜራ)</t>
        </is>
      </c>
      <c r="C26" s="117" t="inlineStr">
        <is>
          <t>ETB</t>
        </is>
      </c>
      <c r="D26" s="172">
        <f>L26*D_COST_F</f>
        <v>45000000</v>
      </c>
      <c r="E26" s="173">
        <f>INDEX(RATE_LIB,9,FIN_IX)</f>
        <v>400</v>
      </c>
      <c r="F26" s="151">
        <f>LOCF</f>
        <v>1</v>
      </c>
      <c r="G26" s="149" t="n">
        <v>1</v>
      </c>
      <c r="H26" s="170">
        <f>GFA</f>
        <v>6400</v>
      </c>
      <c r="I26" s="173">
        <f>E26*F26*G26*H26</f>
        <v>2560000</v>
      </c>
      <c r="J26" s="174">
        <f>METH_SPEC</f>
        <v>2</v>
      </c>
      <c r="K26" s="170">
        <f>LUMP_SPEC</f>
        <v>45000000</v>
      </c>
      <c r="L26" s="173">
        <f>IF(J26=2,K26,I26)</f>
        <v>45000000</v>
      </c>
    </row>
    <row r="27">
      <c r="B27" s="36" t="inlineStr">
        <is>
          <t>Basement extra (excavation, retaining, waterproofing)</t>
        </is>
      </c>
      <c r="C27" s="117" t="inlineStr">
        <is>
          <t>ETB</t>
        </is>
      </c>
      <c r="D27" s="173">
        <f>GFA_BASE*BASEMENT_RATE*LOCF*D_COST_F</f>
        <v>10800000</v>
      </c>
    </row>
    <row r="28">
      <c r="B28" s="36" t="inlineStr">
        <is>
          <t>Compound wall</t>
        </is>
      </c>
      <c r="C28" s="117" t="inlineStr">
        <is>
          <t>ETB</t>
        </is>
      </c>
      <c r="D28" s="173">
        <f>COMPOUND_YN*COMPOUND_LEN*COMPOUND_RATE*D_COST_F</f>
        <v>2400000</v>
      </c>
    </row>
    <row r="29">
      <c r="B29" s="36" t="inlineStr">
        <is>
          <t>Septic tank(s)</t>
        </is>
      </c>
      <c r="C29" s="117" t="inlineStr">
        <is>
          <t>ETB</t>
        </is>
      </c>
      <c r="D29" s="173">
        <f>SEPTIC_YN*SEPTIC_QTY*SEPTIC_RATE*D_COST_F</f>
        <v>0</v>
      </c>
    </row>
    <row r="30">
      <c r="B30" s="36" t="inlineStr">
        <is>
          <t>Water tank(s)</t>
        </is>
      </c>
      <c r="C30" s="117" t="inlineStr">
        <is>
          <t>ETB</t>
        </is>
      </c>
      <c r="D30" s="173">
        <f>WTANK_YN*WTANK_QTY*WTANK_RATE*D_COST_F</f>
        <v>1000000</v>
      </c>
    </row>
    <row r="31">
      <c r="B31" s="36" t="inlineStr">
        <is>
          <t>Paving / landscaping</t>
        </is>
      </c>
      <c r="C31" s="117" t="inlineStr">
        <is>
          <t>ETB</t>
        </is>
      </c>
      <c r="D31" s="173">
        <f>EXT_M2*EXT_RATE*D_COST_F</f>
        <v>1125000</v>
      </c>
    </row>
    <row r="32">
      <c r="B32" s="36" t="inlineStr">
        <is>
          <t>HARD COST AT BUDGET-DATE PRICES</t>
        </is>
      </c>
      <c r="C32" s="117" t="inlineStr">
        <is>
          <t>ETB</t>
        </is>
      </c>
      <c r="D32" s="172">
        <f>SUM(D18:D26)+BASE_X+X_COMPOUND+X_SEPTIC+X_WTANK+X_PAVE</f>
        <v>267557000</v>
      </c>
    </row>
    <row r="34" ht="20" customHeight="1">
      <c r="B34" s="113" t="inlineStr">
        <is>
          <t>Total development cost (TDC)</t>
        </is>
      </c>
      <c r="C34" s="37" t="inlineStr">
        <is>
          <t>ጠቅላላ የልማት ወጪ</t>
        </is>
      </c>
      <c r="D34" s="115" t="n"/>
      <c r="E34" s="115" t="n"/>
      <c r="F34" s="115" t="n"/>
      <c r="G34" s="115" t="n"/>
      <c r="H34" s="115" t="n"/>
      <c r="I34" s="115" t="n"/>
      <c r="J34" s="115" t="n"/>
    </row>
    <row r="35">
      <c r="B35" s="36" t="inlineStr">
        <is>
          <t>Hard cost escalated (S-curve × escalation)</t>
        </is>
      </c>
      <c r="C35" s="117" t="inlineStr">
        <is>
          <t>ETB</t>
        </is>
      </c>
      <c r="D35" s="170">
        <f>'23_Construction'!$D$20</f>
        <v>319322348.722399</v>
      </c>
    </row>
    <row r="36">
      <c r="B36" s="36" t="inlineStr">
        <is>
          <t xml:space="preserve">  of which escalation</t>
        </is>
      </c>
      <c r="C36" s="117" t="inlineStr">
        <is>
          <t>ETB</t>
        </is>
      </c>
      <c r="D36" s="173">
        <f>HARD_ESC_TOT-HARD_BASE</f>
        <v>51765348.7223989</v>
      </c>
    </row>
    <row r="37">
      <c r="B37" s="36" t="inlineStr">
        <is>
          <t>Contingency</t>
        </is>
      </c>
      <c r="C37" s="117" t="inlineStr">
        <is>
          <t>ETB</t>
        </is>
      </c>
      <c r="D37" s="170">
        <f>'23_Construction'!$D$21</f>
        <v>25545787.8977919</v>
      </c>
    </row>
    <row r="38">
      <c r="B38" s="36" t="inlineStr">
        <is>
          <t>Design fees</t>
        </is>
      </c>
      <c r="C38" s="117" t="inlineStr">
        <is>
          <t>ETB</t>
        </is>
      </c>
      <c r="D38" s="170">
        <f>'23_Construction'!$D$22</f>
        <v>13377850</v>
      </c>
    </row>
    <row r="39">
      <c r="B39" s="36" t="inlineStr">
        <is>
          <t>Supervision</t>
        </is>
      </c>
      <c r="C39" s="117" t="inlineStr">
        <is>
          <t>ETB</t>
        </is>
      </c>
      <c r="D39" s="170">
        <f>'23_Construction'!$D$23</f>
        <v>9579670.46167197</v>
      </c>
    </row>
    <row r="40">
      <c r="B40" s="36" t="inlineStr">
        <is>
          <t>Permits &amp; fees</t>
        </is>
      </c>
      <c r="C40" s="117" t="inlineStr">
        <is>
          <t>ETB</t>
        </is>
      </c>
      <c r="D40" s="170">
        <f>'23_Construction'!$D$24</f>
        <v>2500000</v>
      </c>
    </row>
    <row r="41">
      <c r="B41" s="36" t="inlineStr">
        <is>
          <t>FF&amp;E / furniture</t>
        </is>
      </c>
      <c r="C41" s="117" t="inlineStr">
        <is>
          <t>ETB</t>
        </is>
      </c>
      <c r="D41" s="170">
        <f>'23_Construction'!$D$25</f>
        <v>6000000</v>
      </c>
    </row>
    <row r="42">
      <c r="B42" s="36" t="inlineStr">
        <is>
          <t>CONSTRUCTION COST (excl. land &amp; finance)</t>
        </is>
      </c>
      <c r="C42" s="117" t="inlineStr">
        <is>
          <t>ETB</t>
        </is>
      </c>
      <c r="D42" s="172">
        <f>HARD_ESC_TOT+CONT_TOT+DESIGN_TOT+SUPERV_TOT+PERMIT_TOT+FFE_TOT</f>
        <v>376325657.081863</v>
      </c>
    </row>
    <row r="43">
      <c r="B43" s="36" t="inlineStr">
        <is>
          <t>Land</t>
        </is>
      </c>
      <c r="C43" s="117" t="inlineStr">
        <is>
          <t>ETB</t>
        </is>
      </c>
      <c r="D43" s="170">
        <f>'23_Construction'!$D$26</f>
        <v>150000000</v>
      </c>
    </row>
    <row r="44">
      <c r="B44" s="36" t="inlineStr">
        <is>
          <t>Arrangement fee (IAS 23)</t>
        </is>
      </c>
      <c r="C44" s="117" t="inlineStr">
        <is>
          <t>ETB</t>
        </is>
      </c>
      <c r="D44" s="170">
        <f>'23_Construction'!$D$27</f>
        <v>3979766.10275405</v>
      </c>
    </row>
    <row r="45">
      <c r="B45" s="36" t="inlineStr">
        <is>
          <t>Commitment fees (IAS 23)</t>
        </is>
      </c>
      <c r="C45" s="117" t="inlineStr">
        <is>
          <t>ETB</t>
        </is>
      </c>
      <c r="D45" s="170">
        <f>'23_Construction'!$D$28</f>
        <v>2819326.27389384</v>
      </c>
    </row>
    <row r="46">
      <c r="B46" s="36" t="inlineStr">
        <is>
          <t>Interest during construction – capitalised (IAS 23)</t>
        </is>
      </c>
      <c r="C46" s="117" t="inlineStr">
        <is>
          <t>ETB</t>
        </is>
      </c>
      <c r="D46" s="170">
        <f>'23_Construction'!$D$29</f>
        <v>17535681.8706267</v>
      </c>
    </row>
    <row r="47">
      <c r="B47" s="36" t="inlineStr">
        <is>
          <t>Finance costs capitalised</t>
        </is>
      </c>
      <c r="C47" s="117" t="inlineStr">
        <is>
          <t>ETB</t>
        </is>
      </c>
      <c r="D47" s="173">
        <f>ARR_TOT+COMMIT_TOT+IDC_TOT</f>
        <v>24334774.2472746</v>
      </c>
    </row>
    <row r="48">
      <c r="B48" s="36" t="inlineStr">
        <is>
          <t>TOTAL DEVELOPMENT COST (TDC)</t>
        </is>
      </c>
      <c r="C48" s="117" t="inlineStr">
        <is>
          <t>ETB</t>
        </is>
      </c>
      <c r="D48" s="172">
        <f>CONSTR_COST+LAND_TOT+FIN_CAP</f>
        <v>550660431.329137</v>
      </c>
    </row>
    <row r="49">
      <c r="B49" s="36" t="inlineStr">
        <is>
          <t>Check: TDC vs monthly capex accrual</t>
        </is>
      </c>
      <c r="C49" s="117" t="inlineStr">
        <is>
          <t>ETB</t>
        </is>
      </c>
      <c r="D49" s="173">
        <f>TDC-'23_Construction'!$D$30</f>
        <v>0</v>
      </c>
    </row>
    <row r="50">
      <c r="B50" s="36" t="inlineStr">
        <is>
          <t>TDC per gross m²</t>
        </is>
      </c>
      <c r="C50" s="117" t="inlineStr">
        <is>
          <t>ETB/m²</t>
        </is>
      </c>
      <c r="D50" s="173">
        <f>IF(GFA&gt;0,TDC/GFA,0)</f>
        <v>86040.6923951777</v>
      </c>
    </row>
    <row r="51">
      <c r="B51" s="36" t="inlineStr">
        <is>
          <t>TDC per net m²</t>
        </is>
      </c>
      <c r="C51" s="117" t="inlineStr">
        <is>
          <t>ETB/m²</t>
        </is>
      </c>
      <c r="D51" s="173">
        <f>IF(NET_AREA&gt;0,TDC/NET_AREA,0)</f>
        <v>123328.20410507</v>
      </c>
    </row>
    <row r="52">
      <c r="B52" s="36" t="inlineStr">
        <is>
          <t>Construction cost per gross m²</t>
        </is>
      </c>
      <c r="C52" s="117" t="inlineStr">
        <is>
          <t>ETB/m²</t>
        </is>
      </c>
      <c r="D52" s="173">
        <f>IF(GFA&gt;0,CONSTR_COST/GFA,0)</f>
        <v>58800.8839190411</v>
      </c>
    </row>
    <row r="53">
      <c r="B53" s="36" t="inlineStr">
        <is>
          <t>Memo: TDC in USD</t>
        </is>
      </c>
      <c r="C53" s="117" t="inlineStr">
        <is>
          <t>USD</t>
        </is>
      </c>
      <c r="D53" s="173">
        <f>IF(FX_USD&gt;0,TDC/FX_USD,0)</f>
        <v>3552647.94405895</v>
      </c>
    </row>
    <row r="55" ht="20" customHeight="1">
      <c r="B55" s="113" t="inlineStr">
        <is>
          <t>Allocation of TDC (IAS 2 / IAS 40 / IAS 16)</t>
        </is>
      </c>
      <c r="C55" s="37" t="inlineStr">
        <is>
          <t>የወጪ ድልድል</t>
        </is>
      </c>
      <c r="D55" s="115" t="n"/>
      <c r="E55" s="115" t="n"/>
      <c r="F55" s="115" t="n"/>
      <c r="G55" s="115" t="n"/>
      <c r="H55" s="115" t="n"/>
      <c r="I55" s="115" t="n"/>
      <c r="J55" s="115" t="n"/>
    </row>
    <row r="56">
      <c r="B56" s="36" t="inlineStr">
        <is>
          <t>Inventory – units for sale (IAS 2)</t>
        </is>
      </c>
      <c r="C56" s="117" t="inlineStr">
        <is>
          <t>ETB</t>
        </is>
      </c>
      <c r="D56" s="173">
        <f>TDC*INV_SH</f>
        <v>414382765.793035</v>
      </c>
    </row>
    <row r="57">
      <c r="B57" s="36" t="inlineStr">
        <is>
          <t>Investment property – let (IAS 40, cost model)</t>
        </is>
      </c>
      <c r="C57" s="117" t="inlineStr">
        <is>
          <t>ETB</t>
        </is>
      </c>
      <c r="D57" s="173">
        <f>TDC*IP_SH</f>
        <v>136277665.536102</v>
      </c>
    </row>
    <row r="58">
      <c r="B58" s="36" t="inlineStr">
        <is>
          <t>Owner-occupied (IAS 16)</t>
        </is>
      </c>
      <c r="C58" s="117" t="inlineStr">
        <is>
          <t>ETB</t>
        </is>
      </c>
      <c r="D58" s="173">
        <f>TDC*PPE_SH</f>
        <v>0</v>
      </c>
    </row>
    <row r="59">
      <c r="B59" s="36" t="inlineStr">
        <is>
          <t>Allocation difference (should be 0)</t>
        </is>
      </c>
      <c r="C59" s="117" t="inlineStr">
        <is>
          <t>ETB</t>
        </is>
      </c>
      <c r="D59" s="173">
        <f>TDC-TDC_INV-TDC_IP-TDC_PPE</f>
        <v>0</v>
      </c>
    </row>
    <row r="61" ht="20" customHeight="1">
      <c r="B61" s="113" t="inlineStr">
        <is>
          <t>Depreciation components of retained assets</t>
        </is>
      </c>
      <c r="C61" s="37" t="inlineStr">
        <is>
          <t>የእርጅና ቅናሽ ክፍሎች</t>
        </is>
      </c>
      <c r="D61" s="115" t="n"/>
      <c r="E61" s="115" t="n"/>
      <c r="F61" s="115" t="n"/>
      <c r="G61" s="115" t="n"/>
      <c r="H61" s="115" t="n"/>
      <c r="I61" s="115" t="n"/>
      <c r="J61" s="115" t="n"/>
    </row>
    <row r="62">
      <c r="B62" s="36" t="inlineStr">
        <is>
          <t>Land fraction of TDC</t>
        </is>
      </c>
      <c r="C62" s="117" t="inlineStr">
        <is>
          <t>%</t>
        </is>
      </c>
      <c r="D62" s="154">
        <f>IF(TDC&gt;0,LAND_TOT/TDC,0)</f>
        <v>0.27240017888691</v>
      </c>
    </row>
    <row r="63">
      <c r="B63" s="36" t="inlineStr">
        <is>
          <t>FF&amp;E fraction of TDC</t>
        </is>
      </c>
      <c r="C63" s="117" t="inlineStr">
        <is>
          <t>%</t>
        </is>
      </c>
      <c r="D63" s="154">
        <f>IF(TDC&gt;0,FFE_TOT/TDC,0)</f>
        <v>0.0108960071554764</v>
      </c>
    </row>
    <row r="64">
      <c r="B64" s="36" t="inlineStr">
        <is>
          <t>Systems share of hard cost (MEP + specialist)</t>
        </is>
      </c>
      <c r="C64" s="117" t="inlineStr">
        <is>
          <t>%</t>
        </is>
      </c>
      <c r="D64" s="154">
        <f>IF(HARD_BASE&gt;0,(EL_MEP+EL_SPEC)/HARD_BASE,0)</f>
        <v>0.273437062009217</v>
      </c>
    </row>
    <row r="65">
      <c r="B65" s="36" t="inlineStr">
        <is>
          <t>Systems fraction of TDC</t>
        </is>
      </c>
      <c r="C65" s="117" t="inlineStr">
        <is>
          <t>%</t>
        </is>
      </c>
      <c r="D65" s="154">
        <f>(1-LAND_FR-FFE_FR)*SYS_SH</f>
        <v>0.19597338521937</v>
      </c>
    </row>
    <row r="66">
      <c r="B66" s="36" t="inlineStr">
        <is>
          <t>Structure fraction of TDC</t>
        </is>
      </c>
      <c r="C66" s="117" t="inlineStr">
        <is>
          <t>%</t>
        </is>
      </c>
      <c r="D66" s="154">
        <f>1-LAND_FR-FFE_FR-SYS_FR</f>
        <v>0.520730428738244</v>
      </c>
    </row>
    <row r="67">
      <c r="B67" s="36" t="inlineStr">
        <is>
          <t>Retained cost (IAS 40 + IAS 16)</t>
        </is>
      </c>
      <c r="C67" s="117" t="inlineStr">
        <is>
          <t>ETB</t>
        </is>
      </c>
      <c r="D67" s="173">
        <f>TDC*RET_SH</f>
        <v>136277665.536102</v>
      </c>
    </row>
    <row r="68">
      <c r="B68" s="36" t="inlineStr">
        <is>
          <t>Depreciable base – structure</t>
        </is>
      </c>
      <c r="C68" s="117" t="inlineStr">
        <is>
          <t>ETB</t>
        </is>
      </c>
      <c r="D68" s="173">
        <f>RET_COST*STR_FR</f>
        <v>70963927.2020615</v>
      </c>
    </row>
    <row r="69">
      <c r="B69" s="36" t="inlineStr">
        <is>
          <t>Depreciable base – systems</t>
        </is>
      </c>
      <c r="C69" s="117" t="inlineStr">
        <is>
          <t>ETB</t>
        </is>
      </c>
      <c r="D69" s="173">
        <f>RET_COST*SYS_FR</f>
        <v>26706795.4449031</v>
      </c>
    </row>
    <row r="70">
      <c r="B70" s="36" t="inlineStr">
        <is>
          <t>Depreciable base – FF&amp;E</t>
        </is>
      </c>
      <c r="C70" s="117" t="inlineStr">
        <is>
          <t>ETB</t>
        </is>
      </c>
      <c r="D70" s="173">
        <f>RET_COST*FFE_FR</f>
        <v>1484882.41881299</v>
      </c>
    </row>
    <row r="71">
      <c r="B71" s="36" t="inlineStr">
        <is>
          <t>Land (not depreciated)</t>
        </is>
      </c>
      <c r="C71" s="117" t="inlineStr">
        <is>
          <t>ETB</t>
        </is>
      </c>
      <c r="D71" s="173">
        <f>RET_COST*LAND_FR</f>
        <v>37122060.4703248</v>
      </c>
    </row>
    <row r="73" ht="20" customHeight="1">
      <c r="B73" s="113" t="inlineStr">
        <is>
          <t>Cost breakdown for charts (sums to TDC)</t>
        </is>
      </c>
      <c r="C73" s="37" t="inlineStr">
        <is>
          <t>የወጪ ክፍፍል</t>
        </is>
      </c>
      <c r="D73" s="115" t="n"/>
      <c r="E73" s="115" t="n"/>
      <c r="F73" s="115" t="n"/>
      <c r="G73" s="115" t="n"/>
      <c r="H73" s="115" t="n"/>
      <c r="I73" s="115" t="n"/>
      <c r="J73" s="115" t="n"/>
    </row>
    <row r="74">
      <c r="B74" s="36" t="inlineStr">
        <is>
          <t>Substructure &amp; basement</t>
        </is>
      </c>
      <c r="C74" s="117" t="inlineStr">
        <is>
          <t>ETB</t>
        </is>
      </c>
      <c r="D74" s="173">
        <f>EL_SUBSTR+BASE_X</f>
        <v>35120000</v>
      </c>
    </row>
    <row r="75">
      <c r="B75" s="36" t="inlineStr">
        <is>
          <t>Frame &amp; envelope</t>
        </is>
      </c>
      <c r="C75" s="117" t="inlineStr">
        <is>
          <t>ETB</t>
        </is>
      </c>
      <c r="D75" s="173">
        <f>EL_SUPER+EL_ENVEL</f>
        <v>85632000</v>
      </c>
    </row>
    <row r="76">
      <c r="B76" s="36" t="inlineStr">
        <is>
          <t>Internal works &amp; finishes</t>
        </is>
      </c>
      <c r="C76" s="117" t="inlineStr">
        <is>
          <t>ETB</t>
        </is>
      </c>
      <c r="D76" s="173">
        <f>EL_INTERN+EL_FINISH</f>
        <v>51200000</v>
      </c>
    </row>
    <row r="77">
      <c r="B77" s="36" t="inlineStr">
        <is>
          <t>MEP &amp; specialist systems</t>
        </is>
      </c>
      <c r="C77" s="117" t="inlineStr">
        <is>
          <t>ETB</t>
        </is>
      </c>
      <c r="D77" s="173">
        <f>EL_MEP+EL_SPEC</f>
        <v>73160000</v>
      </c>
    </row>
    <row r="78">
      <c r="B78" s="36" t="inlineStr">
        <is>
          <t>Preliminaries &amp; external works</t>
        </is>
      </c>
      <c r="C78" s="117" t="inlineStr">
        <is>
          <t>ETB</t>
        </is>
      </c>
      <c r="D78" s="173">
        <f>EL_PRELIM+EL_EXTW+X_COMPOUND+X_SEPTIC+X_WTANK+X_PAVE</f>
        <v>22445000</v>
      </c>
    </row>
    <row r="79">
      <c r="B79" s="36" t="inlineStr">
        <is>
          <t>Escalation &amp; contingency</t>
        </is>
      </c>
      <c r="C79" s="117" t="inlineStr">
        <is>
          <t>ETB</t>
        </is>
      </c>
      <c r="D79" s="173">
        <f>ESC_AMT+CONT_TOT</f>
        <v>77311136.6201908</v>
      </c>
    </row>
    <row r="80">
      <c r="B80" s="36" t="inlineStr">
        <is>
          <t>Fees &amp; permits</t>
        </is>
      </c>
      <c r="C80" s="117" t="inlineStr">
        <is>
          <t>ETB</t>
        </is>
      </c>
      <c r="D80" s="173">
        <f>DESIGN_TOT+SUPERV_TOT+PERMIT_TOT</f>
        <v>25457520.461672</v>
      </c>
    </row>
    <row r="81">
      <c r="B81" s="36" t="inlineStr">
        <is>
          <t>Furniture &amp; FF&amp;E</t>
        </is>
      </c>
      <c r="C81" s="117" t="inlineStr">
        <is>
          <t>ETB</t>
        </is>
      </c>
      <c r="D81" s="170">
        <f>FFE_TOT</f>
        <v>6000000</v>
      </c>
    </row>
    <row r="82">
      <c r="B82" s="36" t="inlineStr">
        <is>
          <t>Land</t>
        </is>
      </c>
      <c r="C82" s="117" t="inlineStr">
        <is>
          <t>ETB</t>
        </is>
      </c>
      <c r="D82" s="170">
        <f>LAND_TOT</f>
        <v>150000000</v>
      </c>
    </row>
    <row r="83">
      <c r="B83" s="36" t="inlineStr">
        <is>
          <t>Finance costs (fees + IDC)</t>
        </is>
      </c>
      <c r="C83" s="117" t="inlineStr">
        <is>
          <t>ETB</t>
        </is>
      </c>
      <c r="D83" s="170">
        <f>FIN_CAP</f>
        <v>24334774.2472746</v>
      </c>
    </row>
    <row r="84">
      <c r="B84" s="36" t="inlineStr">
        <is>
          <t>Total (= TDC)</t>
        </is>
      </c>
      <c r="C84" s="117" t="inlineStr">
        <is>
          <t>ETB</t>
        </is>
      </c>
      <c r="D84" s="172">
        <f>SUM(D74:D83)</f>
        <v>550660431.329137</v>
      </c>
    </row>
    <row r="86" ht="20" customHeight="1">
      <c r="B86" s="113" t="inlineStr">
        <is>
          <t>Contractor payment stages (construction cost incl. escalation &amp; contingency)</t>
        </is>
      </c>
      <c r="C86" s="37" t="inlineStr">
        <is>
          <t>ለኮንትራክተር የክፍያ ደረጃዎች</t>
        </is>
      </c>
      <c r="D86" s="115" t="n"/>
      <c r="E86" s="115" t="n"/>
      <c r="F86" s="115" t="n"/>
      <c r="G86" s="115" t="n"/>
      <c r="H86" s="115" t="n"/>
      <c r="I86" s="115" t="n"/>
      <c r="J86" s="115" t="n"/>
    </row>
    <row r="87">
      <c r="B87" s="36" t="inlineStr">
        <is>
          <t>1 Mobilisation &amp; site set-up</t>
        </is>
      </c>
      <c r="C87" s="117" t="inlineStr">
        <is>
          <t>ETB</t>
        </is>
      </c>
      <c r="D87" s="173">
        <f>IF(HARD_BASE&gt;0,(EL_PRELIM)/HARD_BASE,0)*(HARD_ESC_TOT+CONT_TOT)</f>
        <v>13198868.7232655</v>
      </c>
    </row>
    <row r="88">
      <c r="B88" s="36" t="inlineStr">
        <is>
          <t>2 Foundation / substructure</t>
        </is>
      </c>
      <c r="C88" s="117" t="inlineStr">
        <is>
          <t>ETB</t>
        </is>
      </c>
      <c r="D88" s="173">
        <f>IF(HARD_BASE&gt;0,(EL_SUBSTR+BASE_X)/HARD_BASE,0)*(HARD_ESC_TOT+CONT_TOT)</f>
        <v>45267995.0743247</v>
      </c>
    </row>
    <row r="89">
      <c r="B89" s="36" t="inlineStr">
        <is>
          <t>3 Frame (columns, beams, slabs)</t>
        </is>
      </c>
      <c r="C89" s="117" t="inlineStr">
        <is>
          <t>ETB</t>
        </is>
      </c>
      <c r="D89" s="173">
        <f>IF(HARD_BASE&gt;0,(EL_SUPER)/HARD_BASE,0)*(HARD_ESC_TOT+CONT_TOT)</f>
        <v>70778933.5285114</v>
      </c>
    </row>
    <row r="90">
      <c r="B90" s="36" t="inlineStr">
        <is>
          <t>4 Walls, windows &amp; roof</t>
        </is>
      </c>
      <c r="C90" s="117" t="inlineStr">
        <is>
          <t>ETB</t>
        </is>
      </c>
      <c r="D90" s="173">
        <f>IF(HARD_BASE&gt;0,(EL_ENVEL)/HARD_BASE,0)*(HARD_ESC_TOT+CONT_TOT)</f>
        <v>39596606.1697966</v>
      </c>
    </row>
    <row r="91">
      <c r="B91" s="36" t="inlineStr">
        <is>
          <t>5 MEP &amp; internal works</t>
        </is>
      </c>
      <c r="C91" s="117" t="inlineStr">
        <is>
          <t>ETB</t>
        </is>
      </c>
      <c r="D91" s="173">
        <f>IF(HARD_BASE&gt;0,(EL_MEP+EL_INTERN+EL_SPEC)/HARD_BASE,0)*(HARD_ESC_TOT+CONT_TOT)</f>
        <v>114098033.142916</v>
      </c>
    </row>
    <row r="92">
      <c r="B92" s="36" t="inlineStr">
        <is>
          <t>6 Finishes &amp; external works</t>
        </is>
      </c>
      <c r="C92" s="117" t="inlineStr">
        <is>
          <t>ETB</t>
        </is>
      </c>
      <c r="D92" s="173">
        <f>IF(HARD_BASE&gt;0,(EL_FINISH+EL_EXTW+X_COMPOUND+X_SEPTIC+X_WTANK+X_PAVE)/HARD_BASE,0)*(HARD_ESC_TOT+CONT_TOT)</f>
        <v>61927699.9813762</v>
      </c>
    </row>
    <row r="93">
      <c r="B93" s="36" t="inlineStr">
        <is>
          <t>Total contractor payments</t>
        </is>
      </c>
      <c r="C93" s="117" t="inlineStr">
        <is>
          <t>ETB</t>
        </is>
      </c>
      <c r="D93" s="172">
        <f>SUM(D87:D92)</f>
        <v>344868136.620191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AZ9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</cols>
  <sheetData>
    <row r="1" ht="30" customHeight="1">
      <c r="A1" s="1" t="n"/>
      <c r="B1" s="2" t="inlineStr">
        <is>
          <t>23 · Construction – monthly S-curve, funding waterfall, presales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የግንባታ ወርሃዊ ወጪ፣ የገንዘብ ምንጭና ቅድመ-ሽያጭ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6">
      <c r="B6" s="78" t="inlineStr">
        <is>
          <t>Month</t>
        </is>
      </c>
      <c r="D6" s="177" t="inlineStr">
        <is>
          <t>Total</t>
        </is>
      </c>
      <c r="E6" s="163" t="str">
        <f>"M"&amp;'20_Timeline'!E37</f>
        <v>M1</v>
      </c>
      <c r="F6" s="163" t="str">
        <f>"M"&amp;'20_Timeline'!F37</f>
        <v>M2</v>
      </c>
      <c r="G6" s="163" t="str">
        <f>"M"&amp;'20_Timeline'!G37</f>
        <v>M3</v>
      </c>
      <c r="H6" s="163" t="str">
        <f>"M"&amp;'20_Timeline'!H37</f>
        <v>M4</v>
      </c>
      <c r="I6" s="163" t="str">
        <f>"M"&amp;'20_Timeline'!I37</f>
        <v>M5</v>
      </c>
      <c r="J6" s="163" t="str">
        <f>"M"&amp;'20_Timeline'!J37</f>
        <v>M6</v>
      </c>
      <c r="K6" s="163" t="str">
        <f>"M"&amp;'20_Timeline'!K37</f>
        <v>M7</v>
      </c>
      <c r="L6" s="163" t="str">
        <f>"M"&amp;'20_Timeline'!L37</f>
        <v>M8</v>
      </c>
      <c r="M6" s="163" t="str">
        <f>"M"&amp;'20_Timeline'!M37</f>
        <v>M9</v>
      </c>
      <c r="N6" s="163" t="str">
        <f>"M"&amp;'20_Timeline'!N37</f>
        <v>M10</v>
      </c>
      <c r="O6" s="163" t="str">
        <f>"M"&amp;'20_Timeline'!O37</f>
        <v>M11</v>
      </c>
      <c r="P6" s="163" t="str">
        <f>"M"&amp;'20_Timeline'!P37</f>
        <v>M12</v>
      </c>
      <c r="Q6" s="163" t="str">
        <f>"M"&amp;'20_Timeline'!Q37</f>
        <v>M13</v>
      </c>
      <c r="R6" s="163" t="str">
        <f>"M"&amp;'20_Timeline'!R37</f>
        <v>M14</v>
      </c>
      <c r="S6" s="163" t="str">
        <f>"M"&amp;'20_Timeline'!S37</f>
        <v>M15</v>
      </c>
      <c r="T6" s="163" t="str">
        <f>"M"&amp;'20_Timeline'!T37</f>
        <v>M16</v>
      </c>
      <c r="U6" s="163" t="str">
        <f>"M"&amp;'20_Timeline'!U37</f>
        <v>M17</v>
      </c>
      <c r="V6" s="163" t="str">
        <f>"M"&amp;'20_Timeline'!V37</f>
        <v>M18</v>
      </c>
      <c r="W6" s="163" t="str">
        <f>"M"&amp;'20_Timeline'!W37</f>
        <v>M19</v>
      </c>
      <c r="X6" s="163" t="str">
        <f>"M"&amp;'20_Timeline'!X37</f>
        <v>M20</v>
      </c>
      <c r="Y6" s="163" t="str">
        <f>"M"&amp;'20_Timeline'!Y37</f>
        <v>M21</v>
      </c>
      <c r="Z6" s="163" t="str">
        <f>"M"&amp;'20_Timeline'!Z37</f>
        <v>M22</v>
      </c>
      <c r="AA6" s="163" t="str">
        <f>"M"&amp;'20_Timeline'!AA37</f>
        <v>M23</v>
      </c>
      <c r="AB6" s="163" t="str">
        <f>"M"&amp;'20_Timeline'!AB37</f>
        <v>M24</v>
      </c>
      <c r="AC6" s="163" t="str">
        <f>"M"&amp;'20_Timeline'!AC37</f>
        <v>M25</v>
      </c>
      <c r="AD6" s="163" t="str">
        <f>"M"&amp;'20_Timeline'!AD37</f>
        <v>M26</v>
      </c>
      <c r="AE6" s="163" t="str">
        <f>"M"&amp;'20_Timeline'!AE37</f>
        <v>M27</v>
      </c>
      <c r="AF6" s="163" t="str">
        <f>"M"&amp;'20_Timeline'!AF37</f>
        <v>M28</v>
      </c>
      <c r="AG6" s="163" t="str">
        <f>"M"&amp;'20_Timeline'!AG37</f>
        <v>M29</v>
      </c>
      <c r="AH6" s="163" t="str">
        <f>"M"&amp;'20_Timeline'!AH37</f>
        <v>M30</v>
      </c>
      <c r="AI6" s="163" t="str">
        <f>"M"&amp;'20_Timeline'!AI37</f>
        <v>M31</v>
      </c>
      <c r="AJ6" s="163" t="str">
        <f>"M"&amp;'20_Timeline'!AJ37</f>
        <v>M32</v>
      </c>
      <c r="AK6" s="163" t="str">
        <f>"M"&amp;'20_Timeline'!AK37</f>
        <v>M33</v>
      </c>
      <c r="AL6" s="163" t="str">
        <f>"M"&amp;'20_Timeline'!AL37</f>
        <v>M34</v>
      </c>
      <c r="AM6" s="163" t="str">
        <f>"M"&amp;'20_Timeline'!AM37</f>
        <v>M35</v>
      </c>
      <c r="AN6" s="163" t="str">
        <f>"M"&amp;'20_Timeline'!AN37</f>
        <v>M36</v>
      </c>
      <c r="AO6" s="163" t="str">
        <f>"M"&amp;'20_Timeline'!AO37</f>
        <v>M37</v>
      </c>
      <c r="AP6" s="163" t="str">
        <f>"M"&amp;'20_Timeline'!AP37</f>
        <v>M38</v>
      </c>
      <c r="AQ6" s="163" t="str">
        <f>"M"&amp;'20_Timeline'!AQ37</f>
        <v>M39</v>
      </c>
      <c r="AR6" s="163" t="str">
        <f>"M"&amp;'20_Timeline'!AR37</f>
        <v>M40</v>
      </c>
      <c r="AS6" s="163" t="str">
        <f>"M"&amp;'20_Timeline'!AS37</f>
        <v>M41</v>
      </c>
      <c r="AT6" s="163" t="str">
        <f>"M"&amp;'20_Timeline'!AT37</f>
        <v>M42</v>
      </c>
      <c r="AU6" s="163" t="str">
        <f>"M"&amp;'20_Timeline'!AU37</f>
        <v>M43</v>
      </c>
      <c r="AV6" s="163" t="str">
        <f>"M"&amp;'20_Timeline'!AV37</f>
        <v>M44</v>
      </c>
      <c r="AW6" s="163" t="str">
        <f>"M"&amp;'20_Timeline'!AW37</f>
        <v>M45</v>
      </c>
      <c r="AX6" s="163" t="str">
        <f>"M"&amp;'20_Timeline'!AX37</f>
        <v>M46</v>
      </c>
      <c r="AY6" s="163" t="str">
        <f>"M"&amp;'20_Timeline'!AY37</f>
        <v>M47</v>
      </c>
      <c r="AZ6" s="163" t="str">
        <f>"M"&amp;'20_Timeline'!AZ37</f>
        <v>M48</v>
      </c>
    </row>
    <row r="7">
      <c r="B7" s="117" t="inlineStr">
        <is>
          <t>Month start</t>
        </is>
      </c>
      <c r="E7" s="178">
        <f>'20_Timeline'!E38</f>
        <v>46388.0</v>
      </c>
      <c r="F7" s="178">
        <f>'20_Timeline'!F38</f>
        <v>46419.0</v>
      </c>
      <c r="G7" s="178">
        <f>'20_Timeline'!G38</f>
        <v>46447.0</v>
      </c>
      <c r="H7" s="178">
        <f>'20_Timeline'!H38</f>
        <v>46478.0</v>
      </c>
      <c r="I7" s="178">
        <f>'20_Timeline'!I38</f>
        <v>46508.0</v>
      </c>
      <c r="J7" s="178">
        <f>'20_Timeline'!J38</f>
        <v>46539.0</v>
      </c>
      <c r="K7" s="178">
        <f>'20_Timeline'!K38</f>
        <v>46569.0</v>
      </c>
      <c r="L7" s="178">
        <f>'20_Timeline'!L38</f>
        <v>46600.0</v>
      </c>
      <c r="M7" s="178">
        <f>'20_Timeline'!M38</f>
        <v>46631.0</v>
      </c>
      <c r="N7" s="178">
        <f>'20_Timeline'!N38</f>
        <v>46661.0</v>
      </c>
      <c r="O7" s="178">
        <f>'20_Timeline'!O38</f>
        <v>46692.0</v>
      </c>
      <c r="P7" s="178">
        <f>'20_Timeline'!P38</f>
        <v>46722.0</v>
      </c>
      <c r="Q7" s="178">
        <f>'20_Timeline'!Q38</f>
        <v>46753.0</v>
      </c>
      <c r="R7" s="178">
        <f>'20_Timeline'!R38</f>
        <v>46784.0</v>
      </c>
      <c r="S7" s="178">
        <f>'20_Timeline'!S38</f>
        <v>46813.0</v>
      </c>
      <c r="T7" s="178">
        <f>'20_Timeline'!T38</f>
        <v>46844.0</v>
      </c>
      <c r="U7" s="178">
        <f>'20_Timeline'!U38</f>
        <v>46874.0</v>
      </c>
      <c r="V7" s="178">
        <f>'20_Timeline'!V38</f>
        <v>46905.0</v>
      </c>
      <c r="W7" s="178">
        <f>'20_Timeline'!W38</f>
        <v>46935.0</v>
      </c>
      <c r="X7" s="178">
        <f>'20_Timeline'!X38</f>
        <v>46966.0</v>
      </c>
      <c r="Y7" s="178">
        <f>'20_Timeline'!Y38</f>
        <v>46997.0</v>
      </c>
      <c r="Z7" s="178">
        <f>'20_Timeline'!Z38</f>
        <v>47027.0</v>
      </c>
      <c r="AA7" s="178">
        <f>'20_Timeline'!AA38</f>
        <v>47058.0</v>
      </c>
      <c r="AB7" s="178">
        <f>'20_Timeline'!AB38</f>
        <v>47088.0</v>
      </c>
      <c r="AC7" s="178">
        <f>'20_Timeline'!AC38</f>
        <v>47119.0</v>
      </c>
      <c r="AD7" s="178">
        <f>'20_Timeline'!AD38</f>
        <v>47150.0</v>
      </c>
      <c r="AE7" s="178">
        <f>'20_Timeline'!AE38</f>
        <v>47178.0</v>
      </c>
      <c r="AF7" s="178">
        <f>'20_Timeline'!AF38</f>
        <v>47209.0</v>
      </c>
      <c r="AG7" s="178">
        <f>'20_Timeline'!AG38</f>
        <v>47239.0</v>
      </c>
      <c r="AH7" s="178">
        <f>'20_Timeline'!AH38</f>
        <v>47270.0</v>
      </c>
      <c r="AI7" s="178">
        <f>'20_Timeline'!AI38</f>
        <v>47300.0</v>
      </c>
      <c r="AJ7" s="178">
        <f>'20_Timeline'!AJ38</f>
        <v>47331.0</v>
      </c>
      <c r="AK7" s="178">
        <f>'20_Timeline'!AK38</f>
        <v>47362.0</v>
      </c>
      <c r="AL7" s="178">
        <f>'20_Timeline'!AL38</f>
        <v>47392.0</v>
      </c>
      <c r="AM7" s="178">
        <f>'20_Timeline'!AM38</f>
        <v>47423.0</v>
      </c>
      <c r="AN7" s="178">
        <f>'20_Timeline'!AN38</f>
        <v>47453.0</v>
      </c>
      <c r="AO7" s="178">
        <f>'20_Timeline'!AO38</f>
        <v>47484.0</v>
      </c>
      <c r="AP7" s="178">
        <f>'20_Timeline'!AP38</f>
        <v>47515.0</v>
      </c>
      <c r="AQ7" s="178">
        <f>'20_Timeline'!AQ38</f>
        <v>47543.0</v>
      </c>
      <c r="AR7" s="178">
        <f>'20_Timeline'!AR38</f>
        <v>47574.0</v>
      </c>
      <c r="AS7" s="178">
        <f>'20_Timeline'!AS38</f>
        <v>47604.0</v>
      </c>
      <c r="AT7" s="178">
        <f>'20_Timeline'!AT38</f>
        <v>47635.0</v>
      </c>
      <c r="AU7" s="178">
        <f>'20_Timeline'!AU38</f>
        <v>47665.0</v>
      </c>
      <c r="AV7" s="178">
        <f>'20_Timeline'!AV38</f>
        <v>47696.0</v>
      </c>
      <c r="AW7" s="178">
        <f>'20_Timeline'!AW38</f>
        <v>47727.0</v>
      </c>
      <c r="AX7" s="178">
        <f>'20_Timeline'!AX38</f>
        <v>47757.0</v>
      </c>
      <c r="AY7" s="178">
        <f>'20_Timeline'!AY38</f>
        <v>47788.0</v>
      </c>
      <c r="AZ7" s="178">
        <f>'20_Timeline'!AZ38</f>
        <v>47818.0</v>
      </c>
    </row>
    <row r="8">
      <c r="B8" s="117" t="inlineStr">
        <is>
          <t>Annual period</t>
        </is>
      </c>
      <c r="E8" s="165" t="str">
        <f>IF('20_Timeline'!E43=0,"–",INDEX('20_Timeline'!$E$12:$R$12,'20_Timeline'!E43))</f>
        <v>C1</v>
      </c>
      <c r="F8" s="165" t="str">
        <f>IF('20_Timeline'!F43=0,"–",INDEX('20_Timeline'!$E$12:$R$12,'20_Timeline'!F43))</f>
        <v>C1</v>
      </c>
      <c r="G8" s="165" t="str">
        <f>IF('20_Timeline'!G43=0,"–",INDEX('20_Timeline'!$E$12:$R$12,'20_Timeline'!G43))</f>
        <v>C1</v>
      </c>
      <c r="H8" s="165" t="str">
        <f>IF('20_Timeline'!H43=0,"–",INDEX('20_Timeline'!$E$12:$R$12,'20_Timeline'!H43))</f>
        <v>C1</v>
      </c>
      <c r="I8" s="165" t="str">
        <f>IF('20_Timeline'!I43=0,"–",INDEX('20_Timeline'!$E$12:$R$12,'20_Timeline'!I43))</f>
        <v>C1</v>
      </c>
      <c r="J8" s="165" t="str">
        <f>IF('20_Timeline'!J43=0,"–",INDEX('20_Timeline'!$E$12:$R$12,'20_Timeline'!J43))</f>
        <v>C1</v>
      </c>
      <c r="K8" s="165" t="str">
        <f>IF('20_Timeline'!K43=0,"–",INDEX('20_Timeline'!$E$12:$R$12,'20_Timeline'!K43))</f>
        <v>C1</v>
      </c>
      <c r="L8" s="165" t="str">
        <f>IF('20_Timeline'!L43=0,"–",INDEX('20_Timeline'!$E$12:$R$12,'20_Timeline'!L43))</f>
        <v>C1</v>
      </c>
      <c r="M8" s="165" t="str">
        <f>IF('20_Timeline'!M43=0,"–",INDEX('20_Timeline'!$E$12:$R$12,'20_Timeline'!M43))</f>
        <v>C1</v>
      </c>
      <c r="N8" s="165" t="str">
        <f>IF('20_Timeline'!N43=0,"–",INDEX('20_Timeline'!$E$12:$R$12,'20_Timeline'!N43))</f>
        <v>C1</v>
      </c>
      <c r="O8" s="165" t="str">
        <f>IF('20_Timeline'!O43=0,"–",INDEX('20_Timeline'!$E$12:$R$12,'20_Timeline'!O43))</f>
        <v>C1</v>
      </c>
      <c r="P8" s="165" t="str">
        <f>IF('20_Timeline'!P43=0,"–",INDEX('20_Timeline'!$E$12:$R$12,'20_Timeline'!P43))</f>
        <v>C1</v>
      </c>
      <c r="Q8" s="165" t="str">
        <f>IF('20_Timeline'!Q43=0,"–",INDEX('20_Timeline'!$E$12:$R$12,'20_Timeline'!Q43))</f>
        <v>C2</v>
      </c>
      <c r="R8" s="165" t="str">
        <f>IF('20_Timeline'!R43=0,"–",INDEX('20_Timeline'!$E$12:$R$12,'20_Timeline'!R43))</f>
        <v>C2</v>
      </c>
      <c r="S8" s="165" t="str">
        <f>IF('20_Timeline'!S43=0,"–",INDEX('20_Timeline'!$E$12:$R$12,'20_Timeline'!S43))</f>
        <v>C2</v>
      </c>
      <c r="T8" s="165" t="str">
        <f>IF('20_Timeline'!T43=0,"–",INDEX('20_Timeline'!$E$12:$R$12,'20_Timeline'!T43))</f>
        <v>C2</v>
      </c>
      <c r="U8" s="165" t="str">
        <f>IF('20_Timeline'!U43=0,"–",INDEX('20_Timeline'!$E$12:$R$12,'20_Timeline'!U43))</f>
        <v>C2</v>
      </c>
      <c r="V8" s="165" t="str">
        <f>IF('20_Timeline'!V43=0,"–",INDEX('20_Timeline'!$E$12:$R$12,'20_Timeline'!V43))</f>
        <v>C2</v>
      </c>
      <c r="W8" s="165" t="str">
        <f>IF('20_Timeline'!W43=0,"–",INDEX('20_Timeline'!$E$12:$R$12,'20_Timeline'!W43))</f>
        <v>C2</v>
      </c>
      <c r="X8" s="165" t="str">
        <f>IF('20_Timeline'!X43=0,"–",INDEX('20_Timeline'!$E$12:$R$12,'20_Timeline'!X43))</f>
        <v>C2</v>
      </c>
      <c r="Y8" s="165" t="str">
        <f>IF('20_Timeline'!Y43=0,"–",INDEX('20_Timeline'!$E$12:$R$12,'20_Timeline'!Y43))</f>
        <v>C2</v>
      </c>
      <c r="Z8" s="165" t="str">
        <f>IF('20_Timeline'!Z43=0,"–",INDEX('20_Timeline'!$E$12:$R$12,'20_Timeline'!Z43))</f>
        <v>C2</v>
      </c>
      <c r="AA8" s="165" t="str">
        <f>IF('20_Timeline'!AA43=0,"–",INDEX('20_Timeline'!$E$12:$R$12,'20_Timeline'!AA43))</f>
        <v>C2</v>
      </c>
      <c r="AB8" s="165" t="str">
        <f>IF('20_Timeline'!AB43=0,"–",INDEX('20_Timeline'!$E$12:$R$12,'20_Timeline'!AB43))</f>
        <v>C2</v>
      </c>
      <c r="AC8" s="165" t="str">
        <f>IF('20_Timeline'!AC43=0,"–",INDEX('20_Timeline'!$E$12:$R$12,'20_Timeline'!AC43))</f>
        <v>C3</v>
      </c>
      <c r="AD8" s="165" t="str">
        <f>IF('20_Timeline'!AD43=0,"–",INDEX('20_Timeline'!$E$12:$R$12,'20_Timeline'!AD43))</f>
        <v>C3</v>
      </c>
      <c r="AE8" s="165" t="str">
        <f>IF('20_Timeline'!AE43=0,"–",INDEX('20_Timeline'!$E$12:$R$12,'20_Timeline'!AE43))</f>
        <v>C3</v>
      </c>
      <c r="AF8" s="165" t="str">
        <f>IF('20_Timeline'!AF43=0,"–",INDEX('20_Timeline'!$E$12:$R$12,'20_Timeline'!AF43))</f>
        <v>C3</v>
      </c>
      <c r="AG8" s="165" t="str">
        <f>IF('20_Timeline'!AG43=0,"–",INDEX('20_Timeline'!$E$12:$R$12,'20_Timeline'!AG43))</f>
        <v>C3</v>
      </c>
      <c r="AH8" s="165" t="str">
        <f>IF('20_Timeline'!AH43=0,"–",INDEX('20_Timeline'!$E$12:$R$12,'20_Timeline'!AH43))</f>
        <v>C3</v>
      </c>
      <c r="AI8" s="165" t="str">
        <f>IF('20_Timeline'!AI43=0,"–",INDEX('20_Timeline'!$E$12:$R$12,'20_Timeline'!AI43))</f>
        <v>O1</v>
      </c>
      <c r="AJ8" s="165" t="str">
        <f>IF('20_Timeline'!AJ43=0,"–",INDEX('20_Timeline'!$E$12:$R$12,'20_Timeline'!AJ43))</f>
        <v>O1</v>
      </c>
      <c r="AK8" s="165" t="str">
        <f>IF('20_Timeline'!AK43=0,"–",INDEX('20_Timeline'!$E$12:$R$12,'20_Timeline'!AK43))</f>
        <v>O1</v>
      </c>
      <c r="AL8" s="165" t="str">
        <f>IF('20_Timeline'!AL43=0,"–",INDEX('20_Timeline'!$E$12:$R$12,'20_Timeline'!AL43))</f>
        <v>O1</v>
      </c>
      <c r="AM8" s="165" t="str">
        <f>IF('20_Timeline'!AM43=0,"–",INDEX('20_Timeline'!$E$12:$R$12,'20_Timeline'!AM43))</f>
        <v>O1</v>
      </c>
      <c r="AN8" s="165" t="str">
        <f>IF('20_Timeline'!AN43=0,"–",INDEX('20_Timeline'!$E$12:$R$12,'20_Timeline'!AN43))</f>
        <v>O1</v>
      </c>
      <c r="AO8" s="165" t="str">
        <f>IF('20_Timeline'!AO43=0,"–",INDEX('20_Timeline'!$E$12:$R$12,'20_Timeline'!AO43))</f>
        <v>O1</v>
      </c>
      <c r="AP8" s="165" t="str">
        <f>IF('20_Timeline'!AP43=0,"–",INDEX('20_Timeline'!$E$12:$R$12,'20_Timeline'!AP43))</f>
        <v>O1</v>
      </c>
      <c r="AQ8" s="165" t="str">
        <f>IF('20_Timeline'!AQ43=0,"–",INDEX('20_Timeline'!$E$12:$R$12,'20_Timeline'!AQ43))</f>
        <v>O1</v>
      </c>
      <c r="AR8" s="165" t="str">
        <f>IF('20_Timeline'!AR43=0,"–",INDEX('20_Timeline'!$E$12:$R$12,'20_Timeline'!AR43))</f>
        <v>O1</v>
      </c>
      <c r="AS8" s="165" t="str">
        <f>IF('20_Timeline'!AS43=0,"–",INDEX('20_Timeline'!$E$12:$R$12,'20_Timeline'!AS43))</f>
        <v>O1</v>
      </c>
      <c r="AT8" s="165" t="str">
        <f>IF('20_Timeline'!AT43=0,"–",INDEX('20_Timeline'!$E$12:$R$12,'20_Timeline'!AT43))</f>
        <v>O1</v>
      </c>
      <c r="AU8" s="165" t="str">
        <f>IF('20_Timeline'!AU43=0,"–",INDEX('20_Timeline'!$E$12:$R$12,'20_Timeline'!AU43))</f>
        <v>O2</v>
      </c>
      <c r="AV8" s="165" t="str">
        <f>IF('20_Timeline'!AV43=0,"–",INDEX('20_Timeline'!$E$12:$R$12,'20_Timeline'!AV43))</f>
        <v>O2</v>
      </c>
      <c r="AW8" s="165" t="str">
        <f>IF('20_Timeline'!AW43=0,"–",INDEX('20_Timeline'!$E$12:$R$12,'20_Timeline'!AW43))</f>
        <v>O2</v>
      </c>
      <c r="AX8" s="165" t="str">
        <f>IF('20_Timeline'!AX43=0,"–",INDEX('20_Timeline'!$E$12:$R$12,'20_Timeline'!AX43))</f>
        <v>O2</v>
      </c>
      <c r="AY8" s="165" t="str">
        <f>IF('20_Timeline'!AY43=0,"–",INDEX('20_Timeline'!$E$12:$R$12,'20_Timeline'!AY43))</f>
        <v>O2</v>
      </c>
      <c r="AZ8" s="165" t="str">
        <f>IF('20_Timeline'!AZ43=0,"–",INDEX('20_Timeline'!$E$12:$R$12,'20_Timeline'!AZ43))</f>
        <v>O2</v>
      </c>
    </row>
    <row r="10" ht="20" customHeight="1">
      <c r="B10" s="113" t="inlineStr">
        <is>
          <t>Timing</t>
        </is>
      </c>
      <c r="C10" s="37" t="inlineStr">
        <is>
          <t>ጊዜ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Construction month flag</t>
        </is>
      </c>
      <c r="C11" s="117" t="inlineStr">
        <is>
          <t>flag</t>
        </is>
      </c>
      <c r="D11" s="147">
        <f>SUM(E11:AZ11)</f>
        <v>30</v>
      </c>
      <c r="E11" s="174">
        <f>'20_Timeline'!E39</f>
        <v>1</v>
      </c>
      <c r="F11" s="174">
        <f>'20_Timeline'!F39</f>
        <v>1</v>
      </c>
      <c r="G11" s="174">
        <f>'20_Timeline'!G39</f>
        <v>1</v>
      </c>
      <c r="H11" s="174">
        <f>'20_Timeline'!H39</f>
        <v>1</v>
      </c>
      <c r="I11" s="174">
        <f>'20_Timeline'!I39</f>
        <v>1</v>
      </c>
      <c r="J11" s="174">
        <f>'20_Timeline'!J39</f>
        <v>1</v>
      </c>
      <c r="K11" s="174">
        <f>'20_Timeline'!K39</f>
        <v>1</v>
      </c>
      <c r="L11" s="174">
        <f>'20_Timeline'!L39</f>
        <v>1</v>
      </c>
      <c r="M11" s="174">
        <f>'20_Timeline'!M39</f>
        <v>1</v>
      </c>
      <c r="N11" s="174">
        <f>'20_Timeline'!N39</f>
        <v>1</v>
      </c>
      <c r="O11" s="174">
        <f>'20_Timeline'!O39</f>
        <v>1</v>
      </c>
      <c r="P11" s="174">
        <f>'20_Timeline'!P39</f>
        <v>1</v>
      </c>
      <c r="Q11" s="174">
        <f>'20_Timeline'!Q39</f>
        <v>1</v>
      </c>
      <c r="R11" s="174">
        <f>'20_Timeline'!R39</f>
        <v>1</v>
      </c>
      <c r="S11" s="174">
        <f>'20_Timeline'!S39</f>
        <v>1</v>
      </c>
      <c r="T11" s="174">
        <f>'20_Timeline'!T39</f>
        <v>1</v>
      </c>
      <c r="U11" s="174">
        <f>'20_Timeline'!U39</f>
        <v>1</v>
      </c>
      <c r="V11" s="174">
        <f>'20_Timeline'!V39</f>
        <v>1</v>
      </c>
      <c r="W11" s="174">
        <f>'20_Timeline'!W39</f>
        <v>1</v>
      </c>
      <c r="X11" s="174">
        <f>'20_Timeline'!X39</f>
        <v>1</v>
      </c>
      <c r="Y11" s="174">
        <f>'20_Timeline'!Y39</f>
        <v>1</v>
      </c>
      <c r="Z11" s="174">
        <f>'20_Timeline'!Z39</f>
        <v>1</v>
      </c>
      <c r="AA11" s="174">
        <f>'20_Timeline'!AA39</f>
        <v>1</v>
      </c>
      <c r="AB11" s="174">
        <f>'20_Timeline'!AB39</f>
        <v>1</v>
      </c>
      <c r="AC11" s="174">
        <f>'20_Timeline'!AC39</f>
        <v>1</v>
      </c>
      <c r="AD11" s="174">
        <f>'20_Timeline'!AD39</f>
        <v>1</v>
      </c>
      <c r="AE11" s="174">
        <f>'20_Timeline'!AE39</f>
        <v>1</v>
      </c>
      <c r="AF11" s="174">
        <f>'20_Timeline'!AF39</f>
        <v>1</v>
      </c>
      <c r="AG11" s="174">
        <f>'20_Timeline'!AG39</f>
        <v>1</v>
      </c>
      <c r="AH11" s="174">
        <f>'20_Timeline'!AH39</f>
        <v>1</v>
      </c>
      <c r="AI11" s="174">
        <f>'20_Timeline'!AI39</f>
        <v>0</v>
      </c>
      <c r="AJ11" s="174">
        <f>'20_Timeline'!AJ39</f>
        <v>0</v>
      </c>
      <c r="AK11" s="174">
        <f>'20_Timeline'!AK39</f>
        <v>0</v>
      </c>
      <c r="AL11" s="174">
        <f>'20_Timeline'!AL39</f>
        <v>0</v>
      </c>
      <c r="AM11" s="174">
        <f>'20_Timeline'!AM39</f>
        <v>0</v>
      </c>
      <c r="AN11" s="174">
        <f>'20_Timeline'!AN39</f>
        <v>0</v>
      </c>
      <c r="AO11" s="174">
        <f>'20_Timeline'!AO39</f>
        <v>0</v>
      </c>
      <c r="AP11" s="174">
        <f>'20_Timeline'!AP39</f>
        <v>0</v>
      </c>
      <c r="AQ11" s="174">
        <f>'20_Timeline'!AQ39</f>
        <v>0</v>
      </c>
      <c r="AR11" s="174">
        <f>'20_Timeline'!AR39</f>
        <v>0</v>
      </c>
      <c r="AS11" s="174">
        <f>'20_Timeline'!AS39</f>
        <v>0</v>
      </c>
      <c r="AT11" s="174">
        <f>'20_Timeline'!AT39</f>
        <v>0</v>
      </c>
      <c r="AU11" s="174">
        <f>'20_Timeline'!AU39</f>
        <v>0</v>
      </c>
      <c r="AV11" s="174">
        <f>'20_Timeline'!AV39</f>
        <v>0</v>
      </c>
      <c r="AW11" s="174">
        <f>'20_Timeline'!AW39</f>
        <v>0</v>
      </c>
      <c r="AX11" s="174">
        <f>'20_Timeline'!AX39</f>
        <v>0</v>
      </c>
      <c r="AY11" s="174">
        <f>'20_Timeline'!AY39</f>
        <v>0</v>
      </c>
      <c r="AZ11" s="174">
        <f>'20_Timeline'!AZ39</f>
        <v>0</v>
      </c>
    </row>
    <row r="12">
      <c r="B12" s="36" t="inlineStr">
        <is>
          <t>Annual period index</t>
        </is>
      </c>
      <c r="C12" s="117" t="inlineStr">
        <is>
          <t>no.</t>
        </is>
      </c>
      <c r="E12" s="174">
        <f>'20_Timeline'!E43</f>
        <v>1</v>
      </c>
      <c r="F12" s="174">
        <f>'20_Timeline'!F43</f>
        <v>1</v>
      </c>
      <c r="G12" s="174">
        <f>'20_Timeline'!G43</f>
        <v>1</v>
      </c>
      <c r="H12" s="174">
        <f>'20_Timeline'!H43</f>
        <v>1</v>
      </c>
      <c r="I12" s="174">
        <f>'20_Timeline'!I43</f>
        <v>1</v>
      </c>
      <c r="J12" s="174">
        <f>'20_Timeline'!J43</f>
        <v>1</v>
      </c>
      <c r="K12" s="174">
        <f>'20_Timeline'!K43</f>
        <v>1</v>
      </c>
      <c r="L12" s="174">
        <f>'20_Timeline'!L43</f>
        <v>1</v>
      </c>
      <c r="M12" s="174">
        <f>'20_Timeline'!M43</f>
        <v>1</v>
      </c>
      <c r="N12" s="174">
        <f>'20_Timeline'!N43</f>
        <v>1</v>
      </c>
      <c r="O12" s="174">
        <f>'20_Timeline'!O43</f>
        <v>1</v>
      </c>
      <c r="P12" s="174">
        <f>'20_Timeline'!P43</f>
        <v>1</v>
      </c>
      <c r="Q12" s="174">
        <f>'20_Timeline'!Q43</f>
        <v>2</v>
      </c>
      <c r="R12" s="174">
        <f>'20_Timeline'!R43</f>
        <v>2</v>
      </c>
      <c r="S12" s="174">
        <f>'20_Timeline'!S43</f>
        <v>2</v>
      </c>
      <c r="T12" s="174">
        <f>'20_Timeline'!T43</f>
        <v>2</v>
      </c>
      <c r="U12" s="174">
        <f>'20_Timeline'!U43</f>
        <v>2</v>
      </c>
      <c r="V12" s="174">
        <f>'20_Timeline'!V43</f>
        <v>2</v>
      </c>
      <c r="W12" s="174">
        <f>'20_Timeline'!W43</f>
        <v>2</v>
      </c>
      <c r="X12" s="174">
        <f>'20_Timeline'!X43</f>
        <v>2</v>
      </c>
      <c r="Y12" s="174">
        <f>'20_Timeline'!Y43</f>
        <v>2</v>
      </c>
      <c r="Z12" s="174">
        <f>'20_Timeline'!Z43</f>
        <v>2</v>
      </c>
      <c r="AA12" s="174">
        <f>'20_Timeline'!AA43</f>
        <v>2</v>
      </c>
      <c r="AB12" s="174">
        <f>'20_Timeline'!AB43</f>
        <v>2</v>
      </c>
      <c r="AC12" s="174">
        <f>'20_Timeline'!AC43</f>
        <v>3</v>
      </c>
      <c r="AD12" s="174">
        <f>'20_Timeline'!AD43</f>
        <v>3</v>
      </c>
      <c r="AE12" s="174">
        <f>'20_Timeline'!AE43</f>
        <v>3</v>
      </c>
      <c r="AF12" s="174">
        <f>'20_Timeline'!AF43</f>
        <v>3</v>
      </c>
      <c r="AG12" s="174">
        <f>'20_Timeline'!AG43</f>
        <v>3</v>
      </c>
      <c r="AH12" s="174">
        <f>'20_Timeline'!AH43</f>
        <v>3</v>
      </c>
      <c r="AI12" s="174">
        <f>'20_Timeline'!AI43</f>
        <v>5</v>
      </c>
      <c r="AJ12" s="174">
        <f>'20_Timeline'!AJ43</f>
        <v>5</v>
      </c>
      <c r="AK12" s="174">
        <f>'20_Timeline'!AK43</f>
        <v>5</v>
      </c>
      <c r="AL12" s="174">
        <f>'20_Timeline'!AL43</f>
        <v>5</v>
      </c>
      <c r="AM12" s="174">
        <f>'20_Timeline'!AM43</f>
        <v>5</v>
      </c>
      <c r="AN12" s="174">
        <f>'20_Timeline'!AN43</f>
        <v>5</v>
      </c>
      <c r="AO12" s="174">
        <f>'20_Timeline'!AO43</f>
        <v>5</v>
      </c>
      <c r="AP12" s="174">
        <f>'20_Timeline'!AP43</f>
        <v>5</v>
      </c>
      <c r="AQ12" s="174">
        <f>'20_Timeline'!AQ43</f>
        <v>5</v>
      </c>
      <c r="AR12" s="174">
        <f>'20_Timeline'!AR43</f>
        <v>5</v>
      </c>
      <c r="AS12" s="174">
        <f>'20_Timeline'!AS43</f>
        <v>5</v>
      </c>
      <c r="AT12" s="174">
        <f>'20_Timeline'!AT43</f>
        <v>5</v>
      </c>
      <c r="AU12" s="174">
        <f>'20_Timeline'!AU43</f>
        <v>6</v>
      </c>
      <c r="AV12" s="174">
        <f>'20_Timeline'!AV43</f>
        <v>6</v>
      </c>
      <c r="AW12" s="174">
        <f>'20_Timeline'!AW43</f>
        <v>6</v>
      </c>
      <c r="AX12" s="174">
        <f>'20_Timeline'!AX43</f>
        <v>6</v>
      </c>
      <c r="AY12" s="174">
        <f>'20_Timeline'!AY43</f>
        <v>6</v>
      </c>
      <c r="AZ12" s="174">
        <f>'20_Timeline'!AZ43</f>
        <v>6</v>
      </c>
    </row>
    <row r="13" ht="20" customHeight="1">
      <c r="B13" s="113" t="inlineStr">
        <is>
          <t>Spend profile (S-curve) and escalation</t>
        </is>
      </c>
      <c r="C13" s="37" t="inlineStr">
        <is>
          <t>የወጪ ስርጭትና የዋጋ ጭማሪ</t>
        </is>
      </c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  <c r="O13" s="115" t="n"/>
      <c r="P13" s="115" t="n"/>
      <c r="Q13" s="115" t="n"/>
      <c r="R13" s="115" t="n"/>
    </row>
    <row r="14">
      <c r="B14" s="36" t="inlineStr">
        <is>
          <t>User % profile (input row – used if profile = User %)</t>
        </is>
      </c>
      <c r="C14" s="117" t="inlineStr">
        <is>
          <t>%</t>
        </is>
      </c>
      <c r="D14" s="145">
        <f>SUM(E14:AZ14)</f>
        <v>0</v>
      </c>
      <c r="E14" s="144" t="n">
        <v>0</v>
      </c>
      <c r="F14" s="144" t="n">
        <v>0</v>
      </c>
      <c r="G14" s="144" t="n">
        <v>0</v>
      </c>
      <c r="H14" s="144" t="n">
        <v>0</v>
      </c>
      <c r="I14" s="144" t="n">
        <v>0</v>
      </c>
      <c r="J14" s="144" t="n">
        <v>0</v>
      </c>
      <c r="K14" s="144" t="n">
        <v>0</v>
      </c>
      <c r="L14" s="144" t="n">
        <v>0</v>
      </c>
      <c r="M14" s="144" t="n">
        <v>0</v>
      </c>
      <c r="N14" s="144" t="n">
        <v>0</v>
      </c>
      <c r="O14" s="144" t="n">
        <v>0</v>
      </c>
      <c r="P14" s="144" t="n">
        <v>0</v>
      </c>
      <c r="Q14" s="144" t="n">
        <v>0</v>
      </c>
      <c r="R14" s="144" t="n">
        <v>0</v>
      </c>
      <c r="S14" s="144" t="n">
        <v>0</v>
      </c>
      <c r="T14" s="144" t="n">
        <v>0</v>
      </c>
      <c r="U14" s="144" t="n">
        <v>0</v>
      </c>
      <c r="V14" s="144" t="n">
        <v>0</v>
      </c>
      <c r="W14" s="144" t="n">
        <v>0</v>
      </c>
      <c r="X14" s="144" t="n">
        <v>0</v>
      </c>
      <c r="Y14" s="144" t="n">
        <v>0</v>
      </c>
      <c r="Z14" s="144" t="n">
        <v>0</v>
      </c>
      <c r="AA14" s="144" t="n">
        <v>0</v>
      </c>
      <c r="AB14" s="144" t="n">
        <v>0</v>
      </c>
      <c r="AC14" s="144" t="n">
        <v>0</v>
      </c>
      <c r="AD14" s="144" t="n">
        <v>0</v>
      </c>
      <c r="AE14" s="144" t="n">
        <v>0</v>
      </c>
      <c r="AF14" s="144" t="n">
        <v>0</v>
      </c>
      <c r="AG14" s="144" t="n">
        <v>0</v>
      </c>
      <c r="AH14" s="144" t="n">
        <v>0</v>
      </c>
      <c r="AI14" s="144" t="n">
        <v>0</v>
      </c>
      <c r="AJ14" s="144" t="n">
        <v>0</v>
      </c>
      <c r="AK14" s="144" t="n">
        <v>0</v>
      </c>
      <c r="AL14" s="144" t="n">
        <v>0</v>
      </c>
      <c r="AM14" s="144" t="n">
        <v>0</v>
      </c>
      <c r="AN14" s="144" t="n">
        <v>0</v>
      </c>
      <c r="AO14" s="144" t="n">
        <v>0</v>
      </c>
      <c r="AP14" s="144" t="n">
        <v>0</v>
      </c>
      <c r="AQ14" s="144" t="n">
        <v>0</v>
      </c>
      <c r="AR14" s="144" t="n">
        <v>0</v>
      </c>
      <c r="AS14" s="144" t="n">
        <v>0</v>
      </c>
      <c r="AT14" s="144" t="n">
        <v>0</v>
      </c>
      <c r="AU14" s="144" t="n">
        <v>0</v>
      </c>
      <c r="AV14" s="144" t="n">
        <v>0</v>
      </c>
      <c r="AW14" s="144" t="n">
        <v>0</v>
      </c>
      <c r="AX14" s="144" t="n">
        <v>0</v>
      </c>
      <c r="AY14" s="144" t="n">
        <v>0</v>
      </c>
      <c r="AZ14" s="144" t="n">
        <v>0</v>
      </c>
    </row>
    <row r="15">
      <c r="B15" s="36" t="inlineStr">
        <is>
          <t>Rapha Construction Cost Index (input row, optional)</t>
        </is>
      </c>
      <c r="C15" s="117" t="inlineStr">
        <is>
          <t>index</t>
        </is>
      </c>
      <c r="E15" s="179" t="n">
        <v>0</v>
      </c>
      <c r="F15" s="179" t="n">
        <v>0</v>
      </c>
      <c r="G15" s="179" t="n">
        <v>0</v>
      </c>
      <c r="H15" s="179" t="n">
        <v>0</v>
      </c>
      <c r="I15" s="179" t="n">
        <v>0</v>
      </c>
      <c r="J15" s="179" t="n">
        <v>0</v>
      </c>
      <c r="K15" s="179" t="n">
        <v>0</v>
      </c>
      <c r="L15" s="179" t="n">
        <v>0</v>
      </c>
      <c r="M15" s="179" t="n">
        <v>0</v>
      </c>
      <c r="N15" s="179" t="n">
        <v>0</v>
      </c>
      <c r="O15" s="179" t="n">
        <v>0</v>
      </c>
      <c r="P15" s="179" t="n">
        <v>0</v>
      </c>
      <c r="Q15" s="179" t="n">
        <v>0</v>
      </c>
      <c r="R15" s="179" t="n">
        <v>0</v>
      </c>
      <c r="S15" s="179" t="n">
        <v>0</v>
      </c>
      <c r="T15" s="179" t="n">
        <v>0</v>
      </c>
      <c r="U15" s="179" t="n">
        <v>0</v>
      </c>
      <c r="V15" s="179" t="n">
        <v>0</v>
      </c>
      <c r="W15" s="179" t="n">
        <v>0</v>
      </c>
      <c r="X15" s="179" t="n">
        <v>0</v>
      </c>
      <c r="Y15" s="179" t="n">
        <v>0</v>
      </c>
      <c r="Z15" s="179" t="n">
        <v>0</v>
      </c>
      <c r="AA15" s="179" t="n">
        <v>0</v>
      </c>
      <c r="AB15" s="179" t="n">
        <v>0</v>
      </c>
      <c r="AC15" s="179" t="n">
        <v>0</v>
      </c>
      <c r="AD15" s="179" t="n">
        <v>0</v>
      </c>
      <c r="AE15" s="179" t="n">
        <v>0</v>
      </c>
      <c r="AF15" s="179" t="n">
        <v>0</v>
      </c>
      <c r="AG15" s="179" t="n">
        <v>0</v>
      </c>
      <c r="AH15" s="179" t="n">
        <v>0</v>
      </c>
      <c r="AI15" s="179" t="n">
        <v>0</v>
      </c>
      <c r="AJ15" s="179" t="n">
        <v>0</v>
      </c>
      <c r="AK15" s="179" t="n">
        <v>0</v>
      </c>
      <c r="AL15" s="179" t="n">
        <v>0</v>
      </c>
      <c r="AM15" s="179" t="n">
        <v>0</v>
      </c>
      <c r="AN15" s="179" t="n">
        <v>0</v>
      </c>
      <c r="AO15" s="179" t="n">
        <v>0</v>
      </c>
      <c r="AP15" s="179" t="n">
        <v>0</v>
      </c>
      <c r="AQ15" s="179" t="n">
        <v>0</v>
      </c>
      <c r="AR15" s="179" t="n">
        <v>0</v>
      </c>
      <c r="AS15" s="179" t="n">
        <v>0</v>
      </c>
      <c r="AT15" s="179" t="n">
        <v>0</v>
      </c>
      <c r="AU15" s="179" t="n">
        <v>0</v>
      </c>
      <c r="AV15" s="179" t="n">
        <v>0</v>
      </c>
      <c r="AW15" s="179" t="n">
        <v>0</v>
      </c>
      <c r="AX15" s="179" t="n">
        <v>0</v>
      </c>
      <c r="AY15" s="179" t="n">
        <v>0</v>
      </c>
      <c r="AZ15" s="179" t="n">
        <v>0</v>
      </c>
    </row>
    <row r="16">
      <c r="B16" s="36" t="inlineStr">
        <is>
          <t>Cumulative progress</t>
        </is>
      </c>
      <c r="C16" s="117" t="inlineStr">
        <is>
          <t>%</t>
        </is>
      </c>
      <c r="E16" s="154">
        <f>IF('20_Timeline'!E37&gt;=CONSTR_EFF,1,IF(SCURVE_TYPE=1,('20_Timeline'!E37/CONSTR_EFF)^SCURVE_A/(('20_Timeline'!E37/CONSTR_EFF)^SCURVE_A+(1-'20_Timeline'!E37/CONSTR_EFF)^SCURVE_A),IF(OR(SCURVE_TYPE=2,USER_TOT&lt;=0),'20_Timeline'!E37/CONSTR_EFF,SUM($E$14:E14)/USER_TOT)))</f>
        <v>0.00118764845605701</v>
      </c>
      <c r="F16" s="154">
        <f>IF('20_Timeline'!F37&gt;=CONSTR_EFF,1,IF(SCURVE_TYPE=1,('20_Timeline'!F37/CONSTR_EFF)^SCURVE_A/(('20_Timeline'!F37/CONSTR_EFF)^SCURVE_A+(1-'20_Timeline'!F37/CONSTR_EFF)^SCURVE_A),IF(OR(SCURVE_TYPE=2,USER_TOT&lt;=0),'20_Timeline'!F37/CONSTR_EFF,SUM($E$14:F14)/USER_TOT)))</f>
        <v>0.0050761421319797</v>
      </c>
      <c r="G16" s="154">
        <f>IF('20_Timeline'!G37&gt;=CONSTR_EFF,1,IF(SCURVE_TYPE=1,('20_Timeline'!G37/CONSTR_EFF)^SCURVE_A/(('20_Timeline'!G37/CONSTR_EFF)^SCURVE_A+(1-'20_Timeline'!G37/CONSTR_EFF)^SCURVE_A),IF(OR(SCURVE_TYPE=2,USER_TOT&lt;=0),'20_Timeline'!G37/CONSTR_EFF,SUM($E$14:G14)/USER_TOT)))</f>
        <v>0.0121951219512195</v>
      </c>
      <c r="H16" s="154">
        <f>IF('20_Timeline'!H37&gt;=CONSTR_EFF,1,IF(SCURVE_TYPE=1,('20_Timeline'!H37/CONSTR_EFF)^SCURVE_A/(('20_Timeline'!H37/CONSTR_EFF)^SCURVE_A+(1-'20_Timeline'!H37/CONSTR_EFF)^SCURVE_A),IF(OR(SCURVE_TYPE=2,USER_TOT&lt;=0),'20_Timeline'!H37/CONSTR_EFF,SUM($E$14:H14)/USER_TOT)))</f>
        <v>0.023121387283237</v>
      </c>
      <c r="I16" s="154">
        <f>IF('20_Timeline'!I37&gt;=CONSTR_EFF,1,IF(SCURVE_TYPE=1,('20_Timeline'!I37/CONSTR_EFF)^SCURVE_A/(('20_Timeline'!I37/CONSTR_EFF)^SCURVE_A+(1-'20_Timeline'!I37/CONSTR_EFF)^SCURVE_A),IF(OR(SCURVE_TYPE=2,USER_TOT&lt;=0),'20_Timeline'!I37/CONSTR_EFF,SUM($E$14:I14)/USER_TOT)))</f>
        <v>0.0384615384615385</v>
      </c>
      <c r="J16" s="154">
        <f>IF('20_Timeline'!J37&gt;=CONSTR_EFF,1,IF(SCURVE_TYPE=1,('20_Timeline'!J37/CONSTR_EFF)^SCURVE_A/(('20_Timeline'!J37/CONSTR_EFF)^SCURVE_A+(1-'20_Timeline'!J37/CONSTR_EFF)^SCURVE_A),IF(OR(SCURVE_TYPE=2,USER_TOT&lt;=0),'20_Timeline'!J37/CONSTR_EFF,SUM($E$14:J14)/USER_TOT)))</f>
        <v>0.0588235294117647</v>
      </c>
      <c r="K16" s="154">
        <f>IF('20_Timeline'!K37&gt;=CONSTR_EFF,1,IF(SCURVE_TYPE=1,('20_Timeline'!K37/CONSTR_EFF)^SCURVE_A/(('20_Timeline'!K37/CONSTR_EFF)^SCURVE_A+(1-'20_Timeline'!K37/CONSTR_EFF)^SCURVE_A),IF(OR(SCURVE_TYPE=2,USER_TOT&lt;=0),'20_Timeline'!K37/CONSTR_EFF,SUM($E$14:K14)/USER_TOT)))</f>
        <v>0.0847750865051903</v>
      </c>
      <c r="L16" s="154">
        <f>IF('20_Timeline'!L37&gt;=CONSTR_EFF,1,IF(SCURVE_TYPE=1,('20_Timeline'!L37/CONSTR_EFF)^SCURVE_A/(('20_Timeline'!L37/CONSTR_EFF)^SCURVE_A+(1-'20_Timeline'!L37/CONSTR_EFF)^SCURVE_A),IF(OR(SCURVE_TYPE=2,USER_TOT&lt;=0),'20_Timeline'!L37/CONSTR_EFF,SUM($E$14:L14)/USER_TOT)))</f>
        <v>0.116788321167883</v>
      </c>
      <c r="M16" s="154">
        <f>IF('20_Timeline'!M37&gt;=CONSTR_EFF,1,IF(SCURVE_TYPE=1,('20_Timeline'!M37/CONSTR_EFF)^SCURVE_A/(('20_Timeline'!M37/CONSTR_EFF)^SCURVE_A+(1-'20_Timeline'!M37/CONSTR_EFF)^SCURVE_A),IF(OR(SCURVE_TYPE=2,USER_TOT&lt;=0),'20_Timeline'!M37/CONSTR_EFF,SUM($E$14:M14)/USER_TOT)))</f>
        <v>0.155172413793103</v>
      </c>
      <c r="N16" s="154">
        <f>IF('20_Timeline'!N37&gt;=CONSTR_EFF,1,IF(SCURVE_TYPE=1,('20_Timeline'!N37/CONSTR_EFF)^SCURVE_A/(('20_Timeline'!N37/CONSTR_EFF)^SCURVE_A+(1-'20_Timeline'!N37/CONSTR_EFF)^SCURVE_A),IF(OR(SCURVE_TYPE=2,USER_TOT&lt;=0),'20_Timeline'!N37/CONSTR_EFF,SUM($E$14:N14)/USER_TOT)))</f>
        <v>0.2</v>
      </c>
      <c r="O16" s="154">
        <f>IF('20_Timeline'!O37&gt;=CONSTR_EFF,1,IF(SCURVE_TYPE=1,('20_Timeline'!O37/CONSTR_EFF)^SCURVE_A/(('20_Timeline'!O37/CONSTR_EFF)^SCURVE_A+(1-'20_Timeline'!O37/CONSTR_EFF)^SCURVE_A),IF(OR(SCURVE_TYPE=2,USER_TOT&lt;=0),'20_Timeline'!O37/CONSTR_EFF,SUM($E$14:O14)/USER_TOT)))</f>
        <v>0.25103734439834</v>
      </c>
      <c r="P16" s="154">
        <f>IF('20_Timeline'!P37&gt;=CONSTR_EFF,1,IF(SCURVE_TYPE=1,('20_Timeline'!P37/CONSTR_EFF)^SCURVE_A/(('20_Timeline'!P37/CONSTR_EFF)^SCURVE_A+(1-'20_Timeline'!P37/CONSTR_EFF)^SCURVE_A),IF(OR(SCURVE_TYPE=2,USER_TOT&lt;=0),'20_Timeline'!P37/CONSTR_EFF,SUM($E$14:P14)/USER_TOT)))</f>
        <v>0.307692307692308</v>
      </c>
      <c r="Q16" s="154">
        <f>IF('20_Timeline'!Q37&gt;=CONSTR_EFF,1,IF(SCURVE_TYPE=1,('20_Timeline'!Q37/CONSTR_EFF)^SCURVE_A/(('20_Timeline'!Q37/CONSTR_EFF)^SCURVE_A+(1-'20_Timeline'!Q37/CONSTR_EFF)^SCURVE_A),IF(OR(SCURVE_TYPE=2,USER_TOT&lt;=0),'20_Timeline'!Q37/CONSTR_EFF,SUM($E$14:Q14)/USER_TOT)))</f>
        <v>0.368995633187773</v>
      </c>
      <c r="R16" s="154">
        <f>IF('20_Timeline'!R37&gt;=CONSTR_EFF,1,IF(SCURVE_TYPE=1,('20_Timeline'!R37/CONSTR_EFF)^SCURVE_A/(('20_Timeline'!R37/CONSTR_EFF)^SCURVE_A+(1-'20_Timeline'!R37/CONSTR_EFF)^SCURVE_A),IF(OR(SCURVE_TYPE=2,USER_TOT&lt;=0),'20_Timeline'!R37/CONSTR_EFF,SUM($E$14:R14)/USER_TOT)))</f>
        <v>0.433628318584071</v>
      </c>
      <c r="S16" s="154">
        <f>IF('20_Timeline'!S37&gt;=CONSTR_EFF,1,IF(SCURVE_TYPE=1,('20_Timeline'!S37/CONSTR_EFF)^SCURVE_A/(('20_Timeline'!S37/CONSTR_EFF)^SCURVE_A+(1-'20_Timeline'!S37/CONSTR_EFF)^SCURVE_A),IF(OR(SCURVE_TYPE=2,USER_TOT&lt;=0),'20_Timeline'!S37/CONSTR_EFF,SUM($E$14:S14)/USER_TOT)))</f>
        <v>0.5</v>
      </c>
      <c r="T16" s="154">
        <f>IF('20_Timeline'!T37&gt;=CONSTR_EFF,1,IF(SCURVE_TYPE=1,('20_Timeline'!T37/CONSTR_EFF)^SCURVE_A/(('20_Timeline'!T37/CONSTR_EFF)^SCURVE_A+(1-'20_Timeline'!T37/CONSTR_EFF)^SCURVE_A),IF(OR(SCURVE_TYPE=2,USER_TOT&lt;=0),'20_Timeline'!T37/CONSTR_EFF,SUM($E$14:T14)/USER_TOT)))</f>
        <v>0.566371681415929</v>
      </c>
      <c r="U16" s="154">
        <f>IF('20_Timeline'!U37&gt;=CONSTR_EFF,1,IF(SCURVE_TYPE=1,('20_Timeline'!U37/CONSTR_EFF)^SCURVE_A/(('20_Timeline'!U37/CONSTR_EFF)^SCURVE_A+(1-'20_Timeline'!U37/CONSTR_EFF)^SCURVE_A),IF(OR(SCURVE_TYPE=2,USER_TOT&lt;=0),'20_Timeline'!U37/CONSTR_EFF,SUM($E$14:U14)/USER_TOT)))</f>
        <v>0.631004366812227</v>
      </c>
      <c r="V16" s="154">
        <f>IF('20_Timeline'!V37&gt;=CONSTR_EFF,1,IF(SCURVE_TYPE=1,('20_Timeline'!V37/CONSTR_EFF)^SCURVE_A/(('20_Timeline'!V37/CONSTR_EFF)^SCURVE_A+(1-'20_Timeline'!V37/CONSTR_EFF)^SCURVE_A),IF(OR(SCURVE_TYPE=2,USER_TOT&lt;=0),'20_Timeline'!V37/CONSTR_EFF,SUM($E$14:V14)/USER_TOT)))</f>
        <v>0.692307692307692</v>
      </c>
      <c r="W16" s="154">
        <f>IF('20_Timeline'!W37&gt;=CONSTR_EFF,1,IF(SCURVE_TYPE=1,('20_Timeline'!W37/CONSTR_EFF)^SCURVE_A/(('20_Timeline'!W37/CONSTR_EFF)^SCURVE_A+(1-'20_Timeline'!W37/CONSTR_EFF)^SCURVE_A),IF(OR(SCURVE_TYPE=2,USER_TOT&lt;=0),'20_Timeline'!W37/CONSTR_EFF,SUM($E$14:W14)/USER_TOT)))</f>
        <v>0.74896265560166</v>
      </c>
      <c r="X16" s="154">
        <f>IF('20_Timeline'!X37&gt;=CONSTR_EFF,1,IF(SCURVE_TYPE=1,('20_Timeline'!X37/CONSTR_EFF)^SCURVE_A/(('20_Timeline'!X37/CONSTR_EFF)^SCURVE_A+(1-'20_Timeline'!X37/CONSTR_EFF)^SCURVE_A),IF(OR(SCURVE_TYPE=2,USER_TOT&lt;=0),'20_Timeline'!X37/CONSTR_EFF,SUM($E$14:X14)/USER_TOT)))</f>
        <v>0.8</v>
      </c>
      <c r="Y16" s="154">
        <f>IF('20_Timeline'!Y37&gt;=CONSTR_EFF,1,IF(SCURVE_TYPE=1,('20_Timeline'!Y37/CONSTR_EFF)^SCURVE_A/(('20_Timeline'!Y37/CONSTR_EFF)^SCURVE_A+(1-'20_Timeline'!Y37/CONSTR_EFF)^SCURVE_A),IF(OR(SCURVE_TYPE=2,USER_TOT&lt;=0),'20_Timeline'!Y37/CONSTR_EFF,SUM($E$14:Y14)/USER_TOT)))</f>
        <v>0.844827586206897</v>
      </c>
      <c r="Z16" s="154">
        <f>IF('20_Timeline'!Z37&gt;=CONSTR_EFF,1,IF(SCURVE_TYPE=1,('20_Timeline'!Z37/CONSTR_EFF)^SCURVE_A/(('20_Timeline'!Z37/CONSTR_EFF)^SCURVE_A+(1-'20_Timeline'!Z37/CONSTR_EFF)^SCURVE_A),IF(OR(SCURVE_TYPE=2,USER_TOT&lt;=0),'20_Timeline'!Z37/CONSTR_EFF,SUM($E$14:Z14)/USER_TOT)))</f>
        <v>0.883211678832117</v>
      </c>
      <c r="AA16" s="154">
        <f>IF('20_Timeline'!AA37&gt;=CONSTR_EFF,1,IF(SCURVE_TYPE=1,('20_Timeline'!AA37/CONSTR_EFF)^SCURVE_A/(('20_Timeline'!AA37/CONSTR_EFF)^SCURVE_A+(1-'20_Timeline'!AA37/CONSTR_EFF)^SCURVE_A),IF(OR(SCURVE_TYPE=2,USER_TOT&lt;=0),'20_Timeline'!AA37/CONSTR_EFF,SUM($E$14:AA14)/USER_TOT)))</f>
        <v>0.91522491349481</v>
      </c>
      <c r="AB16" s="154">
        <f>IF('20_Timeline'!AB37&gt;=CONSTR_EFF,1,IF(SCURVE_TYPE=1,('20_Timeline'!AB37/CONSTR_EFF)^SCURVE_A/(('20_Timeline'!AB37/CONSTR_EFF)^SCURVE_A+(1-'20_Timeline'!AB37/CONSTR_EFF)^SCURVE_A),IF(OR(SCURVE_TYPE=2,USER_TOT&lt;=0),'20_Timeline'!AB37/CONSTR_EFF,SUM($E$14:AB14)/USER_TOT)))</f>
        <v>0.941176470588235</v>
      </c>
      <c r="AC16" s="154">
        <f>IF('20_Timeline'!AC37&gt;=CONSTR_EFF,1,IF(SCURVE_TYPE=1,('20_Timeline'!AC37/CONSTR_EFF)^SCURVE_A/(('20_Timeline'!AC37/CONSTR_EFF)^SCURVE_A+(1-'20_Timeline'!AC37/CONSTR_EFF)^SCURVE_A),IF(OR(SCURVE_TYPE=2,USER_TOT&lt;=0),'20_Timeline'!AC37/CONSTR_EFF,SUM($E$14:AC14)/USER_TOT)))</f>
        <v>0.961538461538462</v>
      </c>
      <c r="AD16" s="154">
        <f>IF('20_Timeline'!AD37&gt;=CONSTR_EFF,1,IF(SCURVE_TYPE=1,('20_Timeline'!AD37/CONSTR_EFF)^SCURVE_A/(('20_Timeline'!AD37/CONSTR_EFF)^SCURVE_A+(1-'20_Timeline'!AD37/CONSTR_EFF)^SCURVE_A),IF(OR(SCURVE_TYPE=2,USER_TOT&lt;=0),'20_Timeline'!AD37/CONSTR_EFF,SUM($E$14:AD14)/USER_TOT)))</f>
        <v>0.976878612716763</v>
      </c>
      <c r="AE16" s="154">
        <f>IF('20_Timeline'!AE37&gt;=CONSTR_EFF,1,IF(SCURVE_TYPE=1,('20_Timeline'!AE37/CONSTR_EFF)^SCURVE_A/(('20_Timeline'!AE37/CONSTR_EFF)^SCURVE_A+(1-'20_Timeline'!AE37/CONSTR_EFF)^SCURVE_A),IF(OR(SCURVE_TYPE=2,USER_TOT&lt;=0),'20_Timeline'!AE37/CONSTR_EFF,SUM($E$14:AE14)/USER_TOT)))</f>
        <v>0.987804878048781</v>
      </c>
      <c r="AF16" s="154">
        <f>IF('20_Timeline'!AF37&gt;=CONSTR_EFF,1,IF(SCURVE_TYPE=1,('20_Timeline'!AF37/CONSTR_EFF)^SCURVE_A/(('20_Timeline'!AF37/CONSTR_EFF)^SCURVE_A+(1-'20_Timeline'!AF37/CONSTR_EFF)^SCURVE_A),IF(OR(SCURVE_TYPE=2,USER_TOT&lt;=0),'20_Timeline'!AF37/CONSTR_EFF,SUM($E$14:AF14)/USER_TOT)))</f>
        <v>0.99492385786802</v>
      </c>
      <c r="AG16" s="154">
        <f>IF('20_Timeline'!AG37&gt;=CONSTR_EFF,1,IF(SCURVE_TYPE=1,('20_Timeline'!AG37/CONSTR_EFF)^SCURVE_A/(('20_Timeline'!AG37/CONSTR_EFF)^SCURVE_A+(1-'20_Timeline'!AG37/CONSTR_EFF)^SCURVE_A),IF(OR(SCURVE_TYPE=2,USER_TOT&lt;=0),'20_Timeline'!AG37/CONSTR_EFF,SUM($E$14:AG14)/USER_TOT)))</f>
        <v>0.998812351543943</v>
      </c>
      <c r="AH16" s="154">
        <f>IF('20_Timeline'!AH37&gt;=CONSTR_EFF,1,IF(SCURVE_TYPE=1,('20_Timeline'!AH37/CONSTR_EFF)^SCURVE_A/(('20_Timeline'!AH37/CONSTR_EFF)^SCURVE_A+(1-'20_Timeline'!AH37/CONSTR_EFF)^SCURVE_A),IF(OR(SCURVE_TYPE=2,USER_TOT&lt;=0),'20_Timeline'!AH37/CONSTR_EFF,SUM($E$14:AH14)/USER_TOT)))</f>
        <v>1</v>
      </c>
      <c r="AI16" s="154">
        <f>IF('20_Timeline'!AI37&gt;=CONSTR_EFF,1,IF(SCURVE_TYPE=1,('20_Timeline'!AI37/CONSTR_EFF)^SCURVE_A/(('20_Timeline'!AI37/CONSTR_EFF)^SCURVE_A+(1-'20_Timeline'!AI37/CONSTR_EFF)^SCURVE_A),IF(OR(SCURVE_TYPE=2,USER_TOT&lt;=0),'20_Timeline'!AI37/CONSTR_EFF,SUM($E$14:AI14)/USER_TOT)))</f>
        <v>1</v>
      </c>
      <c r="AJ16" s="154">
        <f>IF('20_Timeline'!AJ37&gt;=CONSTR_EFF,1,IF(SCURVE_TYPE=1,('20_Timeline'!AJ37/CONSTR_EFF)^SCURVE_A/(('20_Timeline'!AJ37/CONSTR_EFF)^SCURVE_A+(1-'20_Timeline'!AJ37/CONSTR_EFF)^SCURVE_A),IF(OR(SCURVE_TYPE=2,USER_TOT&lt;=0),'20_Timeline'!AJ37/CONSTR_EFF,SUM($E$14:AJ14)/USER_TOT)))</f>
        <v>1</v>
      </c>
      <c r="AK16" s="154">
        <f>IF('20_Timeline'!AK37&gt;=CONSTR_EFF,1,IF(SCURVE_TYPE=1,('20_Timeline'!AK37/CONSTR_EFF)^SCURVE_A/(('20_Timeline'!AK37/CONSTR_EFF)^SCURVE_A+(1-'20_Timeline'!AK37/CONSTR_EFF)^SCURVE_A),IF(OR(SCURVE_TYPE=2,USER_TOT&lt;=0),'20_Timeline'!AK37/CONSTR_EFF,SUM($E$14:AK14)/USER_TOT)))</f>
        <v>1</v>
      </c>
      <c r="AL16" s="154">
        <f>IF('20_Timeline'!AL37&gt;=CONSTR_EFF,1,IF(SCURVE_TYPE=1,('20_Timeline'!AL37/CONSTR_EFF)^SCURVE_A/(('20_Timeline'!AL37/CONSTR_EFF)^SCURVE_A+(1-'20_Timeline'!AL37/CONSTR_EFF)^SCURVE_A),IF(OR(SCURVE_TYPE=2,USER_TOT&lt;=0),'20_Timeline'!AL37/CONSTR_EFF,SUM($E$14:AL14)/USER_TOT)))</f>
        <v>1</v>
      </c>
      <c r="AM16" s="154">
        <f>IF('20_Timeline'!AM37&gt;=CONSTR_EFF,1,IF(SCURVE_TYPE=1,('20_Timeline'!AM37/CONSTR_EFF)^SCURVE_A/(('20_Timeline'!AM37/CONSTR_EFF)^SCURVE_A+(1-'20_Timeline'!AM37/CONSTR_EFF)^SCURVE_A),IF(OR(SCURVE_TYPE=2,USER_TOT&lt;=0),'20_Timeline'!AM37/CONSTR_EFF,SUM($E$14:AM14)/USER_TOT)))</f>
        <v>1</v>
      </c>
      <c r="AN16" s="154">
        <f>IF('20_Timeline'!AN37&gt;=CONSTR_EFF,1,IF(SCURVE_TYPE=1,('20_Timeline'!AN37/CONSTR_EFF)^SCURVE_A/(('20_Timeline'!AN37/CONSTR_EFF)^SCURVE_A+(1-'20_Timeline'!AN37/CONSTR_EFF)^SCURVE_A),IF(OR(SCURVE_TYPE=2,USER_TOT&lt;=0),'20_Timeline'!AN37/CONSTR_EFF,SUM($E$14:AN14)/USER_TOT)))</f>
        <v>1</v>
      </c>
      <c r="AO16" s="154">
        <f>IF('20_Timeline'!AO37&gt;=CONSTR_EFF,1,IF(SCURVE_TYPE=1,('20_Timeline'!AO37/CONSTR_EFF)^SCURVE_A/(('20_Timeline'!AO37/CONSTR_EFF)^SCURVE_A+(1-'20_Timeline'!AO37/CONSTR_EFF)^SCURVE_A),IF(OR(SCURVE_TYPE=2,USER_TOT&lt;=0),'20_Timeline'!AO37/CONSTR_EFF,SUM($E$14:AO14)/USER_TOT)))</f>
        <v>1</v>
      </c>
      <c r="AP16" s="154">
        <f>IF('20_Timeline'!AP37&gt;=CONSTR_EFF,1,IF(SCURVE_TYPE=1,('20_Timeline'!AP37/CONSTR_EFF)^SCURVE_A/(('20_Timeline'!AP37/CONSTR_EFF)^SCURVE_A+(1-'20_Timeline'!AP37/CONSTR_EFF)^SCURVE_A),IF(OR(SCURVE_TYPE=2,USER_TOT&lt;=0),'20_Timeline'!AP37/CONSTR_EFF,SUM($E$14:AP14)/USER_TOT)))</f>
        <v>1</v>
      </c>
      <c r="AQ16" s="154">
        <f>IF('20_Timeline'!AQ37&gt;=CONSTR_EFF,1,IF(SCURVE_TYPE=1,('20_Timeline'!AQ37/CONSTR_EFF)^SCURVE_A/(('20_Timeline'!AQ37/CONSTR_EFF)^SCURVE_A+(1-'20_Timeline'!AQ37/CONSTR_EFF)^SCURVE_A),IF(OR(SCURVE_TYPE=2,USER_TOT&lt;=0),'20_Timeline'!AQ37/CONSTR_EFF,SUM($E$14:AQ14)/USER_TOT)))</f>
        <v>1</v>
      </c>
      <c r="AR16" s="154">
        <f>IF('20_Timeline'!AR37&gt;=CONSTR_EFF,1,IF(SCURVE_TYPE=1,('20_Timeline'!AR37/CONSTR_EFF)^SCURVE_A/(('20_Timeline'!AR37/CONSTR_EFF)^SCURVE_A+(1-'20_Timeline'!AR37/CONSTR_EFF)^SCURVE_A),IF(OR(SCURVE_TYPE=2,USER_TOT&lt;=0),'20_Timeline'!AR37/CONSTR_EFF,SUM($E$14:AR14)/USER_TOT)))</f>
        <v>1</v>
      </c>
      <c r="AS16" s="154">
        <f>IF('20_Timeline'!AS37&gt;=CONSTR_EFF,1,IF(SCURVE_TYPE=1,('20_Timeline'!AS37/CONSTR_EFF)^SCURVE_A/(('20_Timeline'!AS37/CONSTR_EFF)^SCURVE_A+(1-'20_Timeline'!AS37/CONSTR_EFF)^SCURVE_A),IF(OR(SCURVE_TYPE=2,USER_TOT&lt;=0),'20_Timeline'!AS37/CONSTR_EFF,SUM($E$14:AS14)/USER_TOT)))</f>
        <v>1</v>
      </c>
      <c r="AT16" s="154">
        <f>IF('20_Timeline'!AT37&gt;=CONSTR_EFF,1,IF(SCURVE_TYPE=1,('20_Timeline'!AT37/CONSTR_EFF)^SCURVE_A/(('20_Timeline'!AT37/CONSTR_EFF)^SCURVE_A+(1-'20_Timeline'!AT37/CONSTR_EFF)^SCURVE_A),IF(OR(SCURVE_TYPE=2,USER_TOT&lt;=0),'20_Timeline'!AT37/CONSTR_EFF,SUM($E$14:AT14)/USER_TOT)))</f>
        <v>1</v>
      </c>
      <c r="AU16" s="154">
        <f>IF('20_Timeline'!AU37&gt;=CONSTR_EFF,1,IF(SCURVE_TYPE=1,('20_Timeline'!AU37/CONSTR_EFF)^SCURVE_A/(('20_Timeline'!AU37/CONSTR_EFF)^SCURVE_A+(1-'20_Timeline'!AU37/CONSTR_EFF)^SCURVE_A),IF(OR(SCURVE_TYPE=2,USER_TOT&lt;=0),'20_Timeline'!AU37/CONSTR_EFF,SUM($E$14:AU14)/USER_TOT)))</f>
        <v>1</v>
      </c>
      <c r="AV16" s="154">
        <f>IF('20_Timeline'!AV37&gt;=CONSTR_EFF,1,IF(SCURVE_TYPE=1,('20_Timeline'!AV37/CONSTR_EFF)^SCURVE_A/(('20_Timeline'!AV37/CONSTR_EFF)^SCURVE_A+(1-'20_Timeline'!AV37/CONSTR_EFF)^SCURVE_A),IF(OR(SCURVE_TYPE=2,USER_TOT&lt;=0),'20_Timeline'!AV37/CONSTR_EFF,SUM($E$14:AV14)/USER_TOT)))</f>
        <v>1</v>
      </c>
      <c r="AW16" s="154">
        <f>IF('20_Timeline'!AW37&gt;=CONSTR_EFF,1,IF(SCURVE_TYPE=1,('20_Timeline'!AW37/CONSTR_EFF)^SCURVE_A/(('20_Timeline'!AW37/CONSTR_EFF)^SCURVE_A+(1-'20_Timeline'!AW37/CONSTR_EFF)^SCURVE_A),IF(OR(SCURVE_TYPE=2,USER_TOT&lt;=0),'20_Timeline'!AW37/CONSTR_EFF,SUM($E$14:AW14)/USER_TOT)))</f>
        <v>1</v>
      </c>
      <c r="AX16" s="154">
        <f>IF('20_Timeline'!AX37&gt;=CONSTR_EFF,1,IF(SCURVE_TYPE=1,('20_Timeline'!AX37/CONSTR_EFF)^SCURVE_A/(('20_Timeline'!AX37/CONSTR_EFF)^SCURVE_A+(1-'20_Timeline'!AX37/CONSTR_EFF)^SCURVE_A),IF(OR(SCURVE_TYPE=2,USER_TOT&lt;=0),'20_Timeline'!AX37/CONSTR_EFF,SUM($E$14:AX14)/USER_TOT)))</f>
        <v>1</v>
      </c>
      <c r="AY16" s="154">
        <f>IF('20_Timeline'!AY37&gt;=CONSTR_EFF,1,IF(SCURVE_TYPE=1,('20_Timeline'!AY37/CONSTR_EFF)^SCURVE_A/(('20_Timeline'!AY37/CONSTR_EFF)^SCURVE_A+(1-'20_Timeline'!AY37/CONSTR_EFF)^SCURVE_A),IF(OR(SCURVE_TYPE=2,USER_TOT&lt;=0),'20_Timeline'!AY37/CONSTR_EFF,SUM($E$14:AY14)/USER_TOT)))</f>
        <v>1</v>
      </c>
      <c r="AZ16" s="154">
        <f>IF('20_Timeline'!AZ37&gt;=CONSTR_EFF,1,IF(SCURVE_TYPE=1,('20_Timeline'!AZ37/CONSTR_EFF)^SCURVE_A/(('20_Timeline'!AZ37/CONSTR_EFF)^SCURVE_A+(1-'20_Timeline'!AZ37/CONSTR_EFF)^SCURVE_A),IF(OR(SCURVE_TYPE=2,USER_TOT&lt;=0),'20_Timeline'!AZ37/CONSTR_EFF,SUM($E$14:AZ14)/USER_TOT)))</f>
        <v>1</v>
      </c>
    </row>
    <row r="17">
      <c r="B17" s="36" t="inlineStr">
        <is>
          <t>Monthly progress</t>
        </is>
      </c>
      <c r="C17" s="117" t="inlineStr">
        <is>
          <t>%</t>
        </is>
      </c>
      <c r="D17" s="145">
        <f>SUM(E17:AZ17)</f>
        <v>1</v>
      </c>
      <c r="E17" s="154">
        <f>E16-0</f>
        <v>0.00118764845605701</v>
      </c>
      <c r="F17" s="154">
        <f>F16-E16</f>
        <v>0.00388849367592269</v>
      </c>
      <c r="G17" s="154">
        <f>G16-F16</f>
        <v>0.00711897981923982</v>
      </c>
      <c r="H17" s="154">
        <f>H16-G16</f>
        <v>0.0109262653320175</v>
      </c>
      <c r="I17" s="154">
        <f>I16-H16</f>
        <v>0.0153401511783015</v>
      </c>
      <c r="J17" s="154">
        <f>J16-I16</f>
        <v>0.0203619909502263</v>
      </c>
      <c r="K17" s="154">
        <f>K16-J16</f>
        <v>0.0259515570934256</v>
      </c>
      <c r="L17" s="154">
        <f>L16-K16</f>
        <v>0.0320132346626929</v>
      </c>
      <c r="M17" s="154">
        <f>M16-L16</f>
        <v>0.0383840926252203</v>
      </c>
      <c r="N17" s="154">
        <f>N16-M16</f>
        <v>0.0448275862068965</v>
      </c>
      <c r="O17" s="154">
        <f>O16-N16</f>
        <v>0.0510373443983402</v>
      </c>
      <c r="P17" s="154">
        <f>P16-O16</f>
        <v>0.0566549632939676</v>
      </c>
      <c r="Q17" s="154">
        <f>Q16-P16</f>
        <v>0.0613033254954652</v>
      </c>
      <c r="R17" s="154">
        <f>R16-Q16</f>
        <v>0.0646326853962978</v>
      </c>
      <c r="S17" s="154">
        <f>S16-R16</f>
        <v>0.0663716814159292</v>
      </c>
      <c r="T17" s="154">
        <f>T16-S16</f>
        <v>0.0663716814159292</v>
      </c>
      <c r="U17" s="154">
        <f>U16-T16</f>
        <v>0.0646326853962979</v>
      </c>
      <c r="V17" s="154">
        <f>V16-U16</f>
        <v>0.0613033254954652</v>
      </c>
      <c r="W17" s="154">
        <f>W16-V16</f>
        <v>0.0566549632939674</v>
      </c>
      <c r="X17" s="154">
        <f>X16-W16</f>
        <v>0.0510373443983403</v>
      </c>
      <c r="Y17" s="154">
        <f>Y16-X16</f>
        <v>0.0448275862068965</v>
      </c>
      <c r="Z17" s="154">
        <f>Z16-Y16</f>
        <v>0.0383840926252202</v>
      </c>
      <c r="AA17" s="154">
        <f>AA16-Z16</f>
        <v>0.032013234662693</v>
      </c>
      <c r="AB17" s="154">
        <f>AB16-AA16</f>
        <v>0.0259515570934256</v>
      </c>
      <c r="AC17" s="154">
        <f>AC16-AB16</f>
        <v>0.0203619909502263</v>
      </c>
      <c r="AD17" s="154">
        <f>AD16-AC16</f>
        <v>0.0153401511783015</v>
      </c>
      <c r="AE17" s="154">
        <f>AE16-AD16</f>
        <v>0.0109262653320175</v>
      </c>
      <c r="AF17" s="154">
        <f>AF16-AE16</f>
        <v>0.00711897981923981</v>
      </c>
      <c r="AG17" s="154">
        <f>AG16-AF16</f>
        <v>0.00388849367592281</v>
      </c>
      <c r="AH17" s="154">
        <f>AH16-AG16</f>
        <v>0.0011876484560569</v>
      </c>
      <c r="AI17" s="154">
        <f>AI16-AH16</f>
        <v>0</v>
      </c>
      <c r="AJ17" s="154">
        <f>AJ16-AI16</f>
        <v>0</v>
      </c>
      <c r="AK17" s="154">
        <f>AK16-AJ16</f>
        <v>0</v>
      </c>
      <c r="AL17" s="154">
        <f>AL16-AK16</f>
        <v>0</v>
      </c>
      <c r="AM17" s="154">
        <f>AM16-AL16</f>
        <v>0</v>
      </c>
      <c r="AN17" s="154">
        <f>AN16-AM16</f>
        <v>0</v>
      </c>
      <c r="AO17" s="154">
        <f>AO16-AN16</f>
        <v>0</v>
      </c>
      <c r="AP17" s="154">
        <f>AP16-AO16</f>
        <v>0</v>
      </c>
      <c r="AQ17" s="154">
        <f>AQ16-AP16</f>
        <v>0</v>
      </c>
      <c r="AR17" s="154">
        <f>AR16-AQ16</f>
        <v>0</v>
      </c>
      <c r="AS17" s="154">
        <f>AS16-AR16</f>
        <v>0</v>
      </c>
      <c r="AT17" s="154">
        <f>AT16-AS16</f>
        <v>0</v>
      </c>
      <c r="AU17" s="154">
        <f>AU16-AT16</f>
        <v>0</v>
      </c>
      <c r="AV17" s="154">
        <f>AV16-AU16</f>
        <v>0</v>
      </c>
      <c r="AW17" s="154">
        <f>AW16-AV16</f>
        <v>0</v>
      </c>
      <c r="AX17" s="154">
        <f>AX16-AW16</f>
        <v>0</v>
      </c>
      <c r="AY17" s="154">
        <f>AY16-AX16</f>
        <v>0</v>
      </c>
      <c r="AZ17" s="154">
        <f>AZ16-AY16</f>
        <v>0</v>
      </c>
    </row>
    <row r="18">
      <c r="B18" s="36" t="inlineStr">
        <is>
          <t>Escalation factor</t>
        </is>
      </c>
      <c r="C18" s="117" t="inlineStr">
        <is>
          <t>x</t>
        </is>
      </c>
      <c r="E18" s="149">
        <f>IF(AND(INDEX_USE=1,INDEX_BASE&gt;0,E15&gt;0),E15/INDEX_BASE,(1+ESC_EFF)^(('20_Timeline'!E37-0.5)/12))</f>
        <v>1.00584040330455</v>
      </c>
      <c r="F18" s="149">
        <f>IF(AND(INDEX_USE=1,INDEX_BASE&gt;0,F15&gt;0),F15/INDEX_BASE,(1+ESC_EFF)^(('20_Timeline'!F37-0.5)/12))</f>
        <v>1.01762374006389</v>
      </c>
      <c r="G18" s="149">
        <f>IF(AND(INDEX_USE=1,INDEX_BASE&gt;0,G15&gt;0),G15/INDEX_BASE,(1+ESC_EFF)^(('20_Timeline'!G37-0.5)/12))</f>
        <v>1.02954511763441</v>
      </c>
      <c r="H18" s="149">
        <f>IF(AND(INDEX_USE=1,INDEX_BASE&gt;0,H15&gt;0),H15/INDEX_BASE,(1+ESC_EFF)^(('20_Timeline'!H37-0.5)/12))</f>
        <v>1.04160615315274</v>
      </c>
      <c r="I18" s="149">
        <f>IF(AND(INDEX_USE=1,INDEX_BASE&gt;0,I15&gt;0),I15/INDEX_BASE,(1+ESC_EFF)^(('20_Timeline'!I37-0.5)/12))</f>
        <v>1.05380848270013</v>
      </c>
      <c r="J18" s="149">
        <f>IF(AND(INDEX_USE=1,INDEX_BASE&gt;0,J15&gt;0),J15/INDEX_BASE,(1+ESC_EFF)^(('20_Timeline'!J37-0.5)/12))</f>
        <v>1.0661537615244</v>
      </c>
      <c r="K18" s="149">
        <f>IF(AND(INDEX_USE=1,INDEX_BASE&gt;0,K15&gt;0),K15/INDEX_BASE,(1+ESC_EFF)^(('20_Timeline'!K37-0.5)/12))</f>
        <v>1.07864366426445</v>
      </c>
      <c r="L18" s="149">
        <f>IF(AND(INDEX_USE=1,INDEX_BASE&gt;0,L15&gt;0),L15/INDEX_BASE,(1+ESC_EFF)^(('20_Timeline'!L37-0.5)/12))</f>
        <v>1.09127988517743</v>
      </c>
      <c r="M18" s="149">
        <f>IF(AND(INDEX_USE=1,INDEX_BASE&gt;0,M15&gt;0),M15/INDEX_BASE,(1+ESC_EFF)^(('20_Timeline'!M37-0.5)/12))</f>
        <v>1.10406413836859</v>
      </c>
      <c r="N18" s="149">
        <f>IF(AND(INDEX_USE=1,INDEX_BASE&gt;0,N15&gt;0),N15/INDEX_BASE,(1+ESC_EFF)^(('20_Timeline'!N37-0.5)/12))</f>
        <v>1.11699815802377</v>
      </c>
      <c r="O18" s="149">
        <f>IF(AND(INDEX_USE=1,INDEX_BASE&gt;0,O15&gt;0),O15/INDEX_BASE,(1+ESC_EFF)^(('20_Timeline'!O37-0.5)/12))</f>
        <v>1.13008369864465</v>
      </c>
      <c r="P18" s="149">
        <f>IF(AND(INDEX_USE=1,INDEX_BASE&gt;0,P15&gt;0),P15/INDEX_BASE,(1+ESC_EFF)^(('20_Timeline'!P37-0.5)/12))</f>
        <v>1.14332253528675</v>
      </c>
      <c r="Q18" s="149">
        <f>IF(AND(INDEX_USE=1,INDEX_BASE&gt;0,Q15&gt;0),Q15/INDEX_BASE,(1+ESC_EFF)^(('20_Timeline'!Q37-0.5)/12))</f>
        <v>1.15671646380023</v>
      </c>
      <c r="R18" s="149">
        <f>IF(AND(INDEX_USE=1,INDEX_BASE&gt;0,R15&gt;0),R15/INDEX_BASE,(1+ESC_EFF)^(('20_Timeline'!R37-0.5)/12))</f>
        <v>1.17026730107347</v>
      </c>
      <c r="S18" s="149">
        <f>IF(AND(INDEX_USE=1,INDEX_BASE&gt;0,S15&gt;0),S15/INDEX_BASE,(1+ESC_EFF)^(('20_Timeline'!S37-0.5)/12))</f>
        <v>1.18397688527957</v>
      </c>
      <c r="T18" s="149">
        <f>IF(AND(INDEX_USE=1,INDEX_BASE&gt;0,T15&gt;0),T15/INDEX_BASE,(1+ESC_EFF)^(('20_Timeline'!T37-0.5)/12))</f>
        <v>1.19784707612565</v>
      </c>
      <c r="U18" s="149">
        <f>IF(AND(INDEX_USE=1,INDEX_BASE&gt;0,U15&gt;0),U15/INDEX_BASE,(1+ESC_EFF)^(('20_Timeline'!U37-0.5)/12))</f>
        <v>1.21187975510515</v>
      </c>
      <c r="V18" s="149">
        <f>IF(AND(INDEX_USE=1,INDEX_BASE&gt;0,V15&gt;0),V15/INDEX_BASE,(1+ESC_EFF)^(('20_Timeline'!V37-0.5)/12))</f>
        <v>1.22607682575306</v>
      </c>
      <c r="W18" s="149">
        <f>IF(AND(INDEX_USE=1,INDEX_BASE&gt;0,W15&gt;0),W15/INDEX_BASE,(1+ESC_EFF)^(('20_Timeline'!W37-0.5)/12))</f>
        <v>1.24044021390411</v>
      </c>
      <c r="X18" s="149">
        <f>IF(AND(INDEX_USE=1,INDEX_BASE&gt;0,X15&gt;0),X15/INDEX_BASE,(1+ESC_EFF)^(('20_Timeline'!X37-0.5)/12))</f>
        <v>1.25497186795404</v>
      </c>
      <c r="Y18" s="149">
        <f>IF(AND(INDEX_USE=1,INDEX_BASE&gt;0,Y15&gt;0),Y15/INDEX_BASE,(1+ESC_EFF)^(('20_Timeline'!Y37-0.5)/12))</f>
        <v>1.26967375912388</v>
      </c>
      <c r="Z18" s="149">
        <f>IF(AND(INDEX_USE=1,INDEX_BASE&gt;0,Z15&gt;0),Z15/INDEX_BASE,(1+ESC_EFF)^(('20_Timeline'!Z37-0.5)/12))</f>
        <v>1.28454788172733</v>
      </c>
      <c r="AA18" s="149">
        <f>IF(AND(INDEX_USE=1,INDEX_BASE&gt;0,AA15&gt;0),AA15/INDEX_BASE,(1+ESC_EFF)^(('20_Timeline'!AA37-0.5)/12))</f>
        <v>1.29959625344134</v>
      </c>
      <c r="AB18" s="149">
        <f>IF(AND(INDEX_USE=1,INDEX_BASE&gt;0,AB15&gt;0),AB15/INDEX_BASE,(1+ESC_EFF)^(('20_Timeline'!AB37-0.5)/12))</f>
        <v>1.31482091557976</v>
      </c>
      <c r="AC18" s="149">
        <f>IF(AND(INDEX_USE=1,INDEX_BASE&gt;0,AC15&gt;0),AC15/INDEX_BASE,(1+ESC_EFF)^(('20_Timeline'!AC37-0.5)/12))</f>
        <v>1.33022393337026</v>
      </c>
      <c r="AD18" s="149">
        <f>IF(AND(INDEX_USE=1,INDEX_BASE&gt;0,AD15&gt;0),AD15/INDEX_BASE,(1+ESC_EFF)^(('20_Timeline'!AD37-0.5)/12))</f>
        <v>1.3458073962345</v>
      </c>
      <c r="AE18" s="149">
        <f>IF(AND(INDEX_USE=1,INDEX_BASE&gt;0,AE15&gt;0),AE15/INDEX_BASE,(1+ESC_EFF)^(('20_Timeline'!AE37-0.5)/12))</f>
        <v>1.36157341807151</v>
      </c>
      <c r="AF18" s="149">
        <f>IF(AND(INDEX_USE=1,INDEX_BASE&gt;0,AF15&gt;0),AF15/INDEX_BASE,(1+ESC_EFF)^(('20_Timeline'!AF37-0.5)/12))</f>
        <v>1.3775241375445</v>
      </c>
      <c r="AG18" s="149">
        <f>IF(AND(INDEX_USE=1,INDEX_BASE&gt;0,AG15&gt;0),AG15/INDEX_BASE,(1+ESC_EFF)^(('20_Timeline'!AG37-0.5)/12))</f>
        <v>1.39366171837092</v>
      </c>
      <c r="AH18" s="149">
        <f>IF(AND(INDEX_USE=1,INDEX_BASE&gt;0,AH15&gt;0),AH15/INDEX_BASE,(1+ESC_EFF)^(('20_Timeline'!AH37-0.5)/12))</f>
        <v>1.40998834961602</v>
      </c>
      <c r="AI18" s="149">
        <f>IF(AND(INDEX_USE=1,INDEX_BASE&gt;0,AI15&gt;0),AI15/INDEX_BASE,(1+ESC_EFF)^(('20_Timeline'!AI37-0.5)/12))</f>
        <v>1.42650624598973</v>
      </c>
      <c r="AJ18" s="149">
        <f>IF(AND(INDEX_USE=1,INDEX_BASE&gt;0,AJ15&gt;0),AJ15/INDEX_BASE,(1+ESC_EFF)^(('20_Timeline'!AJ37-0.5)/12))</f>
        <v>1.44321764814715</v>
      </c>
      <c r="AK18" s="149">
        <f>IF(AND(INDEX_USE=1,INDEX_BASE&gt;0,AK15&gt;0),AK15/INDEX_BASE,(1+ESC_EFF)^(('20_Timeline'!AK37-0.5)/12))</f>
        <v>1.46012482299246</v>
      </c>
      <c r="AL18" s="149">
        <f>IF(AND(INDEX_USE=1,INDEX_BASE&gt;0,AL15&gt;0),AL15/INDEX_BASE,(1+ESC_EFF)^(('20_Timeline'!AL37-0.5)/12))</f>
        <v>1.47723006398643</v>
      </c>
      <c r="AM18" s="149">
        <f>IF(AND(INDEX_USE=1,INDEX_BASE&gt;0,AM15&gt;0),AM15/INDEX_BASE,(1+ESC_EFF)^(('20_Timeline'!AM37-0.5)/12))</f>
        <v>1.49453569145754</v>
      </c>
      <c r="AN18" s="149">
        <f>IF(AND(INDEX_USE=1,INDEX_BASE&gt;0,AN15&gt;0),AN15/INDEX_BASE,(1+ESC_EFF)^(('20_Timeline'!AN37-0.5)/12))</f>
        <v>1.51204405291672</v>
      </c>
      <c r="AO18" s="149">
        <f>IF(AND(INDEX_USE=1,INDEX_BASE&gt;0,AO15&gt;0),AO15/INDEX_BASE,(1+ESC_EFF)^(('20_Timeline'!AO37-0.5)/12))</f>
        <v>1.5297575233758</v>
      </c>
      <c r="AP18" s="149">
        <f>IF(AND(INDEX_USE=1,INDEX_BASE&gt;0,AP15&gt;0),AP15/INDEX_BASE,(1+ESC_EFF)^(('20_Timeline'!AP37-0.5)/12))</f>
        <v>1.54767850566967</v>
      </c>
      <c r="AQ18" s="149">
        <f>IF(AND(INDEX_USE=1,INDEX_BASE&gt;0,AQ15&gt;0),AQ15/INDEX_BASE,(1+ESC_EFF)^(('20_Timeline'!AQ37-0.5)/12))</f>
        <v>1.56580943078223</v>
      </c>
      <c r="AR18" s="149">
        <f>IF(AND(INDEX_USE=1,INDEX_BASE&gt;0,AR15&gt;0),AR15/INDEX_BASE,(1+ESC_EFF)^(('20_Timeline'!AR37-0.5)/12))</f>
        <v>1.58415275817617</v>
      </c>
      <c r="AS18" s="149">
        <f>IF(AND(INDEX_USE=1,INDEX_BASE&gt;0,AS15&gt;0),AS15/INDEX_BASE,(1+ESC_EFF)^(('20_Timeline'!AS37-0.5)/12))</f>
        <v>1.60271097612656</v>
      </c>
      <c r="AT18" s="149">
        <f>IF(AND(INDEX_USE=1,INDEX_BASE&gt;0,AT15&gt;0),AT15/INDEX_BASE,(1+ESC_EFF)^(('20_Timeline'!AT37-0.5)/12))</f>
        <v>1.62148660205842</v>
      </c>
      <c r="AU18" s="149">
        <f>IF(AND(INDEX_USE=1,INDEX_BASE&gt;0,AU15&gt;0),AU15/INDEX_BASE,(1+ESC_EFF)^(('20_Timeline'!AU37-0.5)/12))</f>
        <v>1.64048218288819</v>
      </c>
      <c r="AV18" s="149">
        <f>IF(AND(INDEX_USE=1,INDEX_BASE&gt;0,AV15&gt;0),AV15/INDEX_BASE,(1+ESC_EFF)^(('20_Timeline'!AV37-0.5)/12))</f>
        <v>1.65970029536922</v>
      </c>
      <c r="AW18" s="149">
        <f>IF(AND(INDEX_USE=1,INDEX_BASE&gt;0,AW15&gt;0),AW15/INDEX_BASE,(1+ESC_EFF)^(('20_Timeline'!AW37-0.5)/12))</f>
        <v>1.67914354644133</v>
      </c>
      <c r="AX18" s="149">
        <f>IF(AND(INDEX_USE=1,INDEX_BASE&gt;0,AX15&gt;0),AX15/INDEX_BASE,(1+ESC_EFF)^(('20_Timeline'!AX37-0.5)/12))</f>
        <v>1.6988145735844</v>
      </c>
      <c r="AY18" s="149">
        <f>IF(AND(INDEX_USE=1,INDEX_BASE&gt;0,AY15&gt;0),AY15/INDEX_BASE,(1+ESC_EFF)^(('20_Timeline'!AY37-0.5)/12))</f>
        <v>1.71871604517618</v>
      </c>
      <c r="AZ18" s="149">
        <f>IF(AND(INDEX_USE=1,INDEX_BASE&gt;0,AZ15&gt;0),AZ15/INDEX_BASE,(1+ESC_EFF)^(('20_Timeline'!AZ37-0.5)/12))</f>
        <v>1.73885066085423</v>
      </c>
    </row>
    <row r="19" ht="20" customHeight="1">
      <c r="B19" s="113" t="inlineStr">
        <is>
          <t>Development cost accrual (IAS 2 / 16 / 40 / 23)</t>
        </is>
      </c>
      <c r="C19" s="37" t="inlineStr">
        <is>
          <t>የልማት ወጪ</t>
        </is>
      </c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  <c r="M19" s="115" t="n"/>
      <c r="N19" s="115" t="n"/>
      <c r="O19" s="115" t="n"/>
      <c r="P19" s="115" t="n"/>
      <c r="Q19" s="115" t="n"/>
      <c r="R19" s="115" t="n"/>
    </row>
    <row r="20">
      <c r="B20" s="36" t="inlineStr">
        <is>
          <t>Hard cost (escalated)</t>
        </is>
      </c>
      <c r="C20" s="117" t="inlineStr">
        <is>
          <t>ETB</t>
        </is>
      </c>
      <c r="D20" s="169">
        <f>SUM(E20:AZ20)</f>
        <v>319322348.722399</v>
      </c>
      <c r="E20" s="173">
        <f>HARD_BASE*E17*E18</f>
        <v>319619.525875243</v>
      </c>
      <c r="F20" s="173">
        <f>HARD_BASE*F17*F18</f>
        <v>1058729.33062491</v>
      </c>
      <c r="G20" s="173">
        <f>HARD_BASE*G17*G18</f>
        <v>1961008.44060138</v>
      </c>
      <c r="H20" s="173">
        <f>HARD_BASE*H17*H18</f>
        <v>3045030.15053281</v>
      </c>
      <c r="I20" s="173">
        <f>HARD_BASE*I17*I18</f>
        <v>4325214.472699</v>
      </c>
      <c r="J20" s="173">
        <f>HARD_BASE*J17*J18</f>
        <v>5808398.45644718</v>
      </c>
      <c r="K20" s="173">
        <f>HARD_BASE*K17*K18</f>
        <v>7489584.6768063</v>
      </c>
      <c r="L20" s="173">
        <f>HARD_BASE*L17*L18</f>
        <v>9347210.56278114</v>
      </c>
      <c r="M20" s="173">
        <f>HARD_BASE*M17*M18</f>
        <v>11338664.3649878</v>
      </c>
      <c r="N20" s="173">
        <f>HARD_BASE*N17*N18</f>
        <v>13397202.7246991</v>
      </c>
      <c r="O20" s="173">
        <f>HARD_BASE*O17*O18</f>
        <v>15431743.5317289</v>
      </c>
      <c r="P20" s="173">
        <f>HARD_BASE*P17*P18</f>
        <v>17330976.9212687</v>
      </c>
      <c r="Q20" s="173">
        <f>HARD_BASE*Q17*Q18</f>
        <v>18972618.2768432</v>
      </c>
      <c r="R20" s="173">
        <f>HARD_BASE*R17*R18</f>
        <v>20237347.4837547</v>
      </c>
      <c r="S20" s="173">
        <f>HARD_BASE*S17*S18</f>
        <v>21025307.7540761</v>
      </c>
      <c r="T20" s="173">
        <f>HARD_BASE*T17*T18</f>
        <v>21271617.4876294</v>
      </c>
      <c r="U20" s="173">
        <f>HARD_BASE*U17*U18</f>
        <v>20956948.630534</v>
      </c>
      <c r="V20" s="173">
        <f>HARD_BASE*V17*V18</f>
        <v>20110276.2181431</v>
      </c>
      <c r="W20" s="173">
        <f>HARD_BASE*W17*W18</f>
        <v>18803128.6499517</v>
      </c>
      <c r="X20" s="173">
        <f>HARD_BASE*X17*X18</f>
        <v>17137141.283454</v>
      </c>
      <c r="Y20" s="173">
        <f>HARD_BASE*Y17*Y18</f>
        <v>15228383.8814097</v>
      </c>
      <c r="Z20" s="173">
        <f>HARD_BASE*Z17*Z18</f>
        <v>13192220.2574066</v>
      </c>
      <c r="AA20" s="173">
        <f>HARD_BASE*AA17*AA18</f>
        <v>11131516.2979868</v>
      </c>
      <c r="AB20" s="173">
        <f>HARD_BASE*AB17*AB18</f>
        <v>9129486.3246481</v>
      </c>
      <c r="AC20" s="173">
        <f>HARD_BASE*AC17*AC18</f>
        <v>7247050.96033198</v>
      </c>
      <c r="AD20" s="173">
        <f>HARD_BASE*AD17*AD18</f>
        <v>5523684.543461</v>
      </c>
      <c r="AE20" s="173">
        <f>HARD_BASE*AE17*AE18</f>
        <v>3980422.06033684</v>
      </c>
      <c r="AF20" s="173">
        <f>HARD_BASE*AF17*AF18</f>
        <v>2623815.52259094</v>
      </c>
      <c r="AG20" s="173">
        <f>HARD_BASE*AG17*AG18</f>
        <v>1449956.87513719</v>
      </c>
      <c r="AH20" s="173">
        <f>HARD_BASE*AH17*AH18</f>
        <v>448043.055651044</v>
      </c>
      <c r="AI20" s="173">
        <f>HARD_BASE*AI17*AI18</f>
        <v>0</v>
      </c>
      <c r="AJ20" s="173">
        <f>HARD_BASE*AJ17*AJ18</f>
        <v>0</v>
      </c>
      <c r="AK20" s="173">
        <f>HARD_BASE*AK17*AK18</f>
        <v>0</v>
      </c>
      <c r="AL20" s="173">
        <f>HARD_BASE*AL17*AL18</f>
        <v>0</v>
      </c>
      <c r="AM20" s="173">
        <f>HARD_BASE*AM17*AM18</f>
        <v>0</v>
      </c>
      <c r="AN20" s="173">
        <f>HARD_BASE*AN17*AN18</f>
        <v>0</v>
      </c>
      <c r="AO20" s="173">
        <f>HARD_BASE*AO17*AO18</f>
        <v>0</v>
      </c>
      <c r="AP20" s="173">
        <f>HARD_BASE*AP17*AP18</f>
        <v>0</v>
      </c>
      <c r="AQ20" s="173">
        <f>HARD_BASE*AQ17*AQ18</f>
        <v>0</v>
      </c>
      <c r="AR20" s="173">
        <f>HARD_BASE*AR17*AR18</f>
        <v>0</v>
      </c>
      <c r="AS20" s="173">
        <f>HARD_BASE*AS17*AS18</f>
        <v>0</v>
      </c>
      <c r="AT20" s="173">
        <f>HARD_BASE*AT17*AT18</f>
        <v>0</v>
      </c>
      <c r="AU20" s="173">
        <f>HARD_BASE*AU17*AU18</f>
        <v>0</v>
      </c>
      <c r="AV20" s="173">
        <f>HARD_BASE*AV17*AV18</f>
        <v>0</v>
      </c>
      <c r="AW20" s="173">
        <f>HARD_BASE*AW17*AW18</f>
        <v>0</v>
      </c>
      <c r="AX20" s="173">
        <f>HARD_BASE*AX17*AX18</f>
        <v>0</v>
      </c>
      <c r="AY20" s="173">
        <f>HARD_BASE*AY17*AY18</f>
        <v>0</v>
      </c>
      <c r="AZ20" s="173">
        <f>HARD_BASE*AZ17*AZ18</f>
        <v>0</v>
      </c>
    </row>
    <row r="21">
      <c r="B21" s="36" t="inlineStr">
        <is>
          <t>Contingency</t>
        </is>
      </c>
      <c r="C21" s="117" t="inlineStr">
        <is>
          <t>ETB</t>
        </is>
      </c>
      <c r="D21" s="169">
        <f>SUM(E21:AZ21)</f>
        <v>25545787.8977919</v>
      </c>
      <c r="E21" s="173">
        <f>E20*CONT_PCT</f>
        <v>25569.5620700194</v>
      </c>
      <c r="F21" s="173">
        <f>F20*CONT_PCT</f>
        <v>84698.3464499932</v>
      </c>
      <c r="G21" s="173">
        <f>G20*CONT_PCT</f>
        <v>156880.67524811</v>
      </c>
      <c r="H21" s="173">
        <f>H20*CONT_PCT</f>
        <v>243602.412042625</v>
      </c>
      <c r="I21" s="173">
        <f>I20*CONT_PCT</f>
        <v>346017.15781592</v>
      </c>
      <c r="J21" s="173">
        <f>J20*CONT_PCT</f>
        <v>464671.876515774</v>
      </c>
      <c r="K21" s="173">
        <f>K20*CONT_PCT</f>
        <v>599166.774144504</v>
      </c>
      <c r="L21" s="173">
        <f>L20*CONT_PCT</f>
        <v>747776.845022491</v>
      </c>
      <c r="M21" s="173">
        <f>M20*CONT_PCT</f>
        <v>907093.149199024</v>
      </c>
      <c r="N21" s="173">
        <f>N20*CONT_PCT</f>
        <v>1071776.21797593</v>
      </c>
      <c r="O21" s="173">
        <f>O20*CONT_PCT</f>
        <v>1234539.48253831</v>
      </c>
      <c r="P21" s="173">
        <f>P20*CONT_PCT</f>
        <v>1386478.1537015</v>
      </c>
      <c r="Q21" s="173">
        <f>Q20*CONT_PCT</f>
        <v>1517809.46214745</v>
      </c>
      <c r="R21" s="173">
        <f>R20*CONT_PCT</f>
        <v>1618987.79870037</v>
      </c>
      <c r="S21" s="173">
        <f>S20*CONT_PCT</f>
        <v>1682024.62032609</v>
      </c>
      <c r="T21" s="173">
        <f>T20*CONT_PCT</f>
        <v>1701729.39901035</v>
      </c>
      <c r="U21" s="173">
        <f>U20*CONT_PCT</f>
        <v>1676555.89044272</v>
      </c>
      <c r="V21" s="173">
        <f>V20*CONT_PCT</f>
        <v>1608822.09745145</v>
      </c>
      <c r="W21" s="173">
        <f>W20*CONT_PCT</f>
        <v>1504250.29199614</v>
      </c>
      <c r="X21" s="173">
        <f>X20*CONT_PCT</f>
        <v>1370971.30267632</v>
      </c>
      <c r="Y21" s="173">
        <f>Y20*CONT_PCT</f>
        <v>1218270.71051277</v>
      </c>
      <c r="Z21" s="173">
        <f>Z20*CONT_PCT</f>
        <v>1055377.62059253</v>
      </c>
      <c r="AA21" s="173">
        <f>AA20*CONT_PCT</f>
        <v>890521.303838948</v>
      </c>
      <c r="AB21" s="173">
        <f>AB20*CONT_PCT</f>
        <v>730358.905971848</v>
      </c>
      <c r="AC21" s="173">
        <f>AC20*CONT_PCT</f>
        <v>579764.076826558</v>
      </c>
      <c r="AD21" s="173">
        <f>AD20*CONT_PCT</f>
        <v>441894.76347688</v>
      </c>
      <c r="AE21" s="173">
        <f>AE20*CONT_PCT</f>
        <v>318433.764826947</v>
      </c>
      <c r="AF21" s="173">
        <f>AF20*CONT_PCT</f>
        <v>209905.241807276</v>
      </c>
      <c r="AG21" s="173">
        <f>AG20*CONT_PCT</f>
        <v>115996.550010975</v>
      </c>
      <c r="AH21" s="173">
        <f>AH20*CONT_PCT</f>
        <v>35843.4444520835</v>
      </c>
      <c r="AI21" s="173">
        <f>AI20*CONT_PCT</f>
        <v>0</v>
      </c>
      <c r="AJ21" s="173">
        <f>AJ20*CONT_PCT</f>
        <v>0</v>
      </c>
      <c r="AK21" s="173">
        <f>AK20*CONT_PCT</f>
        <v>0</v>
      </c>
      <c r="AL21" s="173">
        <f>AL20*CONT_PCT</f>
        <v>0</v>
      </c>
      <c r="AM21" s="173">
        <f>AM20*CONT_PCT</f>
        <v>0</v>
      </c>
      <c r="AN21" s="173">
        <f>AN20*CONT_PCT</f>
        <v>0</v>
      </c>
      <c r="AO21" s="173">
        <f>AO20*CONT_PCT</f>
        <v>0</v>
      </c>
      <c r="AP21" s="173">
        <f>AP20*CONT_PCT</f>
        <v>0</v>
      </c>
      <c r="AQ21" s="173">
        <f>AQ20*CONT_PCT</f>
        <v>0</v>
      </c>
      <c r="AR21" s="173">
        <f>AR20*CONT_PCT</f>
        <v>0</v>
      </c>
      <c r="AS21" s="173">
        <f>AS20*CONT_PCT</f>
        <v>0</v>
      </c>
      <c r="AT21" s="173">
        <f>AT20*CONT_PCT</f>
        <v>0</v>
      </c>
      <c r="AU21" s="173">
        <f>AU20*CONT_PCT</f>
        <v>0</v>
      </c>
      <c r="AV21" s="173">
        <f>AV20*CONT_PCT</f>
        <v>0</v>
      </c>
      <c r="AW21" s="173">
        <f>AW20*CONT_PCT</f>
        <v>0</v>
      </c>
      <c r="AX21" s="173">
        <f>AX20*CONT_PCT</f>
        <v>0</v>
      </c>
      <c r="AY21" s="173">
        <f>AY20*CONT_PCT</f>
        <v>0</v>
      </c>
      <c r="AZ21" s="173">
        <f>AZ20*CONT_PCT</f>
        <v>0</v>
      </c>
    </row>
    <row r="22">
      <c r="B22" s="36" t="inlineStr">
        <is>
          <t>Design fees</t>
        </is>
      </c>
      <c r="C22" s="117" t="inlineStr">
        <is>
          <t>ETB</t>
        </is>
      </c>
      <c r="D22" s="169">
        <f>SUM(E22:AZ22)</f>
        <v>13377850</v>
      </c>
      <c r="E22" s="173">
        <f>DESIGN_PCT*HARD_BASE*(IF('20_Timeline'!E37=1,DESIGN_UPFRONT,0)+(1-DESIGN_UPFRONT)*E17)</f>
        <v>6696869.09144893</v>
      </c>
      <c r="F22" s="173">
        <f>DESIGN_PCT*HARD_BASE*(IF('20_Timeline'!F37=1,DESIGN_UPFRONT,0)+(1-DESIGN_UPFRONT)*F17)</f>
        <v>26009.8425612212</v>
      </c>
      <c r="G22" s="173">
        <f>DESIGN_PCT*HARD_BASE*(IF('20_Timeline'!G37=1,DESIGN_UPFRONT,0)+(1-DESIGN_UPFRONT)*G17)</f>
        <v>47618.3220874087</v>
      </c>
      <c r="H22" s="173">
        <f>DESIGN_PCT*HARD_BASE*(IF('20_Timeline'!H37=1,DESIGN_UPFRONT,0)+(1-DESIGN_UPFRONT)*H17)</f>
        <v>73084.969335965</v>
      </c>
      <c r="I22" s="173">
        <f>DESIGN_PCT*HARD_BASE*(IF('20_Timeline'!I37=1,DESIGN_UPFRONT,0)+(1-DESIGN_UPFRONT)*I17)</f>
        <v>102609.12072032</v>
      </c>
      <c r="J22" s="173">
        <f>DESIGN_PCT*HARD_BASE*(IF('20_Timeline'!J37=1,DESIGN_UPFRONT,0)+(1-DESIGN_UPFRONT)*J17)</f>
        <v>136199.830316742</v>
      </c>
      <c r="K22" s="173">
        <f>DESIGN_PCT*HARD_BASE*(IF('20_Timeline'!K37=1,DESIGN_UPFRONT,0)+(1-DESIGN_UPFRONT)*K17)</f>
        <v>173588.019031142</v>
      </c>
      <c r="L22" s="173">
        <f>DESIGN_PCT*HARD_BASE*(IF('20_Timeline'!L37=1,DESIGN_UPFRONT,0)+(1-DESIGN_UPFRONT)*L17)</f>
        <v>214134.125666153</v>
      </c>
      <c r="M22" s="173">
        <f>DESIGN_PCT*HARD_BASE*(IF('20_Timeline'!M37=1,DESIGN_UPFRONT,0)+(1-DESIGN_UPFRONT)*M17)</f>
        <v>256748.316763152</v>
      </c>
      <c r="N22" s="173">
        <f>DESIGN_PCT*HARD_BASE*(IF('20_Timeline'!N37=1,DESIGN_UPFRONT,0)+(1-DESIGN_UPFRONT)*N17)</f>
        <v>299848.362068965</v>
      </c>
      <c r="O22" s="173">
        <f>DESIGN_PCT*HARD_BASE*(IF('20_Timeline'!O37=1,DESIGN_UPFRONT,0)+(1-DESIGN_UPFRONT)*O17)</f>
        <v>341384.968879668</v>
      </c>
      <c r="P22" s="173">
        <f>DESIGN_PCT*HARD_BASE*(IF('20_Timeline'!P37=1,DESIGN_UPFRONT,0)+(1-DESIGN_UPFRONT)*P17)</f>
        <v>378960.800351102</v>
      </c>
      <c r="Q22" s="173">
        <f>DESIGN_PCT*HARD_BASE*(IF('20_Timeline'!Q37=1,DESIGN_UPFRONT,0)+(1-DESIGN_UPFRONT)*Q17)</f>
        <v>410053.346489755</v>
      </c>
      <c r="R22" s="173">
        <f>DESIGN_PCT*HARD_BASE*(IF('20_Timeline'!R37=1,DESIGN_UPFRONT,0)+(1-DESIGN_UPFRONT)*R17)</f>
        <v>432323.185164431</v>
      </c>
      <c r="S22" s="173">
        <f>DESIGN_PCT*HARD_BASE*(IF('20_Timeline'!S37=1,DESIGN_UPFRONT,0)+(1-DESIGN_UPFRONT)*S17)</f>
        <v>443955.199115044</v>
      </c>
      <c r="T22" s="173">
        <f>DESIGN_PCT*HARD_BASE*(IF('20_Timeline'!T37=1,DESIGN_UPFRONT,0)+(1-DESIGN_UPFRONT)*T17)</f>
        <v>443955.199115044</v>
      </c>
      <c r="U22" s="173">
        <f>DESIGN_PCT*HARD_BASE*(IF('20_Timeline'!U37=1,DESIGN_UPFRONT,0)+(1-DESIGN_UPFRONT)*U17)</f>
        <v>432323.185164432</v>
      </c>
      <c r="V22" s="173">
        <f>DESIGN_PCT*HARD_BASE*(IF('20_Timeline'!V37=1,DESIGN_UPFRONT,0)+(1-DESIGN_UPFRONT)*V17)</f>
        <v>410053.346489755</v>
      </c>
      <c r="W22" s="173">
        <f>DESIGN_PCT*HARD_BASE*(IF('20_Timeline'!W37=1,DESIGN_UPFRONT,0)+(1-DESIGN_UPFRONT)*W17)</f>
        <v>378960.800351101</v>
      </c>
      <c r="X22" s="173">
        <f>DESIGN_PCT*HARD_BASE*(IF('20_Timeline'!X37=1,DESIGN_UPFRONT,0)+(1-DESIGN_UPFRONT)*X17)</f>
        <v>341384.968879668</v>
      </c>
      <c r="Y22" s="173">
        <f>DESIGN_PCT*HARD_BASE*(IF('20_Timeline'!Y37=1,DESIGN_UPFRONT,0)+(1-DESIGN_UPFRONT)*Y17)</f>
        <v>299848.362068965</v>
      </c>
      <c r="Z22" s="173">
        <f>DESIGN_PCT*HARD_BASE*(IF('20_Timeline'!Z37=1,DESIGN_UPFRONT,0)+(1-DESIGN_UPFRONT)*Z17)</f>
        <v>256748.316763151</v>
      </c>
      <c r="AA22" s="173">
        <f>DESIGN_PCT*HARD_BASE*(IF('20_Timeline'!AA37=1,DESIGN_UPFRONT,0)+(1-DESIGN_UPFRONT)*AA17)</f>
        <v>214134.125666154</v>
      </c>
      <c r="AB22" s="173">
        <f>DESIGN_PCT*HARD_BASE*(IF('20_Timeline'!AB37=1,DESIGN_UPFRONT,0)+(1-DESIGN_UPFRONT)*AB17)</f>
        <v>173588.019031142</v>
      </c>
      <c r="AC22" s="173">
        <f>DESIGN_PCT*HARD_BASE*(IF('20_Timeline'!AC37=1,DESIGN_UPFRONT,0)+(1-DESIGN_UPFRONT)*AC17)</f>
        <v>136199.830316742</v>
      </c>
      <c r="AD22" s="173">
        <f>DESIGN_PCT*HARD_BASE*(IF('20_Timeline'!AD37=1,DESIGN_UPFRONT,0)+(1-DESIGN_UPFRONT)*AD17)</f>
        <v>102609.12072032</v>
      </c>
      <c r="AE22" s="173">
        <f>DESIGN_PCT*HARD_BASE*(IF('20_Timeline'!AE37=1,DESIGN_UPFRONT,0)+(1-DESIGN_UPFRONT)*AE17)</f>
        <v>73084.9693359649</v>
      </c>
      <c r="AF22" s="173">
        <f>DESIGN_PCT*HARD_BASE*(IF('20_Timeline'!AF37=1,DESIGN_UPFRONT,0)+(1-DESIGN_UPFRONT)*AF17)</f>
        <v>47618.3220874087</v>
      </c>
      <c r="AG22" s="173">
        <f>DESIGN_PCT*HARD_BASE*(IF('20_Timeline'!AG37=1,DESIGN_UPFRONT,0)+(1-DESIGN_UPFRONT)*AG17)</f>
        <v>26009.842561222</v>
      </c>
      <c r="AH22" s="173">
        <f>DESIGN_PCT*HARD_BASE*(IF('20_Timeline'!AH37=1,DESIGN_UPFRONT,0)+(1-DESIGN_UPFRONT)*AH17)</f>
        <v>7944.0914489304</v>
      </c>
      <c r="AI22" s="173">
        <f>DESIGN_PCT*HARD_BASE*(IF('20_Timeline'!AI37=1,DESIGN_UPFRONT,0)+(1-DESIGN_UPFRONT)*AI17)</f>
        <v>0</v>
      </c>
      <c r="AJ22" s="173">
        <f>DESIGN_PCT*HARD_BASE*(IF('20_Timeline'!AJ37=1,DESIGN_UPFRONT,0)+(1-DESIGN_UPFRONT)*AJ17)</f>
        <v>0</v>
      </c>
      <c r="AK22" s="173">
        <f>DESIGN_PCT*HARD_BASE*(IF('20_Timeline'!AK37=1,DESIGN_UPFRONT,0)+(1-DESIGN_UPFRONT)*AK17)</f>
        <v>0</v>
      </c>
      <c r="AL22" s="173">
        <f>DESIGN_PCT*HARD_BASE*(IF('20_Timeline'!AL37=1,DESIGN_UPFRONT,0)+(1-DESIGN_UPFRONT)*AL17)</f>
        <v>0</v>
      </c>
      <c r="AM22" s="173">
        <f>DESIGN_PCT*HARD_BASE*(IF('20_Timeline'!AM37=1,DESIGN_UPFRONT,0)+(1-DESIGN_UPFRONT)*AM17)</f>
        <v>0</v>
      </c>
      <c r="AN22" s="173">
        <f>DESIGN_PCT*HARD_BASE*(IF('20_Timeline'!AN37=1,DESIGN_UPFRONT,0)+(1-DESIGN_UPFRONT)*AN17)</f>
        <v>0</v>
      </c>
      <c r="AO22" s="173">
        <f>DESIGN_PCT*HARD_BASE*(IF('20_Timeline'!AO37=1,DESIGN_UPFRONT,0)+(1-DESIGN_UPFRONT)*AO17)</f>
        <v>0</v>
      </c>
      <c r="AP22" s="173">
        <f>DESIGN_PCT*HARD_BASE*(IF('20_Timeline'!AP37=1,DESIGN_UPFRONT,0)+(1-DESIGN_UPFRONT)*AP17)</f>
        <v>0</v>
      </c>
      <c r="AQ22" s="173">
        <f>DESIGN_PCT*HARD_BASE*(IF('20_Timeline'!AQ37=1,DESIGN_UPFRONT,0)+(1-DESIGN_UPFRONT)*AQ17)</f>
        <v>0</v>
      </c>
      <c r="AR22" s="173">
        <f>DESIGN_PCT*HARD_BASE*(IF('20_Timeline'!AR37=1,DESIGN_UPFRONT,0)+(1-DESIGN_UPFRONT)*AR17)</f>
        <v>0</v>
      </c>
      <c r="AS22" s="173">
        <f>DESIGN_PCT*HARD_BASE*(IF('20_Timeline'!AS37=1,DESIGN_UPFRONT,0)+(1-DESIGN_UPFRONT)*AS17)</f>
        <v>0</v>
      </c>
      <c r="AT22" s="173">
        <f>DESIGN_PCT*HARD_BASE*(IF('20_Timeline'!AT37=1,DESIGN_UPFRONT,0)+(1-DESIGN_UPFRONT)*AT17)</f>
        <v>0</v>
      </c>
      <c r="AU22" s="173">
        <f>DESIGN_PCT*HARD_BASE*(IF('20_Timeline'!AU37=1,DESIGN_UPFRONT,0)+(1-DESIGN_UPFRONT)*AU17)</f>
        <v>0</v>
      </c>
      <c r="AV22" s="173">
        <f>DESIGN_PCT*HARD_BASE*(IF('20_Timeline'!AV37=1,DESIGN_UPFRONT,0)+(1-DESIGN_UPFRONT)*AV17)</f>
        <v>0</v>
      </c>
      <c r="AW22" s="173">
        <f>DESIGN_PCT*HARD_BASE*(IF('20_Timeline'!AW37=1,DESIGN_UPFRONT,0)+(1-DESIGN_UPFRONT)*AW17)</f>
        <v>0</v>
      </c>
      <c r="AX22" s="173">
        <f>DESIGN_PCT*HARD_BASE*(IF('20_Timeline'!AX37=1,DESIGN_UPFRONT,0)+(1-DESIGN_UPFRONT)*AX17)</f>
        <v>0</v>
      </c>
      <c r="AY22" s="173">
        <f>DESIGN_PCT*HARD_BASE*(IF('20_Timeline'!AY37=1,DESIGN_UPFRONT,0)+(1-DESIGN_UPFRONT)*AY17)</f>
        <v>0</v>
      </c>
      <c r="AZ22" s="173">
        <f>DESIGN_PCT*HARD_BASE*(IF('20_Timeline'!AZ37=1,DESIGN_UPFRONT,0)+(1-DESIGN_UPFRONT)*AZ17)</f>
        <v>0</v>
      </c>
    </row>
    <row r="23">
      <c r="B23" s="36" t="inlineStr">
        <is>
          <t>Supervision</t>
        </is>
      </c>
      <c r="C23" s="117" t="inlineStr">
        <is>
          <t>ETB</t>
        </is>
      </c>
      <c r="D23" s="169">
        <f>SUM(E23:AZ23)</f>
        <v>9579670.46167197</v>
      </c>
      <c r="E23" s="173">
        <f>SUPERV_PCT*E20</f>
        <v>9588.58577625729</v>
      </c>
      <c r="F23" s="173">
        <f>SUPERV_PCT*F20</f>
        <v>31761.8799187474</v>
      </c>
      <c r="G23" s="173">
        <f>SUPERV_PCT*G20</f>
        <v>58830.2532180413</v>
      </c>
      <c r="H23" s="173">
        <f>SUPERV_PCT*H20</f>
        <v>91350.9045159844</v>
      </c>
      <c r="I23" s="173">
        <f>SUPERV_PCT*I20</f>
        <v>129756.43418097</v>
      </c>
      <c r="J23" s="173">
        <f>SUPERV_PCT*J20</f>
        <v>174251.953693415</v>
      </c>
      <c r="K23" s="173">
        <f>SUPERV_PCT*K20</f>
        <v>224687.540304189</v>
      </c>
      <c r="L23" s="173">
        <f>SUPERV_PCT*L20</f>
        <v>280416.316883434</v>
      </c>
      <c r="M23" s="173">
        <f>SUPERV_PCT*M20</f>
        <v>340159.930949634</v>
      </c>
      <c r="N23" s="173">
        <f>SUPERV_PCT*N20</f>
        <v>401916.081740974</v>
      </c>
      <c r="O23" s="173">
        <f>SUPERV_PCT*O20</f>
        <v>462952.305951867</v>
      </c>
      <c r="P23" s="173">
        <f>SUPERV_PCT*P20</f>
        <v>519929.307638061</v>
      </c>
      <c r="Q23" s="173">
        <f>SUPERV_PCT*Q20</f>
        <v>569178.548305295</v>
      </c>
      <c r="R23" s="173">
        <f>SUPERV_PCT*R20</f>
        <v>607120.42451264</v>
      </c>
      <c r="S23" s="173">
        <f>SUPERV_PCT*S20</f>
        <v>630759.232622282</v>
      </c>
      <c r="T23" s="173">
        <f>SUPERV_PCT*T20</f>
        <v>638148.524628883</v>
      </c>
      <c r="U23" s="173">
        <f>SUPERV_PCT*U20</f>
        <v>628708.458916019</v>
      </c>
      <c r="V23" s="173">
        <f>SUPERV_PCT*V20</f>
        <v>603308.286544293</v>
      </c>
      <c r="W23" s="173">
        <f>SUPERV_PCT*W20</f>
        <v>564093.859498552</v>
      </c>
      <c r="X23" s="173">
        <f>SUPERV_PCT*X20</f>
        <v>514114.238503621</v>
      </c>
      <c r="Y23" s="173">
        <f>SUPERV_PCT*Y20</f>
        <v>456851.51644229</v>
      </c>
      <c r="Z23" s="173">
        <f>SUPERV_PCT*Z20</f>
        <v>395766.607722197</v>
      </c>
      <c r="AA23" s="173">
        <f>SUPERV_PCT*AA20</f>
        <v>333945.488939605</v>
      </c>
      <c r="AB23" s="173">
        <f>SUPERV_PCT*AB20</f>
        <v>273884.589739443</v>
      </c>
      <c r="AC23" s="173">
        <f>SUPERV_PCT*AC20</f>
        <v>217411.528809959</v>
      </c>
      <c r="AD23" s="173">
        <f>SUPERV_PCT*AD20</f>
        <v>165710.53630383</v>
      </c>
      <c r="AE23" s="173">
        <f>SUPERV_PCT*AE20</f>
        <v>119412.661810105</v>
      </c>
      <c r="AF23" s="173">
        <f>SUPERV_PCT*AF20</f>
        <v>78714.4656777283</v>
      </c>
      <c r="AG23" s="173">
        <f>SUPERV_PCT*AG20</f>
        <v>43498.7062541157</v>
      </c>
      <c r="AH23" s="173">
        <f>SUPERV_PCT*AH20</f>
        <v>13441.2916695313</v>
      </c>
      <c r="AI23" s="173">
        <f>SUPERV_PCT*AI20</f>
        <v>0</v>
      </c>
      <c r="AJ23" s="173">
        <f>SUPERV_PCT*AJ20</f>
        <v>0</v>
      </c>
      <c r="AK23" s="173">
        <f>SUPERV_PCT*AK20</f>
        <v>0</v>
      </c>
      <c r="AL23" s="173">
        <f>SUPERV_PCT*AL20</f>
        <v>0</v>
      </c>
      <c r="AM23" s="173">
        <f>SUPERV_PCT*AM20</f>
        <v>0</v>
      </c>
      <c r="AN23" s="173">
        <f>SUPERV_PCT*AN20</f>
        <v>0</v>
      </c>
      <c r="AO23" s="173">
        <f>SUPERV_PCT*AO20</f>
        <v>0</v>
      </c>
      <c r="AP23" s="173">
        <f>SUPERV_PCT*AP20</f>
        <v>0</v>
      </c>
      <c r="AQ23" s="173">
        <f>SUPERV_PCT*AQ20</f>
        <v>0</v>
      </c>
      <c r="AR23" s="173">
        <f>SUPERV_PCT*AR20</f>
        <v>0</v>
      </c>
      <c r="AS23" s="173">
        <f>SUPERV_PCT*AS20</f>
        <v>0</v>
      </c>
      <c r="AT23" s="173">
        <f>SUPERV_PCT*AT20</f>
        <v>0</v>
      </c>
      <c r="AU23" s="173">
        <f>SUPERV_PCT*AU20</f>
        <v>0</v>
      </c>
      <c r="AV23" s="173">
        <f>SUPERV_PCT*AV20</f>
        <v>0</v>
      </c>
      <c r="AW23" s="173">
        <f>SUPERV_PCT*AW20</f>
        <v>0</v>
      </c>
      <c r="AX23" s="173">
        <f>SUPERV_PCT*AX20</f>
        <v>0</v>
      </c>
      <c r="AY23" s="173">
        <f>SUPERV_PCT*AY20</f>
        <v>0</v>
      </c>
      <c r="AZ23" s="173">
        <f>SUPERV_PCT*AZ20</f>
        <v>0</v>
      </c>
    </row>
    <row r="24">
      <c r="B24" s="36" t="inlineStr">
        <is>
          <t>Permits &amp; fees</t>
        </is>
      </c>
      <c r="C24" s="117" t="inlineStr">
        <is>
          <t>ETB</t>
        </is>
      </c>
      <c r="D24" s="169">
        <f>SUM(E24:AZ24)</f>
        <v>2500000</v>
      </c>
      <c r="E24" s="170">
        <f>PERMITS</f>
        <v>2500000</v>
      </c>
      <c r="F24" s="173" t="n">
        <v>0</v>
      </c>
      <c r="G24" s="173" t="n">
        <v>0</v>
      </c>
      <c r="H24" s="173" t="n">
        <v>0</v>
      </c>
      <c r="I24" s="173" t="n">
        <v>0</v>
      </c>
      <c r="J24" s="173" t="n">
        <v>0</v>
      </c>
      <c r="K24" s="173" t="n">
        <v>0</v>
      </c>
      <c r="L24" s="173" t="n">
        <v>0</v>
      </c>
      <c r="M24" s="173" t="n">
        <v>0</v>
      </c>
      <c r="N24" s="173" t="n">
        <v>0</v>
      </c>
      <c r="O24" s="173" t="n">
        <v>0</v>
      </c>
      <c r="P24" s="173" t="n">
        <v>0</v>
      </c>
      <c r="Q24" s="173" t="n">
        <v>0</v>
      </c>
      <c r="R24" s="173" t="n">
        <v>0</v>
      </c>
      <c r="S24" s="173" t="n">
        <v>0</v>
      </c>
      <c r="T24" s="173" t="n">
        <v>0</v>
      </c>
      <c r="U24" s="173" t="n">
        <v>0</v>
      </c>
      <c r="V24" s="173" t="n">
        <v>0</v>
      </c>
      <c r="W24" s="173" t="n">
        <v>0</v>
      </c>
      <c r="X24" s="173" t="n">
        <v>0</v>
      </c>
      <c r="Y24" s="173" t="n">
        <v>0</v>
      </c>
      <c r="Z24" s="173" t="n">
        <v>0</v>
      </c>
      <c r="AA24" s="173" t="n">
        <v>0</v>
      </c>
      <c r="AB24" s="173" t="n">
        <v>0</v>
      </c>
      <c r="AC24" s="173" t="n">
        <v>0</v>
      </c>
      <c r="AD24" s="173" t="n">
        <v>0</v>
      </c>
      <c r="AE24" s="173" t="n">
        <v>0</v>
      </c>
      <c r="AF24" s="173" t="n">
        <v>0</v>
      </c>
      <c r="AG24" s="173" t="n">
        <v>0</v>
      </c>
      <c r="AH24" s="173" t="n">
        <v>0</v>
      </c>
      <c r="AI24" s="173" t="n">
        <v>0</v>
      </c>
      <c r="AJ24" s="173" t="n">
        <v>0</v>
      </c>
      <c r="AK24" s="173" t="n">
        <v>0</v>
      </c>
      <c r="AL24" s="173" t="n">
        <v>0</v>
      </c>
      <c r="AM24" s="173" t="n">
        <v>0</v>
      </c>
      <c r="AN24" s="173" t="n">
        <v>0</v>
      </c>
      <c r="AO24" s="173" t="n">
        <v>0</v>
      </c>
      <c r="AP24" s="173" t="n">
        <v>0</v>
      </c>
      <c r="AQ24" s="173" t="n">
        <v>0</v>
      </c>
      <c r="AR24" s="173" t="n">
        <v>0</v>
      </c>
      <c r="AS24" s="173" t="n">
        <v>0</v>
      </c>
      <c r="AT24" s="173" t="n">
        <v>0</v>
      </c>
      <c r="AU24" s="173" t="n">
        <v>0</v>
      </c>
      <c r="AV24" s="173" t="n">
        <v>0</v>
      </c>
      <c r="AW24" s="173" t="n">
        <v>0</v>
      </c>
      <c r="AX24" s="173" t="n">
        <v>0</v>
      </c>
      <c r="AY24" s="173" t="n">
        <v>0</v>
      </c>
      <c r="AZ24" s="173" t="n">
        <v>0</v>
      </c>
    </row>
    <row r="25">
      <c r="B25" s="36" t="inlineStr">
        <is>
          <t>FF&amp;E / furniture</t>
        </is>
      </c>
      <c r="C25" s="117" t="inlineStr">
        <is>
          <t>ETB</t>
        </is>
      </c>
      <c r="D25" s="169">
        <f>SUM(E25:AZ25)</f>
        <v>6000000</v>
      </c>
      <c r="E25" s="173">
        <f>IF('20_Timeline'!E37=CONSTR_EFF,FFE,0)</f>
        <v>0</v>
      </c>
      <c r="F25" s="173">
        <f>IF('20_Timeline'!F37=CONSTR_EFF,FFE,0)</f>
        <v>0</v>
      </c>
      <c r="G25" s="173">
        <f>IF('20_Timeline'!G37=CONSTR_EFF,FFE,0)</f>
        <v>0</v>
      </c>
      <c r="H25" s="173">
        <f>IF('20_Timeline'!H37=CONSTR_EFF,FFE,0)</f>
        <v>0</v>
      </c>
      <c r="I25" s="173">
        <f>IF('20_Timeline'!I37=CONSTR_EFF,FFE,0)</f>
        <v>0</v>
      </c>
      <c r="J25" s="173">
        <f>IF('20_Timeline'!J37=CONSTR_EFF,FFE,0)</f>
        <v>0</v>
      </c>
      <c r="K25" s="173">
        <f>IF('20_Timeline'!K37=CONSTR_EFF,FFE,0)</f>
        <v>0</v>
      </c>
      <c r="L25" s="173">
        <f>IF('20_Timeline'!L37=CONSTR_EFF,FFE,0)</f>
        <v>0</v>
      </c>
      <c r="M25" s="173">
        <f>IF('20_Timeline'!M37=CONSTR_EFF,FFE,0)</f>
        <v>0</v>
      </c>
      <c r="N25" s="173">
        <f>IF('20_Timeline'!N37=CONSTR_EFF,FFE,0)</f>
        <v>0</v>
      </c>
      <c r="O25" s="173">
        <f>IF('20_Timeline'!O37=CONSTR_EFF,FFE,0)</f>
        <v>0</v>
      </c>
      <c r="P25" s="173">
        <f>IF('20_Timeline'!P37=CONSTR_EFF,FFE,0)</f>
        <v>0</v>
      </c>
      <c r="Q25" s="173">
        <f>IF('20_Timeline'!Q37=CONSTR_EFF,FFE,0)</f>
        <v>0</v>
      </c>
      <c r="R25" s="173">
        <f>IF('20_Timeline'!R37=CONSTR_EFF,FFE,0)</f>
        <v>0</v>
      </c>
      <c r="S25" s="173">
        <f>IF('20_Timeline'!S37=CONSTR_EFF,FFE,0)</f>
        <v>0</v>
      </c>
      <c r="T25" s="173">
        <f>IF('20_Timeline'!T37=CONSTR_EFF,FFE,0)</f>
        <v>0</v>
      </c>
      <c r="U25" s="173">
        <f>IF('20_Timeline'!U37=CONSTR_EFF,FFE,0)</f>
        <v>0</v>
      </c>
      <c r="V25" s="173">
        <f>IF('20_Timeline'!V37=CONSTR_EFF,FFE,0)</f>
        <v>0</v>
      </c>
      <c r="W25" s="173">
        <f>IF('20_Timeline'!W37=CONSTR_EFF,FFE,0)</f>
        <v>0</v>
      </c>
      <c r="X25" s="173">
        <f>IF('20_Timeline'!X37=CONSTR_EFF,FFE,0)</f>
        <v>0</v>
      </c>
      <c r="Y25" s="173">
        <f>IF('20_Timeline'!Y37=CONSTR_EFF,FFE,0)</f>
        <v>0</v>
      </c>
      <c r="Z25" s="173">
        <f>IF('20_Timeline'!Z37=CONSTR_EFF,FFE,0)</f>
        <v>0</v>
      </c>
      <c r="AA25" s="173">
        <f>IF('20_Timeline'!AA37=CONSTR_EFF,FFE,0)</f>
        <v>0</v>
      </c>
      <c r="AB25" s="173">
        <f>IF('20_Timeline'!AB37=CONSTR_EFF,FFE,0)</f>
        <v>0</v>
      </c>
      <c r="AC25" s="173">
        <f>IF('20_Timeline'!AC37=CONSTR_EFF,FFE,0)</f>
        <v>0</v>
      </c>
      <c r="AD25" s="173">
        <f>IF('20_Timeline'!AD37=CONSTR_EFF,FFE,0)</f>
        <v>0</v>
      </c>
      <c r="AE25" s="173">
        <f>IF('20_Timeline'!AE37=CONSTR_EFF,FFE,0)</f>
        <v>0</v>
      </c>
      <c r="AF25" s="173">
        <f>IF('20_Timeline'!AF37=CONSTR_EFF,FFE,0)</f>
        <v>0</v>
      </c>
      <c r="AG25" s="173">
        <f>IF('20_Timeline'!AG37=CONSTR_EFF,FFE,0)</f>
        <v>0</v>
      </c>
      <c r="AH25" s="173">
        <f>IF('20_Timeline'!AH37=CONSTR_EFF,FFE,0)</f>
        <v>6000000</v>
      </c>
      <c r="AI25" s="173">
        <f>IF('20_Timeline'!AI37=CONSTR_EFF,FFE,0)</f>
        <v>0</v>
      </c>
      <c r="AJ25" s="173">
        <f>IF('20_Timeline'!AJ37=CONSTR_EFF,FFE,0)</f>
        <v>0</v>
      </c>
      <c r="AK25" s="173">
        <f>IF('20_Timeline'!AK37=CONSTR_EFF,FFE,0)</f>
        <v>0</v>
      </c>
      <c r="AL25" s="173">
        <f>IF('20_Timeline'!AL37=CONSTR_EFF,FFE,0)</f>
        <v>0</v>
      </c>
      <c r="AM25" s="173">
        <f>IF('20_Timeline'!AM37=CONSTR_EFF,FFE,0)</f>
        <v>0</v>
      </c>
      <c r="AN25" s="173">
        <f>IF('20_Timeline'!AN37=CONSTR_EFF,FFE,0)</f>
        <v>0</v>
      </c>
      <c r="AO25" s="173">
        <f>IF('20_Timeline'!AO37=CONSTR_EFF,FFE,0)</f>
        <v>0</v>
      </c>
      <c r="AP25" s="173">
        <f>IF('20_Timeline'!AP37=CONSTR_EFF,FFE,0)</f>
        <v>0</v>
      </c>
      <c r="AQ25" s="173">
        <f>IF('20_Timeline'!AQ37=CONSTR_EFF,FFE,0)</f>
        <v>0</v>
      </c>
      <c r="AR25" s="173">
        <f>IF('20_Timeline'!AR37=CONSTR_EFF,FFE,0)</f>
        <v>0</v>
      </c>
      <c r="AS25" s="173">
        <f>IF('20_Timeline'!AS37=CONSTR_EFF,FFE,0)</f>
        <v>0</v>
      </c>
      <c r="AT25" s="173">
        <f>IF('20_Timeline'!AT37=CONSTR_EFF,FFE,0)</f>
        <v>0</v>
      </c>
      <c r="AU25" s="173">
        <f>IF('20_Timeline'!AU37=CONSTR_EFF,FFE,0)</f>
        <v>0</v>
      </c>
      <c r="AV25" s="173">
        <f>IF('20_Timeline'!AV37=CONSTR_EFF,FFE,0)</f>
        <v>0</v>
      </c>
      <c r="AW25" s="173">
        <f>IF('20_Timeline'!AW37=CONSTR_EFF,FFE,0)</f>
        <v>0</v>
      </c>
      <c r="AX25" s="173">
        <f>IF('20_Timeline'!AX37=CONSTR_EFF,FFE,0)</f>
        <v>0</v>
      </c>
      <c r="AY25" s="173">
        <f>IF('20_Timeline'!AY37=CONSTR_EFF,FFE,0)</f>
        <v>0</v>
      </c>
      <c r="AZ25" s="173">
        <f>IF('20_Timeline'!AZ37=CONSTR_EFF,FFE,0)</f>
        <v>0</v>
      </c>
    </row>
    <row r="26">
      <c r="B26" s="36" t="inlineStr">
        <is>
          <t>Land (recognised month 1)</t>
        </is>
      </c>
      <c r="C26" s="117" t="inlineStr">
        <is>
          <t>ETB</t>
        </is>
      </c>
      <c r="D26" s="169">
        <f>SUM(E26:AZ26)</f>
        <v>150000000</v>
      </c>
      <c r="E26" s="170">
        <f>LAND_VALUE</f>
        <v>150000000</v>
      </c>
      <c r="F26" s="173" t="n">
        <v>0</v>
      </c>
      <c r="G26" s="173" t="n">
        <v>0</v>
      </c>
      <c r="H26" s="173" t="n">
        <v>0</v>
      </c>
      <c r="I26" s="173" t="n">
        <v>0</v>
      </c>
      <c r="J26" s="173" t="n">
        <v>0</v>
      </c>
      <c r="K26" s="173" t="n">
        <v>0</v>
      </c>
      <c r="L26" s="173" t="n">
        <v>0</v>
      </c>
      <c r="M26" s="173" t="n">
        <v>0</v>
      </c>
      <c r="N26" s="173" t="n">
        <v>0</v>
      </c>
      <c r="O26" s="173" t="n">
        <v>0</v>
      </c>
      <c r="P26" s="173" t="n">
        <v>0</v>
      </c>
      <c r="Q26" s="173" t="n">
        <v>0</v>
      </c>
      <c r="R26" s="173" t="n">
        <v>0</v>
      </c>
      <c r="S26" s="173" t="n">
        <v>0</v>
      </c>
      <c r="T26" s="173" t="n">
        <v>0</v>
      </c>
      <c r="U26" s="173" t="n">
        <v>0</v>
      </c>
      <c r="V26" s="173" t="n">
        <v>0</v>
      </c>
      <c r="W26" s="173" t="n">
        <v>0</v>
      </c>
      <c r="X26" s="173" t="n">
        <v>0</v>
      </c>
      <c r="Y26" s="173" t="n">
        <v>0</v>
      </c>
      <c r="Z26" s="173" t="n">
        <v>0</v>
      </c>
      <c r="AA26" s="173" t="n">
        <v>0</v>
      </c>
      <c r="AB26" s="173" t="n">
        <v>0</v>
      </c>
      <c r="AC26" s="173" t="n">
        <v>0</v>
      </c>
      <c r="AD26" s="173" t="n">
        <v>0</v>
      </c>
      <c r="AE26" s="173" t="n">
        <v>0</v>
      </c>
      <c r="AF26" s="173" t="n">
        <v>0</v>
      </c>
      <c r="AG26" s="173" t="n">
        <v>0</v>
      </c>
      <c r="AH26" s="173" t="n">
        <v>0</v>
      </c>
      <c r="AI26" s="173" t="n">
        <v>0</v>
      </c>
      <c r="AJ26" s="173" t="n">
        <v>0</v>
      </c>
      <c r="AK26" s="173" t="n">
        <v>0</v>
      </c>
      <c r="AL26" s="173" t="n">
        <v>0</v>
      </c>
      <c r="AM26" s="173" t="n">
        <v>0</v>
      </c>
      <c r="AN26" s="173" t="n">
        <v>0</v>
      </c>
      <c r="AO26" s="173" t="n">
        <v>0</v>
      </c>
      <c r="AP26" s="173" t="n">
        <v>0</v>
      </c>
      <c r="AQ26" s="173" t="n">
        <v>0</v>
      </c>
      <c r="AR26" s="173" t="n">
        <v>0</v>
      </c>
      <c r="AS26" s="173" t="n">
        <v>0</v>
      </c>
      <c r="AT26" s="173" t="n">
        <v>0</v>
      </c>
      <c r="AU26" s="173" t="n">
        <v>0</v>
      </c>
      <c r="AV26" s="173" t="n">
        <v>0</v>
      </c>
      <c r="AW26" s="173" t="n">
        <v>0</v>
      </c>
      <c r="AX26" s="173" t="n">
        <v>0</v>
      </c>
      <c r="AY26" s="173" t="n">
        <v>0</v>
      </c>
      <c r="AZ26" s="173" t="n">
        <v>0</v>
      </c>
    </row>
    <row r="27">
      <c r="B27" s="36" t="inlineStr">
        <is>
          <t>Arrangement fee (on IDC-excluded facility)</t>
        </is>
      </c>
      <c r="C27" s="117" t="inlineStr">
        <is>
          <t>ETB</t>
        </is>
      </c>
      <c r="D27" s="169">
        <f>SUM(E27:AZ27)</f>
        <v>3979766.10275405</v>
      </c>
      <c r="E27" s="173">
        <f>ARR_FEE*DEBT_CAP</f>
        <v>3979766.10275405</v>
      </c>
      <c r="F27" s="173" t="n">
        <v>0</v>
      </c>
      <c r="G27" s="173" t="n">
        <v>0</v>
      </c>
      <c r="H27" s="173" t="n">
        <v>0</v>
      </c>
      <c r="I27" s="173" t="n">
        <v>0</v>
      </c>
      <c r="J27" s="173" t="n">
        <v>0</v>
      </c>
      <c r="K27" s="173" t="n">
        <v>0</v>
      </c>
      <c r="L27" s="173" t="n">
        <v>0</v>
      </c>
      <c r="M27" s="173" t="n">
        <v>0</v>
      </c>
      <c r="N27" s="173" t="n">
        <v>0</v>
      </c>
      <c r="O27" s="173" t="n">
        <v>0</v>
      </c>
      <c r="P27" s="173" t="n">
        <v>0</v>
      </c>
      <c r="Q27" s="173" t="n">
        <v>0</v>
      </c>
      <c r="R27" s="173" t="n">
        <v>0</v>
      </c>
      <c r="S27" s="173" t="n">
        <v>0</v>
      </c>
      <c r="T27" s="173" t="n">
        <v>0</v>
      </c>
      <c r="U27" s="173" t="n">
        <v>0</v>
      </c>
      <c r="V27" s="173" t="n">
        <v>0</v>
      </c>
      <c r="W27" s="173" t="n">
        <v>0</v>
      </c>
      <c r="X27" s="173" t="n">
        <v>0</v>
      </c>
      <c r="Y27" s="173" t="n">
        <v>0</v>
      </c>
      <c r="Z27" s="173" t="n">
        <v>0</v>
      </c>
      <c r="AA27" s="173" t="n">
        <v>0</v>
      </c>
      <c r="AB27" s="173" t="n">
        <v>0</v>
      </c>
      <c r="AC27" s="173" t="n">
        <v>0</v>
      </c>
      <c r="AD27" s="173" t="n">
        <v>0</v>
      </c>
      <c r="AE27" s="173" t="n">
        <v>0</v>
      </c>
      <c r="AF27" s="173" t="n">
        <v>0</v>
      </c>
      <c r="AG27" s="173" t="n">
        <v>0</v>
      </c>
      <c r="AH27" s="173" t="n">
        <v>0</v>
      </c>
      <c r="AI27" s="173" t="n">
        <v>0</v>
      </c>
      <c r="AJ27" s="173" t="n">
        <v>0</v>
      </c>
      <c r="AK27" s="173" t="n">
        <v>0</v>
      </c>
      <c r="AL27" s="173" t="n">
        <v>0</v>
      </c>
      <c r="AM27" s="173" t="n">
        <v>0</v>
      </c>
      <c r="AN27" s="173" t="n">
        <v>0</v>
      </c>
      <c r="AO27" s="173" t="n">
        <v>0</v>
      </c>
      <c r="AP27" s="173" t="n">
        <v>0</v>
      </c>
      <c r="AQ27" s="173" t="n">
        <v>0</v>
      </c>
      <c r="AR27" s="173" t="n">
        <v>0</v>
      </c>
      <c r="AS27" s="173" t="n">
        <v>0</v>
      </c>
      <c r="AT27" s="173" t="n">
        <v>0</v>
      </c>
      <c r="AU27" s="173" t="n">
        <v>0</v>
      </c>
      <c r="AV27" s="173" t="n">
        <v>0</v>
      </c>
      <c r="AW27" s="173" t="n">
        <v>0</v>
      </c>
      <c r="AX27" s="173" t="n">
        <v>0</v>
      </c>
      <c r="AY27" s="173" t="n">
        <v>0</v>
      </c>
      <c r="AZ27" s="173" t="n">
        <v>0</v>
      </c>
    </row>
    <row r="28">
      <c r="B28" s="36" t="inlineStr">
        <is>
          <t>Commitment fee on undrawn facility</t>
        </is>
      </c>
      <c r="C28" s="117" t="inlineStr">
        <is>
          <t>ETB</t>
        </is>
      </c>
      <c r="D28" s="169">
        <f>SUM(E28:AZ28)</f>
        <v>2819326.27389384</v>
      </c>
      <c r="E28" s="173">
        <f>IF('20_Timeline'!E37&lt;=CONSTR_EFF,MAX(0,DEBT_CAP-0)*COMMIT_FEE/12,0)</f>
        <v>110549.058409835</v>
      </c>
      <c r="F28" s="173">
        <f>IF('20_Timeline'!F37&lt;=CONSTR_EFF,MAX(0,DEBT_CAP-E71)*COMMIT_FEE/12,0)</f>
        <v>110549.058409835</v>
      </c>
      <c r="G28" s="173">
        <f>IF('20_Timeline'!G37&lt;=CONSTR_EFF,MAX(0,DEBT_CAP-F71)*COMMIT_FEE/12,0)</f>
        <v>110549.058409835</v>
      </c>
      <c r="H28" s="173">
        <f>IF('20_Timeline'!H37&lt;=CONSTR_EFF,MAX(0,DEBT_CAP-G71)*COMMIT_FEE/12,0)</f>
        <v>110549.058409835</v>
      </c>
      <c r="I28" s="173">
        <f>IF('20_Timeline'!I37&lt;=CONSTR_EFF,MAX(0,DEBT_CAP-H71)*COMMIT_FEE/12,0)</f>
        <v>110549.058409835</v>
      </c>
      <c r="J28" s="173">
        <f>IF('20_Timeline'!J37&lt;=CONSTR_EFF,MAX(0,DEBT_CAP-I71)*COMMIT_FEE/12,0)</f>
        <v>110549.058409835</v>
      </c>
      <c r="K28" s="173">
        <f>IF('20_Timeline'!K37&lt;=CONSTR_EFF,MAX(0,DEBT_CAP-J71)*COMMIT_FEE/12,0)</f>
        <v>110549.058409835</v>
      </c>
      <c r="L28" s="173">
        <f>IF('20_Timeline'!L37&lt;=CONSTR_EFF,MAX(0,DEBT_CAP-K71)*COMMIT_FEE/12,0)</f>
        <v>110549.058409835</v>
      </c>
      <c r="M28" s="173">
        <f>IF('20_Timeline'!M37&lt;=CONSTR_EFF,MAX(0,DEBT_CAP-L71)*COMMIT_FEE/12,0)</f>
        <v>110549.058409835</v>
      </c>
      <c r="N28" s="173">
        <f>IF('20_Timeline'!N37&lt;=CONSTR_EFF,MAX(0,DEBT_CAP-M71)*COMMIT_FEE/12,0)</f>
        <v>110549.058409835</v>
      </c>
      <c r="O28" s="173">
        <f>IF('20_Timeline'!O37&lt;=CONSTR_EFF,MAX(0,DEBT_CAP-N71)*COMMIT_FEE/12,0)</f>
        <v>110549.058409835</v>
      </c>
      <c r="P28" s="173">
        <f>IF('20_Timeline'!P37&lt;=CONSTR_EFF,MAX(0,DEBT_CAP-O71)*COMMIT_FEE/12,0)</f>
        <v>110549.058409835</v>
      </c>
      <c r="Q28" s="173">
        <f>IF('20_Timeline'!Q37&lt;=CONSTR_EFF,MAX(0,DEBT_CAP-P71)*COMMIT_FEE/12,0)</f>
        <v>110549.058409835</v>
      </c>
      <c r="R28" s="173">
        <f>IF('20_Timeline'!R37&lt;=CONSTR_EFF,MAX(0,DEBT_CAP-Q71)*COMMIT_FEE/12,0)</f>
        <v>110549.058409835</v>
      </c>
      <c r="S28" s="173">
        <f>IF('20_Timeline'!S37&lt;=CONSTR_EFF,MAX(0,DEBT_CAP-R71)*COMMIT_FEE/12,0)</f>
        <v>110549.058409835</v>
      </c>
      <c r="T28" s="173">
        <f>IF('20_Timeline'!T37&lt;=CONSTR_EFF,MAX(0,DEBT_CAP-S71)*COMMIT_FEE/12,0)</f>
        <v>110549.058409835</v>
      </c>
      <c r="U28" s="173">
        <f>IF('20_Timeline'!U37&lt;=CONSTR_EFF,MAX(0,DEBT_CAP-T71)*COMMIT_FEE/12,0)</f>
        <v>105005.071541018</v>
      </c>
      <c r="V28" s="173">
        <f>IF('20_Timeline'!V37&lt;=CONSTR_EFF,MAX(0,DEBT_CAP-U71)*COMMIT_FEE/12,0)</f>
        <v>97537.2314848304</v>
      </c>
      <c r="W28" s="173">
        <f>IF('20_Timeline'!W37&lt;=CONSTR_EFF,MAX(0,DEBT_CAP-V71)*COMMIT_FEE/12,0)</f>
        <v>90607.2406208687</v>
      </c>
      <c r="X28" s="173">
        <f>IF('20_Timeline'!X37&lt;=CONSTR_EFF,MAX(0,DEBT_CAP-W71)*COMMIT_FEE/12,0)</f>
        <v>84402.8270980468</v>
      </c>
      <c r="Y28" s="173">
        <f>IF('20_Timeline'!Y37&lt;=CONSTR_EFF,MAX(0,DEBT_CAP-X71)*COMMIT_FEE/12,0)</f>
        <v>79062.1699159482</v>
      </c>
      <c r="Z28" s="173">
        <f>IF('20_Timeline'!Z37&lt;=CONSTR_EFF,MAX(0,DEBT_CAP-Y71)*COMMIT_FEE/12,0)</f>
        <v>74669.6726368239</v>
      </c>
      <c r="AA28" s="173">
        <f>IF('20_Timeline'!AA37&lt;=CONSTR_EFF,MAX(0,DEBT_CAP-Z71)*COMMIT_FEE/12,0)</f>
        <v>71258.3170686541</v>
      </c>
      <c r="AB28" s="173">
        <f>IF('20_Timeline'!AB37&lt;=CONSTR_EFF,MAX(0,DEBT_CAP-AA71)*COMMIT_FEE/12,0)</f>
        <v>68816.8481936215</v>
      </c>
      <c r="AC28" s="173">
        <f>IF('20_Timeline'!AC37&lt;=CONSTR_EFF,MAX(0,DEBT_CAP-AB71)*COMMIT_FEE/12,0)</f>
        <v>67299.610880786</v>
      </c>
      <c r="AD28" s="173">
        <f>IF('20_Timeline'!AD37&lt;=CONSTR_EFF,MAX(0,DEBT_CAP-AC71)*COMMIT_FEE/12,0)</f>
        <v>62376.4699791786</v>
      </c>
      <c r="AE28" s="173">
        <f>IF('20_Timeline'!AE37&lt;=CONSTR_EFF,MAX(0,DEBT_CAP-AD71)*COMMIT_FEE/12,0)</f>
        <v>62376.4699791786</v>
      </c>
      <c r="AF28" s="173">
        <f>IF('20_Timeline'!AF37&lt;=CONSTR_EFF,MAX(0,DEBT_CAP-AE71)*COMMIT_FEE/12,0)</f>
        <v>62376.4699791786</v>
      </c>
      <c r="AG28" s="173">
        <f>IF('20_Timeline'!AG37&lt;=CONSTR_EFF,MAX(0,DEBT_CAP-AF71)*COMMIT_FEE/12,0)</f>
        <v>62376.4699791786</v>
      </c>
      <c r="AH28" s="173">
        <f>IF('20_Timeline'!AH37&lt;=CONSTR_EFF,MAX(0,DEBT_CAP-AG71)*COMMIT_FEE/12,0)</f>
        <v>62376.4699791786</v>
      </c>
      <c r="AI28" s="173">
        <f>IF('20_Timeline'!AI37&lt;=CONSTR_EFF,MAX(0,DEBT_CAP-AH71)*COMMIT_FEE/12,0)</f>
        <v>0</v>
      </c>
      <c r="AJ28" s="173">
        <f>IF('20_Timeline'!AJ37&lt;=CONSTR_EFF,MAX(0,DEBT_CAP-AI71)*COMMIT_FEE/12,0)</f>
        <v>0</v>
      </c>
      <c r="AK28" s="173">
        <f>IF('20_Timeline'!AK37&lt;=CONSTR_EFF,MAX(0,DEBT_CAP-AJ71)*COMMIT_FEE/12,0)</f>
        <v>0</v>
      </c>
      <c r="AL28" s="173">
        <f>IF('20_Timeline'!AL37&lt;=CONSTR_EFF,MAX(0,DEBT_CAP-AK71)*COMMIT_FEE/12,0)</f>
        <v>0</v>
      </c>
      <c r="AM28" s="173">
        <f>IF('20_Timeline'!AM37&lt;=CONSTR_EFF,MAX(0,DEBT_CAP-AL71)*COMMIT_FEE/12,0)</f>
        <v>0</v>
      </c>
      <c r="AN28" s="173">
        <f>IF('20_Timeline'!AN37&lt;=CONSTR_EFF,MAX(0,DEBT_CAP-AM71)*COMMIT_FEE/12,0)</f>
        <v>0</v>
      </c>
      <c r="AO28" s="173">
        <f>IF('20_Timeline'!AO37&lt;=CONSTR_EFF,MAX(0,DEBT_CAP-AN71)*COMMIT_FEE/12,0)</f>
        <v>0</v>
      </c>
      <c r="AP28" s="173">
        <f>IF('20_Timeline'!AP37&lt;=CONSTR_EFF,MAX(0,DEBT_CAP-AO71)*COMMIT_FEE/12,0)</f>
        <v>0</v>
      </c>
      <c r="AQ28" s="173">
        <f>IF('20_Timeline'!AQ37&lt;=CONSTR_EFF,MAX(0,DEBT_CAP-AP71)*COMMIT_FEE/12,0)</f>
        <v>0</v>
      </c>
      <c r="AR28" s="173">
        <f>IF('20_Timeline'!AR37&lt;=CONSTR_EFF,MAX(0,DEBT_CAP-AQ71)*COMMIT_FEE/12,0)</f>
        <v>0</v>
      </c>
      <c r="AS28" s="173">
        <f>IF('20_Timeline'!AS37&lt;=CONSTR_EFF,MAX(0,DEBT_CAP-AR71)*COMMIT_FEE/12,0)</f>
        <v>0</v>
      </c>
      <c r="AT28" s="173">
        <f>IF('20_Timeline'!AT37&lt;=CONSTR_EFF,MAX(0,DEBT_CAP-AS71)*COMMIT_FEE/12,0)</f>
        <v>0</v>
      </c>
      <c r="AU28" s="173">
        <f>IF('20_Timeline'!AU37&lt;=CONSTR_EFF,MAX(0,DEBT_CAP-AT71)*COMMIT_FEE/12,0)</f>
        <v>0</v>
      </c>
      <c r="AV28" s="173">
        <f>IF('20_Timeline'!AV37&lt;=CONSTR_EFF,MAX(0,DEBT_CAP-AU71)*COMMIT_FEE/12,0)</f>
        <v>0</v>
      </c>
      <c r="AW28" s="173">
        <f>IF('20_Timeline'!AW37&lt;=CONSTR_EFF,MAX(0,DEBT_CAP-AV71)*COMMIT_FEE/12,0)</f>
        <v>0</v>
      </c>
      <c r="AX28" s="173">
        <f>IF('20_Timeline'!AX37&lt;=CONSTR_EFF,MAX(0,DEBT_CAP-AW71)*COMMIT_FEE/12,0)</f>
        <v>0</v>
      </c>
      <c r="AY28" s="173">
        <f>IF('20_Timeline'!AY37&lt;=CONSTR_EFF,MAX(0,DEBT_CAP-AX71)*COMMIT_FEE/12,0)</f>
        <v>0</v>
      </c>
      <c r="AZ28" s="173">
        <f>IF('20_Timeline'!AZ37&lt;=CONSTR_EFF,MAX(0,DEBT_CAP-AY71)*COMMIT_FEE/12,0)</f>
        <v>0</v>
      </c>
    </row>
    <row r="29">
      <c r="B29" s="36" t="inlineStr">
        <is>
          <t>Interest during construction (from loan schedule)</t>
        </is>
      </c>
      <c r="C29" s="117" t="inlineStr">
        <is>
          <t>ETB</t>
        </is>
      </c>
      <c r="D29" s="169">
        <f>SUM(E29:AZ29)</f>
        <v>17535681.8706267</v>
      </c>
      <c r="E29" s="170">
        <f>'27_Loan'!E66</f>
        <v>0</v>
      </c>
      <c r="F29" s="170">
        <f>'27_Loan'!F66</f>
        <v>0</v>
      </c>
      <c r="G29" s="170">
        <f>'27_Loan'!G66</f>
        <v>0</v>
      </c>
      <c r="H29" s="170">
        <f>'27_Loan'!H66</f>
        <v>0</v>
      </c>
      <c r="I29" s="170">
        <f>'27_Loan'!I66</f>
        <v>0</v>
      </c>
      <c r="J29" s="170">
        <f>'27_Loan'!J66</f>
        <v>0</v>
      </c>
      <c r="K29" s="170">
        <f>'27_Loan'!K66</f>
        <v>0</v>
      </c>
      <c r="L29" s="170">
        <f>'27_Loan'!L66</f>
        <v>0</v>
      </c>
      <c r="M29" s="170">
        <f>'27_Loan'!M66</f>
        <v>0</v>
      </c>
      <c r="N29" s="170">
        <f>'27_Loan'!N66</f>
        <v>0</v>
      </c>
      <c r="O29" s="170">
        <f>'27_Loan'!O66</f>
        <v>0</v>
      </c>
      <c r="P29" s="170">
        <f>'27_Loan'!P66</f>
        <v>0</v>
      </c>
      <c r="Q29" s="170">
        <f>'27_Loan'!Q66</f>
        <v>0</v>
      </c>
      <c r="R29" s="170">
        <f>'27_Loan'!R66</f>
        <v>0</v>
      </c>
      <c r="S29" s="170">
        <f>'27_Loan'!S66</f>
        <v>0</v>
      </c>
      <c r="T29" s="170">
        <f>'27_Loan'!T66</f>
        <v>166319.606064502</v>
      </c>
      <c r="U29" s="170">
        <f>'27_Loan'!U66</f>
        <v>392433.802825932</v>
      </c>
      <c r="V29" s="170">
        <f>'27_Loan'!V66</f>
        <v>605238.951280107</v>
      </c>
      <c r="W29" s="170">
        <f>'27_Loan'!W66</f>
        <v>798936.843855767</v>
      </c>
      <c r="X29" s="170">
        <f>'27_Loan'!X66</f>
        <v>969143.269866919</v>
      </c>
      <c r="Y29" s="170">
        <f>'27_Loan'!Y66</f>
        <v>1113032.47911399</v>
      </c>
      <c r="Z29" s="170">
        <f>'27_Loan'!Z66</f>
        <v>1229286.05214801</v>
      </c>
      <c r="AA29" s="170">
        <f>'27_Loan'!AA66</f>
        <v>1317896.19405083</v>
      </c>
      <c r="AB29" s="170">
        <f>'27_Loan'!AB66</f>
        <v>1379887.01586153</v>
      </c>
      <c r="AC29" s="170">
        <f>'27_Loan'!AC66</f>
        <v>1544829.83060802</v>
      </c>
      <c r="AD29" s="170">
        <f>'27_Loan'!AD66</f>
        <v>1564140.20349062</v>
      </c>
      <c r="AE29" s="170">
        <f>'27_Loan'!AE66</f>
        <v>1583691.95603426</v>
      </c>
      <c r="AF29" s="170">
        <f>'27_Loan'!AF66</f>
        <v>1603488.10548468</v>
      </c>
      <c r="AG29" s="170">
        <f>'27_Loan'!AG66</f>
        <v>1623531.70680324</v>
      </c>
      <c r="AH29" s="170">
        <f>'27_Loan'!AH66</f>
        <v>1643825.85313828</v>
      </c>
      <c r="AI29" s="170">
        <f>'27_Loan'!AI66</f>
        <v>0</v>
      </c>
      <c r="AJ29" s="170">
        <f>'27_Loan'!AJ66</f>
        <v>0</v>
      </c>
      <c r="AK29" s="170">
        <f>'27_Loan'!AK66</f>
        <v>0</v>
      </c>
      <c r="AL29" s="170">
        <f>'27_Loan'!AL66</f>
        <v>0</v>
      </c>
      <c r="AM29" s="170">
        <f>'27_Loan'!AM66</f>
        <v>0</v>
      </c>
      <c r="AN29" s="170">
        <f>'27_Loan'!AN66</f>
        <v>0</v>
      </c>
      <c r="AO29" s="170">
        <f>'27_Loan'!AO66</f>
        <v>0</v>
      </c>
      <c r="AP29" s="170">
        <f>'27_Loan'!AP66</f>
        <v>0</v>
      </c>
      <c r="AQ29" s="170">
        <f>'27_Loan'!AQ66</f>
        <v>0</v>
      </c>
      <c r="AR29" s="170">
        <f>'27_Loan'!AR66</f>
        <v>0</v>
      </c>
      <c r="AS29" s="170">
        <f>'27_Loan'!AS66</f>
        <v>0</v>
      </c>
      <c r="AT29" s="170">
        <f>'27_Loan'!AT66</f>
        <v>0</v>
      </c>
      <c r="AU29" s="170">
        <f>'27_Loan'!AU66</f>
        <v>0</v>
      </c>
      <c r="AV29" s="170">
        <f>'27_Loan'!AV66</f>
        <v>0</v>
      </c>
      <c r="AW29" s="170">
        <f>'27_Loan'!AW66</f>
        <v>0</v>
      </c>
      <c r="AX29" s="170">
        <f>'27_Loan'!AX66</f>
        <v>0</v>
      </c>
      <c r="AY29" s="170">
        <f>'27_Loan'!AY66</f>
        <v>0</v>
      </c>
      <c r="AZ29" s="170">
        <f>'27_Loan'!AZ66</f>
        <v>0</v>
      </c>
    </row>
    <row r="30">
      <c r="B30" s="97" t="inlineStr">
        <is>
          <t>Total capex accrual</t>
        </is>
      </c>
      <c r="C30" s="180" t="inlineStr">
        <is>
          <t>ETB</t>
        </is>
      </c>
      <c r="D30" s="181">
        <f>SUM(E30:AZ30)</f>
        <v>550660431.329137</v>
      </c>
      <c r="E30" s="182">
        <f>E20+E21+E22+E23+E24+E25+E26+E27+E28+E29</f>
        <v>163641961.926334</v>
      </c>
      <c r="F30" s="182">
        <f>F20+F21+F22+F23+F24+F25+F26+F27+F28+F29</f>
        <v>1311748.45796471</v>
      </c>
      <c r="G30" s="182">
        <f>G20+G21+G22+G23+G24+G25+G26+G27+G28+G29</f>
        <v>2334886.74956477</v>
      </c>
      <c r="H30" s="182">
        <f>H20+H21+H22+H23+H24+H25+H26+H27+H28+H29</f>
        <v>3563617.49483722</v>
      </c>
      <c r="I30" s="182">
        <f>I20+I21+I22+I23+I24+I25+I26+I27+I28+I29</f>
        <v>5014146.24382605</v>
      </c>
      <c r="J30" s="182">
        <f>J20+J21+J22+J23+J24+J25+J26+J27+J28+J29</f>
        <v>6694071.17538294</v>
      </c>
      <c r="K30" s="182">
        <f>K20+K21+K22+K23+K24+K25+K26+K27+K28+K29</f>
        <v>8597576.06869597</v>
      </c>
      <c r="L30" s="182">
        <f>L20+L21+L22+L23+L24+L25+L26+L27+L28+L29</f>
        <v>10700086.9087631</v>
      </c>
      <c r="M30" s="182">
        <f>M20+M21+M22+M23+M24+M25+M26+M27+M28+M29</f>
        <v>12953214.8203094</v>
      </c>
      <c r="N30" s="182">
        <f>N20+N21+N22+N23+N24+N25+N26+N27+N28+N29</f>
        <v>15281292.4448948</v>
      </c>
      <c r="O30" s="182">
        <f>O20+O21+O22+O23+O24+O25+O26+O27+O28+O29</f>
        <v>17581169.3475086</v>
      </c>
      <c r="P30" s="182">
        <f>P20+P21+P22+P23+P24+P25+P26+P27+P28+P29</f>
        <v>19726894.2413692</v>
      </c>
      <c r="Q30" s="182">
        <f>Q20+Q21+Q22+Q23+Q24+Q25+Q26+Q27+Q28+Q29</f>
        <v>21580208.6921955</v>
      </c>
      <c r="R30" s="182">
        <f>R20+R21+R22+R23+R24+R25+R26+R27+R28+R29</f>
        <v>23006327.950542</v>
      </c>
      <c r="S30" s="182">
        <f>S20+S21+S22+S23+S24+S25+S26+S27+S28+S29</f>
        <v>23892595.8645493</v>
      </c>
      <c r="T30" s="182">
        <f>T20+T21+T22+T23+T24+T25+T26+T27+T28+T29</f>
        <v>24332319.274858</v>
      </c>
      <c r="U30" s="182">
        <f>U20+U21+U22+U23+U24+U25+U26+U27+U28+U29</f>
        <v>24191975.0394241</v>
      </c>
      <c r="V30" s="182">
        <f>V20+V21+V22+V23+V24+V25+V26+V27+V28+V29</f>
        <v>23435236.1313935</v>
      </c>
      <c r="W30" s="182">
        <f>W20+W21+W22+W23+W24+W25+W26+W27+W28+W29</f>
        <v>22139977.6862742</v>
      </c>
      <c r="X30" s="182">
        <f>X20+X21+X22+X23+X24+X25+X26+X27+X28+X29</f>
        <v>20417157.8904786</v>
      </c>
      <c r="Y30" s="182">
        <f>Y20+Y21+Y22+Y23+Y24+Y25+Y26+Y27+Y28+Y29</f>
        <v>18395449.1194636</v>
      </c>
      <c r="Z30" s="182">
        <f>Z20+Z21+Z22+Z23+Z24+Z25+Z26+Z27+Z28+Z29</f>
        <v>16204068.5272693</v>
      </c>
      <c r="AA30" s="182">
        <f>AA20+AA21+AA22+AA23+AA24+AA25+AA26+AA27+AA28+AA29</f>
        <v>13959271.727551</v>
      </c>
      <c r="AB30" s="182">
        <f>AB20+AB21+AB22+AB23+AB24+AB25+AB26+AB27+AB28+AB29</f>
        <v>11756021.7034457</v>
      </c>
      <c r="AC30" s="182">
        <f>AC20+AC21+AC22+AC23+AC24+AC25+AC26+AC27+AC28+AC29</f>
        <v>9792555.83777404</v>
      </c>
      <c r="AD30" s="182">
        <f>AD20+AD21+AD22+AD23+AD24+AD25+AD26+AD27+AD28+AD29</f>
        <v>7860415.63743183</v>
      </c>
      <c r="AE30" s="182">
        <f>AE20+AE21+AE22+AE23+AE24+AE25+AE26+AE27+AE28+AE29</f>
        <v>6137421.88232329</v>
      </c>
      <c r="AF30" s="182">
        <f>AF20+AF21+AF22+AF23+AF24+AF25+AF26+AF27+AF28+AF29</f>
        <v>4625918.12762722</v>
      </c>
      <c r="AG30" s="182">
        <f>AG20+AG21+AG22+AG23+AG24+AG25+AG26+AG27+AG28+AG29</f>
        <v>3321370.15074593</v>
      </c>
      <c r="AH30" s="182">
        <f>AH20+AH21+AH22+AH23+AH24+AH25+AH26+AH27+AH28+AH29</f>
        <v>8211474.20633905</v>
      </c>
      <c r="AI30" s="182">
        <f>AI20+AI21+AI22+AI23+AI24+AI25+AI26+AI27+AI28+AI29</f>
        <v>0</v>
      </c>
      <c r="AJ30" s="182">
        <f>AJ20+AJ21+AJ22+AJ23+AJ24+AJ25+AJ26+AJ27+AJ28+AJ29</f>
        <v>0</v>
      </c>
      <c r="AK30" s="182">
        <f>AK20+AK21+AK22+AK23+AK24+AK25+AK26+AK27+AK28+AK29</f>
        <v>0</v>
      </c>
      <c r="AL30" s="182">
        <f>AL20+AL21+AL22+AL23+AL24+AL25+AL26+AL27+AL28+AL29</f>
        <v>0</v>
      </c>
      <c r="AM30" s="182">
        <f>AM20+AM21+AM22+AM23+AM24+AM25+AM26+AM27+AM28+AM29</f>
        <v>0</v>
      </c>
      <c r="AN30" s="182">
        <f>AN20+AN21+AN22+AN23+AN24+AN25+AN26+AN27+AN28+AN29</f>
        <v>0</v>
      </c>
      <c r="AO30" s="182">
        <f>AO20+AO21+AO22+AO23+AO24+AO25+AO26+AO27+AO28+AO29</f>
        <v>0</v>
      </c>
      <c r="AP30" s="182">
        <f>AP20+AP21+AP22+AP23+AP24+AP25+AP26+AP27+AP28+AP29</f>
        <v>0</v>
      </c>
      <c r="AQ30" s="182">
        <f>AQ20+AQ21+AQ22+AQ23+AQ24+AQ25+AQ26+AQ27+AQ28+AQ29</f>
        <v>0</v>
      </c>
      <c r="AR30" s="182">
        <f>AR20+AR21+AR22+AR23+AR24+AR25+AR26+AR27+AR28+AR29</f>
        <v>0</v>
      </c>
      <c r="AS30" s="182">
        <f>AS20+AS21+AS22+AS23+AS24+AS25+AS26+AS27+AS28+AS29</f>
        <v>0</v>
      </c>
      <c r="AT30" s="182">
        <f>AT20+AT21+AT22+AT23+AT24+AT25+AT26+AT27+AT28+AT29</f>
        <v>0</v>
      </c>
      <c r="AU30" s="182">
        <f>AU20+AU21+AU22+AU23+AU24+AU25+AU26+AU27+AU28+AU29</f>
        <v>0</v>
      </c>
      <c r="AV30" s="182">
        <f>AV20+AV21+AV22+AV23+AV24+AV25+AV26+AV27+AV28+AV29</f>
        <v>0</v>
      </c>
      <c r="AW30" s="182">
        <f>AW20+AW21+AW22+AW23+AW24+AW25+AW26+AW27+AW28+AW29</f>
        <v>0</v>
      </c>
      <c r="AX30" s="182">
        <f>AX20+AX21+AX22+AX23+AX24+AX25+AX26+AX27+AX28+AX29</f>
        <v>0</v>
      </c>
      <c r="AY30" s="182">
        <f>AY20+AY21+AY22+AY23+AY24+AY25+AY26+AY27+AY28+AY29</f>
        <v>0</v>
      </c>
      <c r="AZ30" s="182">
        <f>AZ20+AZ21+AZ22+AZ23+AZ24+AZ25+AZ26+AZ27+AZ28+AZ29</f>
        <v>0</v>
      </c>
    </row>
    <row r="31">
      <c r="B31" s="36" t="inlineStr">
        <is>
          <t>Cumulative capex accrual</t>
        </is>
      </c>
      <c r="C31" s="117" t="inlineStr">
        <is>
          <t>ETB</t>
        </is>
      </c>
      <c r="D31" s="169">
        <f>AZ31</f>
        <v>550660431.329137</v>
      </c>
      <c r="E31" s="173">
        <f>0+E30</f>
        <v>163641961.926334</v>
      </c>
      <c r="F31" s="173">
        <f>E31+F30</f>
        <v>164953710.384299</v>
      </c>
      <c r="G31" s="173">
        <f>F31+G30</f>
        <v>167288597.133864</v>
      </c>
      <c r="H31" s="173">
        <f>G31+H30</f>
        <v>170852214.628701</v>
      </c>
      <c r="I31" s="173">
        <f>H31+I30</f>
        <v>175866360.872527</v>
      </c>
      <c r="J31" s="173">
        <f>I31+J30</f>
        <v>182560432.04791</v>
      </c>
      <c r="K31" s="173">
        <f>J31+K30</f>
        <v>191158008.116606</v>
      </c>
      <c r="L31" s="173">
        <f>K31+L30</f>
        <v>201858095.025369</v>
      </c>
      <c r="M31" s="173">
        <f>L31+M30</f>
        <v>214811309.845679</v>
      </c>
      <c r="N31" s="173">
        <f>M31+N30</f>
        <v>230092602.290573</v>
      </c>
      <c r="O31" s="173">
        <f>N31+O30</f>
        <v>247673771.638082</v>
      </c>
      <c r="P31" s="173">
        <f>O31+P30</f>
        <v>267400665.879451</v>
      </c>
      <c r="Q31" s="173">
        <f>P31+Q30</f>
        <v>288980874.571647</v>
      </c>
      <c r="R31" s="173">
        <f>Q31+R30</f>
        <v>311987202.522189</v>
      </c>
      <c r="S31" s="173">
        <f>R31+S30</f>
        <v>335879798.386738</v>
      </c>
      <c r="T31" s="173">
        <f>S31+T30</f>
        <v>360212117.661596</v>
      </c>
      <c r="U31" s="173">
        <f>T31+U30</f>
        <v>384404092.70102</v>
      </c>
      <c r="V31" s="173">
        <f>U31+V30</f>
        <v>407839328.832414</v>
      </c>
      <c r="W31" s="173">
        <f>V31+W30</f>
        <v>429979306.518688</v>
      </c>
      <c r="X31" s="173">
        <f>W31+X30</f>
        <v>450396464.409166</v>
      </c>
      <c r="Y31" s="173">
        <f>X31+Y30</f>
        <v>468791913.52863</v>
      </c>
      <c r="Z31" s="173">
        <f>Y31+Z30</f>
        <v>484995982.055899</v>
      </c>
      <c r="AA31" s="173">
        <f>Z31+AA30</f>
        <v>498955253.78345</v>
      </c>
      <c r="AB31" s="173">
        <f>AA31+AB30</f>
        <v>510711275.486896</v>
      </c>
      <c r="AC31" s="173">
        <f>AB31+AC30</f>
        <v>520503831.32467</v>
      </c>
      <c r="AD31" s="173">
        <f>AC31+AD30</f>
        <v>528364246.962102</v>
      </c>
      <c r="AE31" s="173">
        <f>AD31+AE30</f>
        <v>534501668.844425</v>
      </c>
      <c r="AF31" s="173">
        <f>AE31+AF30</f>
        <v>539127586.972053</v>
      </c>
      <c r="AG31" s="173">
        <f>AF31+AG30</f>
        <v>542448957.122798</v>
      </c>
      <c r="AH31" s="173">
        <f>AG31+AH30</f>
        <v>550660431.329137</v>
      </c>
      <c r="AI31" s="173">
        <f>AH31+AI30</f>
        <v>550660431.329137</v>
      </c>
      <c r="AJ31" s="173">
        <f>AI31+AJ30</f>
        <v>550660431.329137</v>
      </c>
      <c r="AK31" s="173">
        <f>AJ31+AK30</f>
        <v>550660431.329137</v>
      </c>
      <c r="AL31" s="173">
        <f>AK31+AL30</f>
        <v>550660431.329137</v>
      </c>
      <c r="AM31" s="173">
        <f>AL31+AM30</f>
        <v>550660431.329137</v>
      </c>
      <c r="AN31" s="173">
        <f>AM31+AN30</f>
        <v>550660431.329137</v>
      </c>
      <c r="AO31" s="173">
        <f>AN31+AO30</f>
        <v>550660431.329137</v>
      </c>
      <c r="AP31" s="173">
        <f>AO31+AP30</f>
        <v>550660431.329137</v>
      </c>
      <c r="AQ31" s="173">
        <f>AP31+AQ30</f>
        <v>550660431.329137</v>
      </c>
      <c r="AR31" s="173">
        <f>AQ31+AR30</f>
        <v>550660431.329137</v>
      </c>
      <c r="AS31" s="173">
        <f>AR31+AS30</f>
        <v>550660431.329137</v>
      </c>
      <c r="AT31" s="173">
        <f>AS31+AT30</f>
        <v>550660431.329137</v>
      </c>
      <c r="AU31" s="173">
        <f>AT31+AU30</f>
        <v>550660431.329137</v>
      </c>
      <c r="AV31" s="173">
        <f>AU31+AV30</f>
        <v>550660431.329137</v>
      </c>
      <c r="AW31" s="173">
        <f>AV31+AW30</f>
        <v>550660431.329137</v>
      </c>
      <c r="AX31" s="173">
        <f>AW31+AX30</f>
        <v>550660431.329137</v>
      </c>
      <c r="AY31" s="173">
        <f>AX31+AY30</f>
        <v>550660431.329137</v>
      </c>
      <c r="AZ31" s="173">
        <f>AY31+AZ30</f>
        <v>550660431.329137</v>
      </c>
    </row>
    <row r="32" ht="20" customHeight="1">
      <c r="B32" s="113" t="inlineStr">
        <is>
          <t>Cash needed during construction</t>
        </is>
      </c>
      <c r="C32" s="37" t="inlineStr">
        <is>
          <t>ለግንባታ የሚያስፈልግ ጥሬ ገንዘብ</t>
        </is>
      </c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</row>
    <row r="33">
      <c r="B33" s="36" t="inlineStr">
        <is>
          <t>Retention withheld from contractor</t>
        </is>
      </c>
      <c r="C33" s="117" t="inlineStr">
        <is>
          <t>ETB</t>
        </is>
      </c>
      <c r="D33" s="169">
        <f>SUM(E33:AZ33)</f>
        <v>15966117.4361199</v>
      </c>
      <c r="E33" s="173">
        <f>RETENTION*E20</f>
        <v>15980.9762937622</v>
      </c>
      <c r="F33" s="173">
        <f>RETENTION*F20</f>
        <v>52936.4665312457</v>
      </c>
      <c r="G33" s="173">
        <f>RETENTION*G20</f>
        <v>98050.4220300689</v>
      </c>
      <c r="H33" s="173">
        <f>RETENTION*H20</f>
        <v>152251.507526641</v>
      </c>
      <c r="I33" s="173">
        <f>RETENTION*I20</f>
        <v>216260.72363495</v>
      </c>
      <c r="J33" s="173">
        <f>RETENTION*J20</f>
        <v>290419.922822359</v>
      </c>
      <c r="K33" s="173">
        <f>RETENTION*K20</f>
        <v>374479.233840315</v>
      </c>
      <c r="L33" s="173">
        <f>RETENTION*L20</f>
        <v>467360.528139057</v>
      </c>
      <c r="M33" s="173">
        <f>RETENTION*M20</f>
        <v>566933.21824939</v>
      </c>
      <c r="N33" s="173">
        <f>RETENTION*N20</f>
        <v>669860.136234957</v>
      </c>
      <c r="O33" s="173">
        <f>RETENTION*O20</f>
        <v>771587.176586445</v>
      </c>
      <c r="P33" s="173">
        <f>RETENTION*P20</f>
        <v>866548.846063435</v>
      </c>
      <c r="Q33" s="173">
        <f>RETENTION*Q20</f>
        <v>948630.913842158</v>
      </c>
      <c r="R33" s="173">
        <f>RETENTION*R20</f>
        <v>1011867.37418773</v>
      </c>
      <c r="S33" s="173">
        <f>RETENTION*S20</f>
        <v>1051265.3877038</v>
      </c>
      <c r="T33" s="173">
        <f>RETENTION*T20</f>
        <v>1063580.87438147</v>
      </c>
      <c r="U33" s="173">
        <f>RETENTION*U20</f>
        <v>1047847.4315267</v>
      </c>
      <c r="V33" s="173">
        <f>RETENTION*V20</f>
        <v>1005513.81090716</v>
      </c>
      <c r="W33" s="173">
        <f>RETENTION*W20</f>
        <v>940156.432497586</v>
      </c>
      <c r="X33" s="173">
        <f>RETENTION*X20</f>
        <v>856857.064172702</v>
      </c>
      <c r="Y33" s="173">
        <f>RETENTION*Y20</f>
        <v>761419.194070483</v>
      </c>
      <c r="Z33" s="173">
        <f>RETENTION*Z20</f>
        <v>659611.012870329</v>
      </c>
      <c r="AA33" s="173">
        <f>RETENTION*AA20</f>
        <v>556575.814899342</v>
      </c>
      <c r="AB33" s="173">
        <f>RETENTION*AB20</f>
        <v>456474.316232405</v>
      </c>
      <c r="AC33" s="173">
        <f>RETENTION*AC20</f>
        <v>362352.548016599</v>
      </c>
      <c r="AD33" s="173">
        <f>RETENTION*AD20</f>
        <v>276184.22717305</v>
      </c>
      <c r="AE33" s="173">
        <f>RETENTION*AE20</f>
        <v>199021.103016842</v>
      </c>
      <c r="AF33" s="173">
        <f>RETENTION*AF20</f>
        <v>131190.776129547</v>
      </c>
      <c r="AG33" s="173">
        <f>RETENTION*AG20</f>
        <v>72497.8437568596</v>
      </c>
      <c r="AH33" s="173">
        <f>RETENTION*AH20</f>
        <v>22402.1527825522</v>
      </c>
      <c r="AI33" s="173">
        <f>RETENTION*AI20</f>
        <v>0</v>
      </c>
      <c r="AJ33" s="173">
        <f>RETENTION*AJ20</f>
        <v>0</v>
      </c>
      <c r="AK33" s="173">
        <f>RETENTION*AK20</f>
        <v>0</v>
      </c>
      <c r="AL33" s="173">
        <f>RETENTION*AL20</f>
        <v>0</v>
      </c>
      <c r="AM33" s="173">
        <f>RETENTION*AM20</f>
        <v>0</v>
      </c>
      <c r="AN33" s="173">
        <f>RETENTION*AN20</f>
        <v>0</v>
      </c>
      <c r="AO33" s="173">
        <f>RETENTION*AO20</f>
        <v>0</v>
      </c>
      <c r="AP33" s="173">
        <f>RETENTION*AP20</f>
        <v>0</v>
      </c>
      <c r="AQ33" s="173">
        <f>RETENTION*AQ20</f>
        <v>0</v>
      </c>
      <c r="AR33" s="173">
        <f>RETENTION*AR20</f>
        <v>0</v>
      </c>
      <c r="AS33" s="173">
        <f>RETENTION*AS20</f>
        <v>0</v>
      </c>
      <c r="AT33" s="173">
        <f>RETENTION*AT20</f>
        <v>0</v>
      </c>
      <c r="AU33" s="173">
        <f>RETENTION*AU20</f>
        <v>0</v>
      </c>
      <c r="AV33" s="173">
        <f>RETENTION*AV20</f>
        <v>0</v>
      </c>
      <c r="AW33" s="173">
        <f>RETENTION*AW20</f>
        <v>0</v>
      </c>
      <c r="AX33" s="173">
        <f>RETENTION*AX20</f>
        <v>0</v>
      </c>
      <c r="AY33" s="173">
        <f>RETENTION*AY20</f>
        <v>0</v>
      </c>
      <c r="AZ33" s="173">
        <f>RETENTION*AZ20</f>
        <v>0</v>
      </c>
    </row>
    <row r="34">
      <c r="B34" s="36" t="inlineStr">
        <is>
          <t>Land cash (lease down payment)</t>
        </is>
      </c>
      <c r="C34" s="117" t="inlineStr">
        <is>
          <t>ETB</t>
        </is>
      </c>
      <c r="D34" s="169">
        <f>SUM(E34:AZ34)</f>
        <v>15000000</v>
      </c>
      <c r="E34" s="173">
        <f>IF(LAND_TYPE=1,LAND_VALUE*LEASE_DP,0)</f>
        <v>15000000</v>
      </c>
      <c r="F34" s="173" t="n">
        <v>0</v>
      </c>
      <c r="G34" s="173" t="n">
        <v>0</v>
      </c>
      <c r="H34" s="173" t="n">
        <v>0</v>
      </c>
      <c r="I34" s="173" t="n">
        <v>0</v>
      </c>
      <c r="J34" s="173" t="n">
        <v>0</v>
      </c>
      <c r="K34" s="173" t="n">
        <v>0</v>
      </c>
      <c r="L34" s="173" t="n">
        <v>0</v>
      </c>
      <c r="M34" s="173" t="n">
        <v>0</v>
      </c>
      <c r="N34" s="173" t="n">
        <v>0</v>
      </c>
      <c r="O34" s="173" t="n">
        <v>0</v>
      </c>
      <c r="P34" s="173" t="n">
        <v>0</v>
      </c>
      <c r="Q34" s="173" t="n">
        <v>0</v>
      </c>
      <c r="R34" s="173" t="n">
        <v>0</v>
      </c>
      <c r="S34" s="173" t="n">
        <v>0</v>
      </c>
      <c r="T34" s="173" t="n">
        <v>0</v>
      </c>
      <c r="U34" s="173" t="n">
        <v>0</v>
      </c>
      <c r="V34" s="173" t="n">
        <v>0</v>
      </c>
      <c r="W34" s="173" t="n">
        <v>0</v>
      </c>
      <c r="X34" s="173" t="n">
        <v>0</v>
      </c>
      <c r="Y34" s="173" t="n">
        <v>0</v>
      </c>
      <c r="Z34" s="173" t="n">
        <v>0</v>
      </c>
      <c r="AA34" s="173" t="n">
        <v>0</v>
      </c>
      <c r="AB34" s="173" t="n">
        <v>0</v>
      </c>
      <c r="AC34" s="173" t="n">
        <v>0</v>
      </c>
      <c r="AD34" s="173" t="n">
        <v>0</v>
      </c>
      <c r="AE34" s="173" t="n">
        <v>0</v>
      </c>
      <c r="AF34" s="173" t="n">
        <v>0</v>
      </c>
      <c r="AG34" s="173" t="n">
        <v>0</v>
      </c>
      <c r="AH34" s="173" t="n">
        <v>0</v>
      </c>
      <c r="AI34" s="173" t="n">
        <v>0</v>
      </c>
      <c r="AJ34" s="173" t="n">
        <v>0</v>
      </c>
      <c r="AK34" s="173" t="n">
        <v>0</v>
      </c>
      <c r="AL34" s="173" t="n">
        <v>0</v>
      </c>
      <c r="AM34" s="173" t="n">
        <v>0</v>
      </c>
      <c r="AN34" s="173" t="n">
        <v>0</v>
      </c>
      <c r="AO34" s="173" t="n">
        <v>0</v>
      </c>
      <c r="AP34" s="173" t="n">
        <v>0</v>
      </c>
      <c r="AQ34" s="173" t="n">
        <v>0</v>
      </c>
      <c r="AR34" s="173" t="n">
        <v>0</v>
      </c>
      <c r="AS34" s="173" t="n">
        <v>0</v>
      </c>
      <c r="AT34" s="173" t="n">
        <v>0</v>
      </c>
      <c r="AU34" s="173" t="n">
        <v>0</v>
      </c>
      <c r="AV34" s="173" t="n">
        <v>0</v>
      </c>
      <c r="AW34" s="173" t="n">
        <v>0</v>
      </c>
      <c r="AX34" s="173" t="n">
        <v>0</v>
      </c>
      <c r="AY34" s="173" t="n">
        <v>0</v>
      </c>
      <c r="AZ34" s="173" t="n">
        <v>0</v>
      </c>
    </row>
    <row r="35">
      <c r="B35" s="36" t="inlineStr">
        <is>
          <t>Development cash paid (excl. finance costs)</t>
        </is>
      </c>
      <c r="C35" s="117" t="inlineStr">
        <is>
          <t>ETB</t>
        </is>
      </c>
      <c r="D35" s="169">
        <f>SUM(E35:AZ35)</f>
        <v>375359539.645743</v>
      </c>
      <c r="E35" s="173">
        <f>E34+E20-E33+E21+E22+E23+E24+E25</f>
        <v>24535665.7888767</v>
      </c>
      <c r="F35" s="173">
        <f>F34+F20-F33+F21+F22+F23+F24+F25</f>
        <v>1148262.93302363</v>
      </c>
      <c r="G35" s="173">
        <f>G34+G20-G33+G21+G22+G23+G24+G25</f>
        <v>2126287.26912487</v>
      </c>
      <c r="H35" s="173">
        <f>H34+H20-H33+H21+H22+H23+H24+H25</f>
        <v>3300816.92890075</v>
      </c>
      <c r="I35" s="173">
        <f>I34+I20-I33+I21+I22+I23+I24+I25</f>
        <v>4687336.46178126</v>
      </c>
      <c r="J35" s="173">
        <f>J34+J20-J33+J21+J22+J23+J24+J25</f>
        <v>6293102.19415075</v>
      </c>
      <c r="K35" s="173">
        <f>K34+K20-K33+K21+K22+K23+K24+K25</f>
        <v>8112547.77644582</v>
      </c>
      <c r="L35" s="173">
        <f>L34+L20-L33+L21+L22+L23+L24+L25</f>
        <v>10122177.3222142</v>
      </c>
      <c r="M35" s="173">
        <f>M34+M20-M33+M21+M22+M23+M24+M25</f>
        <v>12275732.5436502</v>
      </c>
      <c r="N35" s="173">
        <f>N34+N20-N33+N21+N22+N23+N24+N25</f>
        <v>14500883.25025</v>
      </c>
      <c r="O35" s="173">
        <f>O34+O20-O33+O21+O22+O23+O24+O25</f>
        <v>16699033.1125123</v>
      </c>
      <c r="P35" s="173">
        <f>P34+P20-P33+P21+P22+P23+P24+P25</f>
        <v>18749796.3368959</v>
      </c>
      <c r="Q35" s="173">
        <f>Q34+Q20-Q33+Q21+Q22+Q23+Q24+Q25</f>
        <v>20521028.7199435</v>
      </c>
      <c r="R35" s="173">
        <f>R34+R20-R33+R21+R22+R23+R24+R25</f>
        <v>21883911.5179444</v>
      </c>
      <c r="S35" s="173">
        <f>S34+S20-S33+S21+S22+S23+S24+S25</f>
        <v>22730781.4184357</v>
      </c>
      <c r="T35" s="173">
        <f>T34+T20-T33+T21+T22+T23+T24+T25</f>
        <v>22991869.7360022</v>
      </c>
      <c r="U35" s="173">
        <f>U34+U20-U33+U21+U22+U23+U24+U25</f>
        <v>22646688.7335305</v>
      </c>
      <c r="V35" s="173">
        <f>V34+V20-V33+V21+V22+V23+V24+V25</f>
        <v>21726946.1377215</v>
      </c>
      <c r="W35" s="173">
        <f>W34+W20-W33+W21+W22+W23+W24+W25</f>
        <v>20310277.1692999</v>
      </c>
      <c r="X35" s="173">
        <f>X34+X20-X33+X21+X22+X23+X24+X25</f>
        <v>18506754.7293409</v>
      </c>
      <c r="Y35" s="173">
        <f>Y34+Y20-Y33+Y21+Y22+Y23+Y24+Y25</f>
        <v>16441935.2763632</v>
      </c>
      <c r="Z35" s="173">
        <f>Z34+Z20-Z33+Z21+Z22+Z23+Z24+Z25</f>
        <v>14240501.7896141</v>
      </c>
      <c r="AA35" s="173">
        <f>AA34+AA20-AA33+AA21+AA22+AA23+AA24+AA25</f>
        <v>12013541.4015322</v>
      </c>
      <c r="AB35" s="173">
        <f>AB34+AB20-AB33+AB21+AB22+AB23+AB24+AB25</f>
        <v>9850843.52315812</v>
      </c>
      <c r="AC35" s="173">
        <f>AC34+AC20-AC33+AC21+AC22+AC23+AC24+AC25</f>
        <v>7818073.84826864</v>
      </c>
      <c r="AD35" s="173">
        <f>AD34+AD20-AD33+AD21+AD22+AD23+AD24+AD25</f>
        <v>5957714.73678898</v>
      </c>
      <c r="AE35" s="173">
        <f>AE34+AE20-AE33+AE21+AE22+AE23+AE24+AE25</f>
        <v>4292332.35329302</v>
      </c>
      <c r="AF35" s="173">
        <f>AF34+AF20-AF33+AF21+AF22+AF23+AF24+AF25</f>
        <v>2828862.77603381</v>
      </c>
      <c r="AG35" s="173">
        <f>AG34+AG20-AG33+AG21+AG22+AG23+AG24+AG25</f>
        <v>1562964.13020664</v>
      </c>
      <c r="AH35" s="173">
        <f>AH34+AH20-AH33+AH21+AH22+AH23+AH24+AH25</f>
        <v>6482869.73043904</v>
      </c>
      <c r="AI35" s="173">
        <f>AI34+AI20-AI33+AI21+AI22+AI23+AI24+AI25</f>
        <v>0</v>
      </c>
      <c r="AJ35" s="173">
        <f>AJ34+AJ20-AJ33+AJ21+AJ22+AJ23+AJ24+AJ25</f>
        <v>0</v>
      </c>
      <c r="AK35" s="173">
        <f>AK34+AK20-AK33+AK21+AK22+AK23+AK24+AK25</f>
        <v>0</v>
      </c>
      <c r="AL35" s="173">
        <f>AL34+AL20-AL33+AL21+AL22+AL23+AL24+AL25</f>
        <v>0</v>
      </c>
      <c r="AM35" s="173">
        <f>AM34+AM20-AM33+AM21+AM22+AM23+AM24+AM25</f>
        <v>0</v>
      </c>
      <c r="AN35" s="173">
        <f>AN34+AN20-AN33+AN21+AN22+AN23+AN24+AN25</f>
        <v>0</v>
      </c>
      <c r="AO35" s="173">
        <f>AO34+AO20-AO33+AO21+AO22+AO23+AO24+AO25</f>
        <v>0</v>
      </c>
      <c r="AP35" s="173">
        <f>AP34+AP20-AP33+AP21+AP22+AP23+AP24+AP25</f>
        <v>0</v>
      </c>
      <c r="AQ35" s="173">
        <f>AQ34+AQ20-AQ33+AQ21+AQ22+AQ23+AQ24+AQ25</f>
        <v>0</v>
      </c>
      <c r="AR35" s="173">
        <f>AR34+AR20-AR33+AR21+AR22+AR23+AR24+AR25</f>
        <v>0</v>
      </c>
      <c r="AS35" s="173">
        <f>AS34+AS20-AS33+AS21+AS22+AS23+AS24+AS25</f>
        <v>0</v>
      </c>
      <c r="AT35" s="173">
        <f>AT34+AT20-AT33+AT21+AT22+AT23+AT24+AT25</f>
        <v>0</v>
      </c>
      <c r="AU35" s="173">
        <f>AU34+AU20-AU33+AU21+AU22+AU23+AU24+AU25</f>
        <v>0</v>
      </c>
      <c r="AV35" s="173">
        <f>AV34+AV20-AV33+AV21+AV22+AV23+AV24+AV25</f>
        <v>0</v>
      </c>
      <c r="AW35" s="173">
        <f>AW34+AW20-AW33+AW21+AW22+AW23+AW24+AW25</f>
        <v>0</v>
      </c>
      <c r="AX35" s="173">
        <f>AX34+AX20-AX33+AX21+AX22+AX23+AX24+AX25</f>
        <v>0</v>
      </c>
      <c r="AY35" s="173">
        <f>AY34+AY20-AY33+AY21+AY22+AY23+AY24+AY25</f>
        <v>0</v>
      </c>
      <c r="AZ35" s="173">
        <f>AZ34+AZ20-AZ33+AZ21+AZ22+AZ23+AZ24+AZ25</f>
        <v>0</v>
      </c>
    </row>
    <row r="36">
      <c r="B36" s="36" t="inlineStr">
        <is>
          <t>Input VAT on capex (commercial modes; reclaimable)</t>
        </is>
      </c>
      <c r="C36" s="117" t="inlineStr">
        <is>
          <t>ETB</t>
        </is>
      </c>
      <c r="D36" s="169">
        <f>SUM(E36:AZ36)</f>
        <v>39251693.9935956</v>
      </c>
      <c r="E36" s="173">
        <f>IF(PROJECT_MODE=0,0,1)*VAT_R*VAT_CAPEX_PCT*(E20+E21+E22+E23+E25)</f>
        <v>740422.910342897</v>
      </c>
      <c r="F36" s="173">
        <f>IF(PROJECT_MODE=0,0,1)*VAT_R*VAT_CAPEX_PCT*(F20+F21+F22+F23+F25)</f>
        <v>126125.936953262</v>
      </c>
      <c r="G36" s="173">
        <f>IF(PROJECT_MODE=0,0,1)*VAT_R*VAT_CAPEX_PCT*(G20+G21+G22+G23+G25)</f>
        <v>233555.457571268</v>
      </c>
      <c r="H36" s="173">
        <f>IF(PROJECT_MODE=0,0,1)*VAT_R*VAT_CAPEX_PCT*(H20+H21+H22+H23+H25)</f>
        <v>362572.185824876</v>
      </c>
      <c r="I36" s="173">
        <f>IF(PROJECT_MODE=0,0,1)*VAT_R*VAT_CAPEX_PCT*(I20+I21+I22+I23+I25)</f>
        <v>514877.704468702</v>
      </c>
      <c r="J36" s="173">
        <f>IF(PROJECT_MODE=0,0,1)*VAT_R*VAT_CAPEX_PCT*(J20+J21+J22+J23+J25)</f>
        <v>691269.822282176</v>
      </c>
      <c r="K36" s="173">
        <f>IF(PROJECT_MODE=0,0,1)*VAT_R*VAT_CAPEX_PCT*(K20+K21+K22+K23+K25)</f>
        <v>891137.836080044</v>
      </c>
      <c r="L36" s="173">
        <f>IF(PROJECT_MODE=0,0,1)*VAT_R*VAT_CAPEX_PCT*(L20+L21+L22+L23+L25)</f>
        <v>1111901.47428709</v>
      </c>
      <c r="M36" s="173">
        <f>IF(PROJECT_MODE=0,0,1)*VAT_R*VAT_CAPEX_PCT*(M20+M21+M22+M23+M25)</f>
        <v>1348479.90499946</v>
      </c>
      <c r="N36" s="173">
        <f>IF(PROJECT_MODE=0,0,1)*VAT_R*VAT_CAPEX_PCT*(N20+N21+N22+N23+N25)</f>
        <v>1592928.05558093</v>
      </c>
      <c r="O36" s="173">
        <f>IF(PROJECT_MODE=0,0,1)*VAT_R*VAT_CAPEX_PCT*(O20+O21+O22+O23+O25)</f>
        <v>1834415.13035537</v>
      </c>
      <c r="P36" s="173">
        <f>IF(PROJECT_MODE=0,0,1)*VAT_R*VAT_CAPEX_PCT*(P20+P21+P22+P23+P25)</f>
        <v>2059716.24421073</v>
      </c>
      <c r="Q36" s="173">
        <f>IF(PROJECT_MODE=0,0,1)*VAT_R*VAT_CAPEX_PCT*(Q20+Q21+Q22+Q23+Q25)</f>
        <v>2254314.2615475</v>
      </c>
      <c r="R36" s="173">
        <f>IF(PROJECT_MODE=0,0,1)*VAT_R*VAT_CAPEX_PCT*(R20+R21+R22+R23+R25)</f>
        <v>2404056.78367387</v>
      </c>
      <c r="S36" s="173">
        <f>IF(PROJECT_MODE=0,0,1)*VAT_R*VAT_CAPEX_PCT*(S20+S21+S22+S23+S25)</f>
        <v>2497114.91464465</v>
      </c>
      <c r="T36" s="173">
        <f>IF(PROJECT_MODE=0,0,1)*VAT_R*VAT_CAPEX_PCT*(T20+T21+T22+T23+T25)</f>
        <v>2525822.31409029</v>
      </c>
      <c r="U36" s="173">
        <f>IF(PROJECT_MODE=0,0,1)*VAT_R*VAT_CAPEX_PCT*(U20+U21+U22+U23+U25)</f>
        <v>2487926.297331</v>
      </c>
      <c r="V36" s="173">
        <f>IF(PROJECT_MODE=0,0,1)*VAT_R*VAT_CAPEX_PCT*(V20+V21+V22+V23+V25)</f>
        <v>2386908.294606</v>
      </c>
      <c r="W36" s="173">
        <f>IF(PROJECT_MODE=0,0,1)*VAT_R*VAT_CAPEX_PCT*(W20+W21+W22+W23+W25)</f>
        <v>2231295.52818874</v>
      </c>
      <c r="X36" s="173">
        <f>IF(PROJECT_MODE=0,0,1)*VAT_R*VAT_CAPEX_PCT*(X20+X21+X22+X23+X25)</f>
        <v>2033179.23831893</v>
      </c>
      <c r="Y36" s="173">
        <f>IF(PROJECT_MODE=0,0,1)*VAT_R*VAT_CAPEX_PCT*(Y20+Y21+Y22+Y23+Y25)</f>
        <v>1806352.21939554</v>
      </c>
      <c r="Z36" s="173">
        <f>IF(PROJECT_MODE=0,0,1)*VAT_R*VAT_CAPEX_PCT*(Z20+Z21+Z22+Z23+Z25)</f>
        <v>1564511.84426087</v>
      </c>
      <c r="AA36" s="173">
        <f>IF(PROJECT_MODE=0,0,1)*VAT_R*VAT_CAPEX_PCT*(AA20+AA21+AA22+AA23+AA25)</f>
        <v>1319862.30772531</v>
      </c>
      <c r="AB36" s="173">
        <f>IF(PROJECT_MODE=0,0,1)*VAT_R*VAT_CAPEX_PCT*(AB20+AB21+AB22+AB23+AB25)</f>
        <v>1082268.37313601</v>
      </c>
      <c r="AC36" s="173">
        <f>IF(PROJECT_MODE=0,0,1)*VAT_R*VAT_CAPEX_PCT*(AC20+AC21+AC22+AC23+AC25)</f>
        <v>858944.771609949</v>
      </c>
      <c r="AD36" s="173">
        <f>IF(PROJECT_MODE=0,0,1)*VAT_R*VAT_CAPEX_PCT*(AD20+AD21+AD22+AD23+AD25)</f>
        <v>654559.391216013</v>
      </c>
      <c r="AE36" s="173">
        <f>IF(PROJECT_MODE=0,0,1)*VAT_R*VAT_CAPEX_PCT*(AE20+AE21+AE22+AE23+AE25)</f>
        <v>471592.112912535</v>
      </c>
      <c r="AF36" s="173">
        <f>IF(PROJECT_MODE=0,0,1)*VAT_R*VAT_CAPEX_PCT*(AF20+AF21+AF22+AF23+AF25)</f>
        <v>310805.622977152</v>
      </c>
      <c r="AG36" s="173">
        <f>IF(PROJECT_MODE=0,0,1)*VAT_R*VAT_CAPEX_PCT*(AG20+AG21+AG22+AG23+AG25)</f>
        <v>171723.507266168</v>
      </c>
      <c r="AH36" s="173">
        <f>IF(PROJECT_MODE=0,0,1)*VAT_R*VAT_CAPEX_PCT*(AH20+AH21+AH22+AH23+AH25)</f>
        <v>683053.547738267</v>
      </c>
      <c r="AI36" s="173">
        <f>IF(PROJECT_MODE=0,0,1)*VAT_R*VAT_CAPEX_PCT*(AI20+AI21+AI22+AI23+AI25)</f>
        <v>0</v>
      </c>
      <c r="AJ36" s="173">
        <f>IF(PROJECT_MODE=0,0,1)*VAT_R*VAT_CAPEX_PCT*(AJ20+AJ21+AJ22+AJ23+AJ25)</f>
        <v>0</v>
      </c>
      <c r="AK36" s="173">
        <f>IF(PROJECT_MODE=0,0,1)*VAT_R*VAT_CAPEX_PCT*(AK20+AK21+AK22+AK23+AK25)</f>
        <v>0</v>
      </c>
      <c r="AL36" s="173">
        <f>IF(PROJECT_MODE=0,0,1)*VAT_R*VAT_CAPEX_PCT*(AL20+AL21+AL22+AL23+AL25)</f>
        <v>0</v>
      </c>
      <c r="AM36" s="173">
        <f>IF(PROJECT_MODE=0,0,1)*VAT_R*VAT_CAPEX_PCT*(AM20+AM21+AM22+AM23+AM25)</f>
        <v>0</v>
      </c>
      <c r="AN36" s="173">
        <f>IF(PROJECT_MODE=0,0,1)*VAT_R*VAT_CAPEX_PCT*(AN20+AN21+AN22+AN23+AN25)</f>
        <v>0</v>
      </c>
      <c r="AO36" s="173">
        <f>IF(PROJECT_MODE=0,0,1)*VAT_R*VAT_CAPEX_PCT*(AO20+AO21+AO22+AO23+AO25)</f>
        <v>0</v>
      </c>
      <c r="AP36" s="173">
        <f>IF(PROJECT_MODE=0,0,1)*VAT_R*VAT_CAPEX_PCT*(AP20+AP21+AP22+AP23+AP25)</f>
        <v>0</v>
      </c>
      <c r="AQ36" s="173">
        <f>IF(PROJECT_MODE=0,0,1)*VAT_R*VAT_CAPEX_PCT*(AQ20+AQ21+AQ22+AQ23+AQ25)</f>
        <v>0</v>
      </c>
      <c r="AR36" s="173">
        <f>IF(PROJECT_MODE=0,0,1)*VAT_R*VAT_CAPEX_PCT*(AR20+AR21+AR22+AR23+AR25)</f>
        <v>0</v>
      </c>
      <c r="AS36" s="173">
        <f>IF(PROJECT_MODE=0,0,1)*VAT_R*VAT_CAPEX_PCT*(AS20+AS21+AS22+AS23+AS25)</f>
        <v>0</v>
      </c>
      <c r="AT36" s="173">
        <f>IF(PROJECT_MODE=0,0,1)*VAT_R*VAT_CAPEX_PCT*(AT20+AT21+AT22+AT23+AT25)</f>
        <v>0</v>
      </c>
      <c r="AU36" s="173">
        <f>IF(PROJECT_MODE=0,0,1)*VAT_R*VAT_CAPEX_PCT*(AU20+AU21+AU22+AU23+AU25)</f>
        <v>0</v>
      </c>
      <c r="AV36" s="173">
        <f>IF(PROJECT_MODE=0,0,1)*VAT_R*VAT_CAPEX_PCT*(AV20+AV21+AV22+AV23+AV25)</f>
        <v>0</v>
      </c>
      <c r="AW36" s="173">
        <f>IF(PROJECT_MODE=0,0,1)*VAT_R*VAT_CAPEX_PCT*(AW20+AW21+AW22+AW23+AW25)</f>
        <v>0</v>
      </c>
      <c r="AX36" s="173">
        <f>IF(PROJECT_MODE=0,0,1)*VAT_R*VAT_CAPEX_PCT*(AX20+AX21+AX22+AX23+AX25)</f>
        <v>0</v>
      </c>
      <c r="AY36" s="173">
        <f>IF(PROJECT_MODE=0,0,1)*VAT_R*VAT_CAPEX_PCT*(AY20+AY21+AY22+AY23+AY25)</f>
        <v>0</v>
      </c>
      <c r="AZ36" s="173">
        <f>IF(PROJECT_MODE=0,0,1)*VAT_R*VAT_CAPEX_PCT*(AZ20+AZ21+AZ22+AZ23+AZ25)</f>
        <v>0</v>
      </c>
    </row>
    <row r="37">
      <c r="B37" s="36" t="inlineStr">
        <is>
          <t>Land lease instalment (during construction)</t>
        </is>
      </c>
      <c r="C37" s="117" t="inlineStr">
        <is>
          <t>ETB</t>
        </is>
      </c>
      <c r="D37" s="169">
        <f>SUM(E37:AZ37)</f>
        <v>9000000</v>
      </c>
      <c r="E37" s="173">
        <f>E11*'27_Loan'!E84</f>
        <v>0</v>
      </c>
      <c r="F37" s="173">
        <f>F11*'27_Loan'!F84</f>
        <v>0</v>
      </c>
      <c r="G37" s="173">
        <f>G11*'27_Loan'!G84</f>
        <v>0</v>
      </c>
      <c r="H37" s="173">
        <f>H11*'27_Loan'!H84</f>
        <v>0</v>
      </c>
      <c r="I37" s="173">
        <f>I11*'27_Loan'!I84</f>
        <v>0</v>
      </c>
      <c r="J37" s="173">
        <f>J11*'27_Loan'!J84</f>
        <v>0</v>
      </c>
      <c r="K37" s="173">
        <f>K11*'27_Loan'!K84</f>
        <v>0</v>
      </c>
      <c r="L37" s="173">
        <f>L11*'27_Loan'!L84</f>
        <v>0</v>
      </c>
      <c r="M37" s="173">
        <f>M11*'27_Loan'!M84</f>
        <v>0</v>
      </c>
      <c r="N37" s="173">
        <f>N11*'27_Loan'!N84</f>
        <v>0</v>
      </c>
      <c r="O37" s="173">
        <f>O11*'27_Loan'!O84</f>
        <v>0</v>
      </c>
      <c r="P37" s="173">
        <f>P11*'27_Loan'!P84</f>
        <v>0</v>
      </c>
      <c r="Q37" s="173">
        <f>Q11*'27_Loan'!Q84</f>
        <v>4500000</v>
      </c>
      <c r="R37" s="173">
        <f>R11*'27_Loan'!R84</f>
        <v>0</v>
      </c>
      <c r="S37" s="173">
        <f>S11*'27_Loan'!S84</f>
        <v>0</v>
      </c>
      <c r="T37" s="173">
        <f>T11*'27_Loan'!T84</f>
        <v>0</v>
      </c>
      <c r="U37" s="173">
        <f>U11*'27_Loan'!U84</f>
        <v>0</v>
      </c>
      <c r="V37" s="173">
        <f>V11*'27_Loan'!V84</f>
        <v>0</v>
      </c>
      <c r="W37" s="173">
        <f>W11*'27_Loan'!W84</f>
        <v>0</v>
      </c>
      <c r="X37" s="173">
        <f>X11*'27_Loan'!X84</f>
        <v>0</v>
      </c>
      <c r="Y37" s="173">
        <f>Y11*'27_Loan'!Y84</f>
        <v>0</v>
      </c>
      <c r="Z37" s="173">
        <f>Z11*'27_Loan'!Z84</f>
        <v>0</v>
      </c>
      <c r="AA37" s="173">
        <f>AA11*'27_Loan'!AA84</f>
        <v>0</v>
      </c>
      <c r="AB37" s="173">
        <f>AB11*'27_Loan'!AB84</f>
        <v>0</v>
      </c>
      <c r="AC37" s="173">
        <f>AC11*'27_Loan'!AC84</f>
        <v>4500000</v>
      </c>
      <c r="AD37" s="173">
        <f>AD11*'27_Loan'!AD84</f>
        <v>0</v>
      </c>
      <c r="AE37" s="173">
        <f>AE11*'27_Loan'!AE84</f>
        <v>0</v>
      </c>
      <c r="AF37" s="173">
        <f>AF11*'27_Loan'!AF84</f>
        <v>0</v>
      </c>
      <c r="AG37" s="173">
        <f>AG11*'27_Loan'!AG84</f>
        <v>0</v>
      </c>
      <c r="AH37" s="173">
        <f>AH11*'27_Loan'!AH84</f>
        <v>0</v>
      </c>
      <c r="AI37" s="173">
        <f>AI11*'27_Loan'!AI84</f>
        <v>0</v>
      </c>
      <c r="AJ37" s="173">
        <f>AJ11*'27_Loan'!AJ84</f>
        <v>0</v>
      </c>
      <c r="AK37" s="173">
        <f>AK11*'27_Loan'!AK84</f>
        <v>0</v>
      </c>
      <c r="AL37" s="173">
        <f>AL11*'27_Loan'!AL84</f>
        <v>0</v>
      </c>
      <c r="AM37" s="173">
        <f>AM11*'27_Loan'!AM84</f>
        <v>0</v>
      </c>
      <c r="AN37" s="173">
        <f>AN11*'27_Loan'!AN84</f>
        <v>0</v>
      </c>
      <c r="AO37" s="173">
        <f>AO11*'27_Loan'!AO84</f>
        <v>0</v>
      </c>
      <c r="AP37" s="173">
        <f>AP11*'27_Loan'!AP84</f>
        <v>0</v>
      </c>
      <c r="AQ37" s="173">
        <f>AQ11*'27_Loan'!AQ84</f>
        <v>0</v>
      </c>
      <c r="AR37" s="173">
        <f>AR11*'27_Loan'!AR84</f>
        <v>0</v>
      </c>
      <c r="AS37" s="173">
        <f>AS11*'27_Loan'!AS84</f>
        <v>0</v>
      </c>
      <c r="AT37" s="173">
        <f>AT11*'27_Loan'!AT84</f>
        <v>0</v>
      </c>
      <c r="AU37" s="173">
        <f>AU11*'27_Loan'!AU84</f>
        <v>0</v>
      </c>
      <c r="AV37" s="173">
        <f>AV11*'27_Loan'!AV84</f>
        <v>0</v>
      </c>
      <c r="AW37" s="173">
        <f>AW11*'27_Loan'!AW84</f>
        <v>0</v>
      </c>
      <c r="AX37" s="173">
        <f>AX11*'27_Loan'!AX84</f>
        <v>0</v>
      </c>
      <c r="AY37" s="173">
        <f>AY11*'27_Loan'!AY84</f>
        <v>0</v>
      </c>
      <c r="AZ37" s="173">
        <f>AZ11*'27_Loan'!AZ84</f>
        <v>0</v>
      </c>
    </row>
    <row r="38">
      <c r="B38" s="36" t="inlineStr">
        <is>
          <t>Land lease interest (during construction)</t>
        </is>
      </c>
      <c r="C38" s="117" t="inlineStr">
        <is>
          <t>ETB</t>
        </is>
      </c>
      <c r="D38" s="169">
        <f>SUM(E38:AZ38)</f>
        <v>18585000</v>
      </c>
      <c r="E38" s="173">
        <f>E11*'27_Loan'!E85</f>
        <v>0</v>
      </c>
      <c r="F38" s="173">
        <f>F11*'27_Loan'!F85</f>
        <v>0</v>
      </c>
      <c r="G38" s="173">
        <f>G11*'27_Loan'!G85</f>
        <v>0</v>
      </c>
      <c r="H38" s="173">
        <f>H11*'27_Loan'!H85</f>
        <v>0</v>
      </c>
      <c r="I38" s="173">
        <f>I11*'27_Loan'!I85</f>
        <v>0</v>
      </c>
      <c r="J38" s="173">
        <f>J11*'27_Loan'!J85</f>
        <v>0</v>
      </c>
      <c r="K38" s="173">
        <f>K11*'27_Loan'!K85</f>
        <v>0</v>
      </c>
      <c r="L38" s="173">
        <f>L11*'27_Loan'!L85</f>
        <v>0</v>
      </c>
      <c r="M38" s="173">
        <f>M11*'27_Loan'!M85</f>
        <v>0</v>
      </c>
      <c r="N38" s="173">
        <f>N11*'27_Loan'!N85</f>
        <v>0</v>
      </c>
      <c r="O38" s="173">
        <f>O11*'27_Loan'!O85</f>
        <v>0</v>
      </c>
      <c r="P38" s="173">
        <f>P11*'27_Loan'!P85</f>
        <v>0</v>
      </c>
      <c r="Q38" s="173">
        <f>Q11*'27_Loan'!Q85</f>
        <v>9450000</v>
      </c>
      <c r="R38" s="173">
        <f>R11*'27_Loan'!R85</f>
        <v>0</v>
      </c>
      <c r="S38" s="173">
        <f>S11*'27_Loan'!S85</f>
        <v>0</v>
      </c>
      <c r="T38" s="173">
        <f>T11*'27_Loan'!T85</f>
        <v>0</v>
      </c>
      <c r="U38" s="173">
        <f>U11*'27_Loan'!U85</f>
        <v>0</v>
      </c>
      <c r="V38" s="173">
        <f>V11*'27_Loan'!V85</f>
        <v>0</v>
      </c>
      <c r="W38" s="173">
        <f>W11*'27_Loan'!W85</f>
        <v>0</v>
      </c>
      <c r="X38" s="173">
        <f>X11*'27_Loan'!X85</f>
        <v>0</v>
      </c>
      <c r="Y38" s="173">
        <f>Y11*'27_Loan'!Y85</f>
        <v>0</v>
      </c>
      <c r="Z38" s="173">
        <f>Z11*'27_Loan'!Z85</f>
        <v>0</v>
      </c>
      <c r="AA38" s="173">
        <f>AA11*'27_Loan'!AA85</f>
        <v>0</v>
      </c>
      <c r="AB38" s="173">
        <f>AB11*'27_Loan'!AB85</f>
        <v>0</v>
      </c>
      <c r="AC38" s="173">
        <f>AC11*'27_Loan'!AC85</f>
        <v>9135000</v>
      </c>
      <c r="AD38" s="173">
        <f>AD11*'27_Loan'!AD85</f>
        <v>0</v>
      </c>
      <c r="AE38" s="173">
        <f>AE11*'27_Loan'!AE85</f>
        <v>0</v>
      </c>
      <c r="AF38" s="173">
        <f>AF11*'27_Loan'!AF85</f>
        <v>0</v>
      </c>
      <c r="AG38" s="173">
        <f>AG11*'27_Loan'!AG85</f>
        <v>0</v>
      </c>
      <c r="AH38" s="173">
        <f>AH11*'27_Loan'!AH85</f>
        <v>0</v>
      </c>
      <c r="AI38" s="173">
        <f>AI11*'27_Loan'!AI85</f>
        <v>0</v>
      </c>
      <c r="AJ38" s="173">
        <f>AJ11*'27_Loan'!AJ85</f>
        <v>0</v>
      </c>
      <c r="AK38" s="173">
        <f>AK11*'27_Loan'!AK85</f>
        <v>0</v>
      </c>
      <c r="AL38" s="173">
        <f>AL11*'27_Loan'!AL85</f>
        <v>0</v>
      </c>
      <c r="AM38" s="173">
        <f>AM11*'27_Loan'!AM85</f>
        <v>0</v>
      </c>
      <c r="AN38" s="173">
        <f>AN11*'27_Loan'!AN85</f>
        <v>0</v>
      </c>
      <c r="AO38" s="173">
        <f>AO11*'27_Loan'!AO85</f>
        <v>0</v>
      </c>
      <c r="AP38" s="173">
        <f>AP11*'27_Loan'!AP85</f>
        <v>0</v>
      </c>
      <c r="AQ38" s="173">
        <f>AQ11*'27_Loan'!AQ85</f>
        <v>0</v>
      </c>
      <c r="AR38" s="173">
        <f>AR11*'27_Loan'!AR85</f>
        <v>0</v>
      </c>
      <c r="AS38" s="173">
        <f>AS11*'27_Loan'!AS85</f>
        <v>0</v>
      </c>
      <c r="AT38" s="173">
        <f>AT11*'27_Loan'!AT85</f>
        <v>0</v>
      </c>
      <c r="AU38" s="173">
        <f>AU11*'27_Loan'!AU85</f>
        <v>0</v>
      </c>
      <c r="AV38" s="173">
        <f>AV11*'27_Loan'!AV85</f>
        <v>0</v>
      </c>
      <c r="AW38" s="173">
        <f>AW11*'27_Loan'!AW85</f>
        <v>0</v>
      </c>
      <c r="AX38" s="173">
        <f>AX11*'27_Loan'!AX85</f>
        <v>0</v>
      </c>
      <c r="AY38" s="173">
        <f>AY11*'27_Loan'!AY85</f>
        <v>0</v>
      </c>
      <c r="AZ38" s="173">
        <f>AZ11*'27_Loan'!AZ85</f>
        <v>0</v>
      </c>
    </row>
    <row r="39">
      <c r="B39" s="36" t="inlineStr">
        <is>
          <t>Funding need excl. finance costs</t>
        </is>
      </c>
      <c r="C39" s="117" t="inlineStr">
        <is>
          <t>ETB</t>
        </is>
      </c>
      <c r="D39" s="169">
        <f>SUM(E39:AZ39)</f>
        <v>442196233.639338</v>
      </c>
      <c r="E39" s="173">
        <f>E11*(E35+E36+E37+E38)</f>
        <v>25276088.6992196</v>
      </c>
      <c r="F39" s="173">
        <f>F11*(F35+F36+F37+F38)</f>
        <v>1274388.86997689</v>
      </c>
      <c r="G39" s="173">
        <f>G11*(G35+G36+G37+G38)</f>
        <v>2359842.72669614</v>
      </c>
      <c r="H39" s="173">
        <f>H11*(H35+H36+H37+H38)</f>
        <v>3663389.11472562</v>
      </c>
      <c r="I39" s="173">
        <f>I11*(I35+I36+I37+I38)</f>
        <v>5202214.16624996</v>
      </c>
      <c r="J39" s="173">
        <f>J11*(J35+J36+J37+J38)</f>
        <v>6984372.01643293</v>
      </c>
      <c r="K39" s="173">
        <f>K11*(K35+K36+K37+K38)</f>
        <v>9003685.61252586</v>
      </c>
      <c r="L39" s="173">
        <f>L11*(L35+L36+L37+L38)</f>
        <v>11234078.7965013</v>
      </c>
      <c r="M39" s="173">
        <f>M11*(M35+M36+M37+M38)</f>
        <v>13624212.4486497</v>
      </c>
      <c r="N39" s="173">
        <f>N11*(N35+N36+N37+N38)</f>
        <v>16093811.305831</v>
      </c>
      <c r="O39" s="173">
        <f>O11*(O35+O36+O37+O38)</f>
        <v>18533448.2428677</v>
      </c>
      <c r="P39" s="173">
        <f>P11*(P35+P36+P37+P38)</f>
        <v>20809512.5811066</v>
      </c>
      <c r="Q39" s="173">
        <f>Q11*(Q35+Q36+Q37+Q38)</f>
        <v>36725342.981491</v>
      </c>
      <c r="R39" s="173">
        <f>R11*(R35+R36+R37+R38)</f>
        <v>24287968.3016183</v>
      </c>
      <c r="S39" s="173">
        <f>S11*(S35+S36+S37+S38)</f>
        <v>25227896.3330803</v>
      </c>
      <c r="T39" s="173">
        <f>T11*(T35+T36+T37+T38)</f>
        <v>25517692.0500925</v>
      </c>
      <c r="U39" s="173">
        <f>U11*(U35+U36+U37+U38)</f>
        <v>25134615.0308615</v>
      </c>
      <c r="V39" s="173">
        <f>V11*(V35+V36+V37+V38)</f>
        <v>24113854.4323275</v>
      </c>
      <c r="W39" s="173">
        <f>W11*(W35+W36+W37+W38)</f>
        <v>22541572.6974887</v>
      </c>
      <c r="X39" s="173">
        <f>X11*(X35+X36+X37+X38)</f>
        <v>20539933.9676599</v>
      </c>
      <c r="Y39" s="173">
        <f>Y11*(Y35+Y36+Y37+Y38)</f>
        <v>18248287.4957587</v>
      </c>
      <c r="Z39" s="173">
        <f>Z11*(Z35+Z36+Z37+Z38)</f>
        <v>15805013.633875</v>
      </c>
      <c r="AA39" s="173">
        <f>AA11*(AA35+AA36+AA37+AA38)</f>
        <v>13333403.7092575</v>
      </c>
      <c r="AB39" s="173">
        <f>AB11*(AB35+AB36+AB37+AB38)</f>
        <v>10933111.8962941</v>
      </c>
      <c r="AC39" s="173">
        <f>AC11*(AC35+AC36+AC37+AC38)</f>
        <v>22312018.6198786</v>
      </c>
      <c r="AD39" s="173">
        <f>AD11*(AD35+AD36+AD37+AD38)</f>
        <v>6612274.12800499</v>
      </c>
      <c r="AE39" s="173">
        <f>AE11*(AE35+AE36+AE37+AE38)</f>
        <v>4763924.46620555</v>
      </c>
      <c r="AF39" s="173">
        <f>AF11*(AF35+AF36+AF37+AF38)</f>
        <v>3139668.39901096</v>
      </c>
      <c r="AG39" s="173">
        <f>AG11*(AG35+AG36+AG37+AG38)</f>
        <v>1734687.63747281</v>
      </c>
      <c r="AH39" s="173">
        <f>AH11*(AH35+AH36+AH37+AH38)</f>
        <v>7165923.2781773</v>
      </c>
      <c r="AI39" s="173">
        <f>AI11*(AI35+AI36+AI37+AI38)</f>
        <v>0</v>
      </c>
      <c r="AJ39" s="173">
        <f>AJ11*(AJ35+AJ36+AJ37+AJ38)</f>
        <v>0</v>
      </c>
      <c r="AK39" s="173">
        <f>AK11*(AK35+AK36+AK37+AK38)</f>
        <v>0</v>
      </c>
      <c r="AL39" s="173">
        <f>AL11*(AL35+AL36+AL37+AL38)</f>
        <v>0</v>
      </c>
      <c r="AM39" s="173">
        <f>AM11*(AM35+AM36+AM37+AM38)</f>
        <v>0</v>
      </c>
      <c r="AN39" s="173">
        <f>AN11*(AN35+AN36+AN37+AN38)</f>
        <v>0</v>
      </c>
      <c r="AO39" s="173">
        <f>AO11*(AO35+AO36+AO37+AO38)</f>
        <v>0</v>
      </c>
      <c r="AP39" s="173">
        <f>AP11*(AP35+AP36+AP37+AP38)</f>
        <v>0</v>
      </c>
      <c r="AQ39" s="173">
        <f>AQ11*(AQ35+AQ36+AQ37+AQ38)</f>
        <v>0</v>
      </c>
      <c r="AR39" s="173">
        <f>AR11*(AR35+AR36+AR37+AR38)</f>
        <v>0</v>
      </c>
      <c r="AS39" s="173">
        <f>AS11*(AS35+AS36+AS37+AS38)</f>
        <v>0</v>
      </c>
      <c r="AT39" s="173">
        <f>AT11*(AT35+AT36+AT37+AT38)</f>
        <v>0</v>
      </c>
      <c r="AU39" s="173">
        <f>AU11*(AU35+AU36+AU37+AU38)</f>
        <v>0</v>
      </c>
      <c r="AV39" s="173">
        <f>AV11*(AV35+AV36+AV37+AV38)</f>
        <v>0</v>
      </c>
      <c r="AW39" s="173">
        <f>AW11*(AW35+AW36+AW37+AW38)</f>
        <v>0</v>
      </c>
      <c r="AX39" s="173">
        <f>AX11*(AX35+AX36+AX37+AX38)</f>
        <v>0</v>
      </c>
      <c r="AY39" s="173">
        <f>AY11*(AY35+AY36+AY37+AY38)</f>
        <v>0</v>
      </c>
      <c r="AZ39" s="173">
        <f>AZ11*(AZ35+AZ36+AZ37+AZ38)</f>
        <v>0</v>
      </c>
    </row>
    <row r="40">
      <c r="B40" s="36" t="inlineStr">
        <is>
          <t>Finance costs paid in cash (fees)</t>
        </is>
      </c>
      <c r="C40" s="117" t="inlineStr">
        <is>
          <t>ETB</t>
        </is>
      </c>
      <c r="D40" s="169">
        <f>SUM(E40:AZ40)</f>
        <v>6799092.37664789</v>
      </c>
      <c r="E40" s="173">
        <f>E27+E28</f>
        <v>4090315.16116388</v>
      </c>
      <c r="F40" s="173">
        <f>F27+F28</f>
        <v>110549.058409835</v>
      </c>
      <c r="G40" s="173">
        <f>G27+G28</f>
        <v>110549.058409835</v>
      </c>
      <c r="H40" s="173">
        <f>H27+H28</f>
        <v>110549.058409835</v>
      </c>
      <c r="I40" s="173">
        <f>I27+I28</f>
        <v>110549.058409835</v>
      </c>
      <c r="J40" s="173">
        <f>J27+J28</f>
        <v>110549.058409835</v>
      </c>
      <c r="K40" s="173">
        <f>K27+K28</f>
        <v>110549.058409835</v>
      </c>
      <c r="L40" s="173">
        <f>L27+L28</f>
        <v>110549.058409835</v>
      </c>
      <c r="M40" s="173">
        <f>M27+M28</f>
        <v>110549.058409835</v>
      </c>
      <c r="N40" s="173">
        <f>N27+N28</f>
        <v>110549.058409835</v>
      </c>
      <c r="O40" s="173">
        <f>O27+O28</f>
        <v>110549.058409835</v>
      </c>
      <c r="P40" s="173">
        <f>P27+P28</f>
        <v>110549.058409835</v>
      </c>
      <c r="Q40" s="173">
        <f>Q27+Q28</f>
        <v>110549.058409835</v>
      </c>
      <c r="R40" s="173">
        <f>R27+R28</f>
        <v>110549.058409835</v>
      </c>
      <c r="S40" s="173">
        <f>S27+S28</f>
        <v>110549.058409835</v>
      </c>
      <c r="T40" s="173">
        <f>T27+T28</f>
        <v>110549.058409835</v>
      </c>
      <c r="U40" s="173">
        <f>U27+U28</f>
        <v>105005.071541018</v>
      </c>
      <c r="V40" s="173">
        <f>V27+V28</f>
        <v>97537.2314848304</v>
      </c>
      <c r="W40" s="173">
        <f>W27+W28</f>
        <v>90607.2406208687</v>
      </c>
      <c r="X40" s="173">
        <f>X27+X28</f>
        <v>84402.8270980468</v>
      </c>
      <c r="Y40" s="173">
        <f>Y27+Y28</f>
        <v>79062.1699159482</v>
      </c>
      <c r="Z40" s="173">
        <f>Z27+Z28</f>
        <v>74669.6726368239</v>
      </c>
      <c r="AA40" s="173">
        <f>AA27+AA28</f>
        <v>71258.3170686541</v>
      </c>
      <c r="AB40" s="173">
        <f>AB27+AB28</f>
        <v>68816.8481936215</v>
      </c>
      <c r="AC40" s="173">
        <f>AC27+AC28</f>
        <v>67299.610880786</v>
      </c>
      <c r="AD40" s="173">
        <f>AD27+AD28</f>
        <v>62376.4699791786</v>
      </c>
      <c r="AE40" s="173">
        <f>AE27+AE28</f>
        <v>62376.4699791786</v>
      </c>
      <c r="AF40" s="173">
        <f>AF27+AF28</f>
        <v>62376.4699791786</v>
      </c>
      <c r="AG40" s="173">
        <f>AG27+AG28</f>
        <v>62376.4699791786</v>
      </c>
      <c r="AH40" s="173">
        <f>AH27+AH28</f>
        <v>62376.4699791786</v>
      </c>
      <c r="AI40" s="173">
        <f>AI27+AI28</f>
        <v>0</v>
      </c>
      <c r="AJ40" s="173">
        <f>AJ27+AJ28</f>
        <v>0</v>
      </c>
      <c r="AK40" s="173">
        <f>AK27+AK28</f>
        <v>0</v>
      </c>
      <c r="AL40" s="173">
        <f>AL27+AL28</f>
        <v>0</v>
      </c>
      <c r="AM40" s="173">
        <f>AM27+AM28</f>
        <v>0</v>
      </c>
      <c r="AN40" s="173">
        <f>AN27+AN28</f>
        <v>0</v>
      </c>
      <c r="AO40" s="173">
        <f>AO27+AO28</f>
        <v>0</v>
      </c>
      <c r="AP40" s="173">
        <f>AP27+AP28</f>
        <v>0</v>
      </c>
      <c r="AQ40" s="173">
        <f>AQ27+AQ28</f>
        <v>0</v>
      </c>
      <c r="AR40" s="173">
        <f>AR27+AR28</f>
        <v>0</v>
      </c>
      <c r="AS40" s="173">
        <f>AS27+AS28</f>
        <v>0</v>
      </c>
      <c r="AT40" s="173">
        <f>AT27+AT28</f>
        <v>0</v>
      </c>
      <c r="AU40" s="173">
        <f>AU27+AU28</f>
        <v>0</v>
      </c>
      <c r="AV40" s="173">
        <f>AV27+AV28</f>
        <v>0</v>
      </c>
      <c r="AW40" s="173">
        <f>AW27+AW28</f>
        <v>0</v>
      </c>
      <c r="AX40" s="173">
        <f>AX27+AX28</f>
        <v>0</v>
      </c>
      <c r="AY40" s="173">
        <f>AY27+AY28</f>
        <v>0</v>
      </c>
      <c r="AZ40" s="173">
        <f>AZ27+AZ28</f>
        <v>0</v>
      </c>
    </row>
    <row r="41">
      <c r="B41" s="97" t="inlineStr">
        <is>
          <t>TOTAL FUNDING NEED</t>
        </is>
      </c>
      <c r="C41" s="180" t="inlineStr">
        <is>
          <t>ETB</t>
        </is>
      </c>
      <c r="D41" s="181">
        <f>SUM(E41:AZ41)</f>
        <v>448995326.015986</v>
      </c>
      <c r="E41" s="182">
        <f>E39+E40</f>
        <v>29366403.8603835</v>
      </c>
      <c r="F41" s="182">
        <f>F39+F40</f>
        <v>1384937.92838673</v>
      </c>
      <c r="G41" s="182">
        <f>G39+G40</f>
        <v>2470391.78510597</v>
      </c>
      <c r="H41" s="182">
        <f>H39+H40</f>
        <v>3773938.17313546</v>
      </c>
      <c r="I41" s="182">
        <f>I39+I40</f>
        <v>5312763.2246598</v>
      </c>
      <c r="J41" s="182">
        <f>J39+J40</f>
        <v>7094921.07484276</v>
      </c>
      <c r="K41" s="182">
        <f>K39+K40</f>
        <v>9114234.6709357</v>
      </c>
      <c r="L41" s="182">
        <f>L39+L40</f>
        <v>11344627.8549111</v>
      </c>
      <c r="M41" s="182">
        <f>M39+M40</f>
        <v>13734761.5070595</v>
      </c>
      <c r="N41" s="182">
        <f>N39+N40</f>
        <v>16204360.3642408</v>
      </c>
      <c r="O41" s="182">
        <f>O39+O40</f>
        <v>18643997.3012775</v>
      </c>
      <c r="P41" s="182">
        <f>P39+P40</f>
        <v>20920061.6395165</v>
      </c>
      <c r="Q41" s="182">
        <f>Q39+Q40</f>
        <v>36835892.0399008</v>
      </c>
      <c r="R41" s="182">
        <f>R39+R40</f>
        <v>24398517.3600281</v>
      </c>
      <c r="S41" s="182">
        <f>S39+S40</f>
        <v>25338445.3914902</v>
      </c>
      <c r="T41" s="182">
        <f>T39+T40</f>
        <v>25628241.1085024</v>
      </c>
      <c r="U41" s="182">
        <f>U39+U40</f>
        <v>25239620.1024025</v>
      </c>
      <c r="V41" s="182">
        <f>V39+V40</f>
        <v>24211391.6638123</v>
      </c>
      <c r="W41" s="182">
        <f>W39+W40</f>
        <v>22632179.9381095</v>
      </c>
      <c r="X41" s="182">
        <f>X39+X40</f>
        <v>20624336.7947579</v>
      </c>
      <c r="Y41" s="182">
        <f>Y39+Y40</f>
        <v>18327349.6656747</v>
      </c>
      <c r="Z41" s="182">
        <f>Z39+Z40</f>
        <v>15879683.3065118</v>
      </c>
      <c r="AA41" s="182">
        <f>AA39+AA40</f>
        <v>13404662.0263262</v>
      </c>
      <c r="AB41" s="182">
        <f>AB39+AB40</f>
        <v>11001928.7444878</v>
      </c>
      <c r="AC41" s="182">
        <f>AC39+AC40</f>
        <v>22379318.2307594</v>
      </c>
      <c r="AD41" s="182">
        <f>AD39+AD40</f>
        <v>6674650.59798417</v>
      </c>
      <c r="AE41" s="182">
        <f>AE39+AE40</f>
        <v>4826300.93618473</v>
      </c>
      <c r="AF41" s="182">
        <f>AF39+AF40</f>
        <v>3202044.86899014</v>
      </c>
      <c r="AG41" s="182">
        <f>AG39+AG40</f>
        <v>1797064.10745199</v>
      </c>
      <c r="AH41" s="182">
        <f>AH39+AH40</f>
        <v>7228299.74815648</v>
      </c>
      <c r="AI41" s="182">
        <f>AI39+AI40</f>
        <v>0</v>
      </c>
      <c r="AJ41" s="182">
        <f>AJ39+AJ40</f>
        <v>0</v>
      </c>
      <c r="AK41" s="182">
        <f>AK39+AK40</f>
        <v>0</v>
      </c>
      <c r="AL41" s="182">
        <f>AL39+AL40</f>
        <v>0</v>
      </c>
      <c r="AM41" s="182">
        <f>AM39+AM40</f>
        <v>0</v>
      </c>
      <c r="AN41" s="182">
        <f>AN39+AN40</f>
        <v>0</v>
      </c>
      <c r="AO41" s="182">
        <f>AO39+AO40</f>
        <v>0</v>
      </c>
      <c r="AP41" s="182">
        <f>AP39+AP40</f>
        <v>0</v>
      </c>
      <c r="AQ41" s="182">
        <f>AQ39+AQ40</f>
        <v>0</v>
      </c>
      <c r="AR41" s="182">
        <f>AR39+AR40</f>
        <v>0</v>
      </c>
      <c r="AS41" s="182">
        <f>AS39+AS40</f>
        <v>0</v>
      </c>
      <c r="AT41" s="182">
        <f>AT39+AT40</f>
        <v>0</v>
      </c>
      <c r="AU41" s="182">
        <f>AU39+AU40</f>
        <v>0</v>
      </c>
      <c r="AV41" s="182">
        <f>AV39+AV40</f>
        <v>0</v>
      </c>
      <c r="AW41" s="182">
        <f>AW39+AW40</f>
        <v>0</v>
      </c>
      <c r="AX41" s="182">
        <f>AX39+AX40</f>
        <v>0</v>
      </c>
      <c r="AY41" s="182">
        <f>AY39+AY40</f>
        <v>0</v>
      </c>
      <c r="AZ41" s="182">
        <f>AZ39+AZ40</f>
        <v>0</v>
      </c>
    </row>
    <row r="42">
      <c r="B42" s="36" t="inlineStr">
        <is>
          <t>Cumulative funding need</t>
        </is>
      </c>
      <c r="C42" s="117" t="inlineStr">
        <is>
          <t>ETB</t>
        </is>
      </c>
      <c r="D42" s="169">
        <f>MAX(E42:AZ42)</f>
        <v>448995326.015986</v>
      </c>
      <c r="E42" s="173">
        <f>0+E41</f>
        <v>29366403.8603835</v>
      </c>
      <c r="F42" s="173">
        <f>E42+F41</f>
        <v>30751341.7887702</v>
      </c>
      <c r="G42" s="173">
        <f>F42+G41</f>
        <v>33221733.5738762</v>
      </c>
      <c r="H42" s="173">
        <f>G42+H41</f>
        <v>36995671.7470116</v>
      </c>
      <c r="I42" s="173">
        <f>H42+I41</f>
        <v>42308434.9716714</v>
      </c>
      <c r="J42" s="173">
        <f>I42+J41</f>
        <v>49403356.0465142</v>
      </c>
      <c r="K42" s="173">
        <f>J42+K41</f>
        <v>58517590.7174499</v>
      </c>
      <c r="L42" s="173">
        <f>K42+L41</f>
        <v>69862218.572361</v>
      </c>
      <c r="M42" s="173">
        <f>L42+M41</f>
        <v>83596980.0794205</v>
      </c>
      <c r="N42" s="173">
        <f>M42+N41</f>
        <v>99801340.4436613</v>
      </c>
      <c r="O42" s="173">
        <f>N42+O41</f>
        <v>118445337.744939</v>
      </c>
      <c r="P42" s="173">
        <f>O42+P41</f>
        <v>139365399.384455</v>
      </c>
      <c r="Q42" s="173">
        <f>P42+Q41</f>
        <v>176201291.424356</v>
      </c>
      <c r="R42" s="173">
        <f>Q42+R41</f>
        <v>200599808.784384</v>
      </c>
      <c r="S42" s="173">
        <f>R42+S41</f>
        <v>225938254.175874</v>
      </c>
      <c r="T42" s="173">
        <f>S42+T41</f>
        <v>251566495.284377</v>
      </c>
      <c r="U42" s="173">
        <f>T42+U41</f>
        <v>276806115.386779</v>
      </c>
      <c r="V42" s="173">
        <f>U42+V41</f>
        <v>301017507.050591</v>
      </c>
      <c r="W42" s="173">
        <f>V42+W41</f>
        <v>323649686.988701</v>
      </c>
      <c r="X42" s="173">
        <f>W42+X41</f>
        <v>344274023.783459</v>
      </c>
      <c r="Y42" s="173">
        <f>X42+Y41</f>
        <v>362601373.449134</v>
      </c>
      <c r="Z42" s="173">
        <f>Y42+Z41</f>
        <v>378481056.755645</v>
      </c>
      <c r="AA42" s="173">
        <f>Z42+AA41</f>
        <v>391885718.781972</v>
      </c>
      <c r="AB42" s="173">
        <f>AA42+AB41</f>
        <v>402887647.526459</v>
      </c>
      <c r="AC42" s="173">
        <f>AB42+AC41</f>
        <v>425266965.757219</v>
      </c>
      <c r="AD42" s="173">
        <f>AC42+AD41</f>
        <v>431941616.355203</v>
      </c>
      <c r="AE42" s="173">
        <f>AD42+AE41</f>
        <v>436767917.291388</v>
      </c>
      <c r="AF42" s="173">
        <f>AE42+AF41</f>
        <v>439969962.160378</v>
      </c>
      <c r="AG42" s="173">
        <f>AF42+AG41</f>
        <v>441767026.26783</v>
      </c>
      <c r="AH42" s="173">
        <f>AG42+AH41</f>
        <v>448995326.015986</v>
      </c>
      <c r="AI42" s="173">
        <f>AH42+AI41</f>
        <v>448995326.015986</v>
      </c>
      <c r="AJ42" s="173">
        <f>AI42+AJ41</f>
        <v>448995326.015986</v>
      </c>
      <c r="AK42" s="173">
        <f>AJ42+AK41</f>
        <v>448995326.015986</v>
      </c>
      <c r="AL42" s="173">
        <f>AK42+AL41</f>
        <v>448995326.015986</v>
      </c>
      <c r="AM42" s="173">
        <f>AL42+AM41</f>
        <v>448995326.015986</v>
      </c>
      <c r="AN42" s="173">
        <f>AM42+AN41</f>
        <v>448995326.015986</v>
      </c>
      <c r="AO42" s="173">
        <f>AN42+AO41</f>
        <v>448995326.015986</v>
      </c>
      <c r="AP42" s="173">
        <f>AO42+AP41</f>
        <v>448995326.015986</v>
      </c>
      <c r="AQ42" s="173">
        <f>AP42+AQ41</f>
        <v>448995326.015986</v>
      </c>
      <c r="AR42" s="173">
        <f>AQ42+AR41</f>
        <v>448995326.015986</v>
      </c>
      <c r="AS42" s="173">
        <f>AR42+AS41</f>
        <v>448995326.015986</v>
      </c>
      <c r="AT42" s="173">
        <f>AS42+AT41</f>
        <v>448995326.015986</v>
      </c>
      <c r="AU42" s="173">
        <f>AT42+AU41</f>
        <v>448995326.015986</v>
      </c>
      <c r="AV42" s="173">
        <f>AU42+AV41</f>
        <v>448995326.015986</v>
      </c>
      <c r="AW42" s="173">
        <f>AV42+AW41</f>
        <v>448995326.015986</v>
      </c>
      <c r="AX42" s="173">
        <f>AW42+AX41</f>
        <v>448995326.015986</v>
      </c>
      <c r="AY42" s="173">
        <f>AX42+AY41</f>
        <v>448995326.015986</v>
      </c>
      <c r="AZ42" s="173">
        <f>AY42+AZ41</f>
        <v>448995326.015986</v>
      </c>
    </row>
    <row r="43" ht="20" customHeight="1">
      <c r="B43" s="113" t="inlineStr">
        <is>
          <t>Presales (contracts signed during construction)</t>
        </is>
      </c>
      <c r="C43" s="37" t="inlineStr">
        <is>
          <t>ቅድመ-ሽያጭ</t>
        </is>
      </c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</row>
    <row r="44">
      <c r="B44" s="36" t="inlineStr">
        <is>
          <t>Construction year (presale band)</t>
        </is>
      </c>
      <c r="C44" s="117" t="inlineStr">
        <is>
          <t>no.</t>
        </is>
      </c>
      <c r="E44" s="148">
        <f>ROUNDUP('20_Timeline'!E37/12,0)</f>
        <v>1</v>
      </c>
      <c r="F44" s="148">
        <f>ROUNDUP('20_Timeline'!F37/12,0)</f>
        <v>1</v>
      </c>
      <c r="G44" s="148">
        <f>ROUNDUP('20_Timeline'!G37/12,0)</f>
        <v>1</v>
      </c>
      <c r="H44" s="148">
        <f>ROUNDUP('20_Timeline'!H37/12,0)</f>
        <v>1</v>
      </c>
      <c r="I44" s="148">
        <f>ROUNDUP('20_Timeline'!I37/12,0)</f>
        <v>1</v>
      </c>
      <c r="J44" s="148">
        <f>ROUNDUP('20_Timeline'!J37/12,0)</f>
        <v>1</v>
      </c>
      <c r="K44" s="148">
        <f>ROUNDUP('20_Timeline'!K37/12,0)</f>
        <v>1</v>
      </c>
      <c r="L44" s="148">
        <f>ROUNDUP('20_Timeline'!L37/12,0)</f>
        <v>1</v>
      </c>
      <c r="M44" s="148">
        <f>ROUNDUP('20_Timeline'!M37/12,0)</f>
        <v>1</v>
      </c>
      <c r="N44" s="148">
        <f>ROUNDUP('20_Timeline'!N37/12,0)</f>
        <v>1</v>
      </c>
      <c r="O44" s="148">
        <f>ROUNDUP('20_Timeline'!O37/12,0)</f>
        <v>1</v>
      </c>
      <c r="P44" s="148">
        <f>ROUNDUP('20_Timeline'!P37/12,0)</f>
        <v>1</v>
      </c>
      <c r="Q44" s="148">
        <f>ROUNDUP('20_Timeline'!Q37/12,0)</f>
        <v>2</v>
      </c>
      <c r="R44" s="148">
        <f>ROUNDUP('20_Timeline'!R37/12,0)</f>
        <v>2</v>
      </c>
      <c r="S44" s="148">
        <f>ROUNDUP('20_Timeline'!S37/12,0)</f>
        <v>2</v>
      </c>
      <c r="T44" s="148">
        <f>ROUNDUP('20_Timeline'!T37/12,0)</f>
        <v>2</v>
      </c>
      <c r="U44" s="148">
        <f>ROUNDUP('20_Timeline'!U37/12,0)</f>
        <v>2</v>
      </c>
      <c r="V44" s="148">
        <f>ROUNDUP('20_Timeline'!V37/12,0)</f>
        <v>2</v>
      </c>
      <c r="W44" s="148">
        <f>ROUNDUP('20_Timeline'!W37/12,0)</f>
        <v>2</v>
      </c>
      <c r="X44" s="148">
        <f>ROUNDUP('20_Timeline'!X37/12,0)</f>
        <v>2</v>
      </c>
      <c r="Y44" s="148">
        <f>ROUNDUP('20_Timeline'!Y37/12,0)</f>
        <v>2</v>
      </c>
      <c r="Z44" s="148">
        <f>ROUNDUP('20_Timeline'!Z37/12,0)</f>
        <v>2</v>
      </c>
      <c r="AA44" s="148">
        <f>ROUNDUP('20_Timeline'!AA37/12,0)</f>
        <v>2</v>
      </c>
      <c r="AB44" s="148">
        <f>ROUNDUP('20_Timeline'!AB37/12,0)</f>
        <v>2</v>
      </c>
      <c r="AC44" s="148">
        <f>ROUNDUP('20_Timeline'!AC37/12,0)</f>
        <v>3</v>
      </c>
      <c r="AD44" s="148">
        <f>ROUNDUP('20_Timeline'!AD37/12,0)</f>
        <v>3</v>
      </c>
      <c r="AE44" s="148">
        <f>ROUNDUP('20_Timeline'!AE37/12,0)</f>
        <v>3</v>
      </c>
      <c r="AF44" s="148">
        <f>ROUNDUP('20_Timeline'!AF37/12,0)</f>
        <v>3</v>
      </c>
      <c r="AG44" s="148">
        <f>ROUNDUP('20_Timeline'!AG37/12,0)</f>
        <v>3</v>
      </c>
      <c r="AH44" s="148">
        <f>ROUNDUP('20_Timeline'!AH37/12,0)</f>
        <v>3</v>
      </c>
      <c r="AI44" s="148">
        <f>ROUNDUP('20_Timeline'!AI37/12,0)</f>
        <v>3</v>
      </c>
      <c r="AJ44" s="148">
        <f>ROUNDUP('20_Timeline'!AJ37/12,0)</f>
        <v>3</v>
      </c>
      <c r="AK44" s="148">
        <f>ROUNDUP('20_Timeline'!AK37/12,0)</f>
        <v>3</v>
      </c>
      <c r="AL44" s="148">
        <f>ROUNDUP('20_Timeline'!AL37/12,0)</f>
        <v>3</v>
      </c>
      <c r="AM44" s="148">
        <f>ROUNDUP('20_Timeline'!AM37/12,0)</f>
        <v>3</v>
      </c>
      <c r="AN44" s="148">
        <f>ROUNDUP('20_Timeline'!AN37/12,0)</f>
        <v>3</v>
      </c>
      <c r="AO44" s="148">
        <f>ROUNDUP('20_Timeline'!AO37/12,0)</f>
        <v>4</v>
      </c>
      <c r="AP44" s="148">
        <f>ROUNDUP('20_Timeline'!AP37/12,0)</f>
        <v>4</v>
      </c>
      <c r="AQ44" s="148">
        <f>ROUNDUP('20_Timeline'!AQ37/12,0)</f>
        <v>4</v>
      </c>
      <c r="AR44" s="148">
        <f>ROUNDUP('20_Timeline'!AR37/12,0)</f>
        <v>4</v>
      </c>
      <c r="AS44" s="148">
        <f>ROUNDUP('20_Timeline'!AS37/12,0)</f>
        <v>4</v>
      </c>
      <c r="AT44" s="148">
        <f>ROUNDUP('20_Timeline'!AT37/12,0)</f>
        <v>4</v>
      </c>
      <c r="AU44" s="148">
        <f>ROUNDUP('20_Timeline'!AU37/12,0)</f>
        <v>4</v>
      </c>
      <c r="AV44" s="148">
        <f>ROUNDUP('20_Timeline'!AV37/12,0)</f>
        <v>4</v>
      </c>
      <c r="AW44" s="148">
        <f>ROUNDUP('20_Timeline'!AW37/12,0)</f>
        <v>4</v>
      </c>
      <c r="AX44" s="148">
        <f>ROUNDUP('20_Timeline'!AX37/12,0)</f>
        <v>4</v>
      </c>
      <c r="AY44" s="148">
        <f>ROUNDUP('20_Timeline'!AY37/12,0)</f>
        <v>4</v>
      </c>
      <c r="AZ44" s="148">
        <f>ROUNDUP('20_Timeline'!AZ37/12,0)</f>
        <v>4</v>
      </c>
    </row>
    <row r="45">
      <c r="B45" s="36" t="inlineStr">
        <is>
          <t>Construction months in this band</t>
        </is>
      </c>
      <c r="C45" s="117" t="inlineStr">
        <is>
          <t>no.</t>
        </is>
      </c>
      <c r="E45" s="148">
        <f>MAX(1,MIN(12,CONSTR_EFF-12*(E44-1)))</f>
        <v>12</v>
      </c>
      <c r="F45" s="148">
        <f>MAX(1,MIN(12,CONSTR_EFF-12*(F44-1)))</f>
        <v>12</v>
      </c>
      <c r="G45" s="148">
        <f>MAX(1,MIN(12,CONSTR_EFF-12*(G44-1)))</f>
        <v>12</v>
      </c>
      <c r="H45" s="148">
        <f>MAX(1,MIN(12,CONSTR_EFF-12*(H44-1)))</f>
        <v>12</v>
      </c>
      <c r="I45" s="148">
        <f>MAX(1,MIN(12,CONSTR_EFF-12*(I44-1)))</f>
        <v>12</v>
      </c>
      <c r="J45" s="148">
        <f>MAX(1,MIN(12,CONSTR_EFF-12*(J44-1)))</f>
        <v>12</v>
      </c>
      <c r="K45" s="148">
        <f>MAX(1,MIN(12,CONSTR_EFF-12*(K44-1)))</f>
        <v>12</v>
      </c>
      <c r="L45" s="148">
        <f>MAX(1,MIN(12,CONSTR_EFF-12*(L44-1)))</f>
        <v>12</v>
      </c>
      <c r="M45" s="148">
        <f>MAX(1,MIN(12,CONSTR_EFF-12*(M44-1)))</f>
        <v>12</v>
      </c>
      <c r="N45" s="148">
        <f>MAX(1,MIN(12,CONSTR_EFF-12*(N44-1)))</f>
        <v>12</v>
      </c>
      <c r="O45" s="148">
        <f>MAX(1,MIN(12,CONSTR_EFF-12*(O44-1)))</f>
        <v>12</v>
      </c>
      <c r="P45" s="148">
        <f>MAX(1,MIN(12,CONSTR_EFF-12*(P44-1)))</f>
        <v>12</v>
      </c>
      <c r="Q45" s="148">
        <f>MAX(1,MIN(12,CONSTR_EFF-12*(Q44-1)))</f>
        <v>12</v>
      </c>
      <c r="R45" s="148">
        <f>MAX(1,MIN(12,CONSTR_EFF-12*(R44-1)))</f>
        <v>12</v>
      </c>
      <c r="S45" s="148">
        <f>MAX(1,MIN(12,CONSTR_EFF-12*(S44-1)))</f>
        <v>12</v>
      </c>
      <c r="T45" s="148">
        <f>MAX(1,MIN(12,CONSTR_EFF-12*(T44-1)))</f>
        <v>12</v>
      </c>
      <c r="U45" s="148">
        <f>MAX(1,MIN(12,CONSTR_EFF-12*(U44-1)))</f>
        <v>12</v>
      </c>
      <c r="V45" s="148">
        <f>MAX(1,MIN(12,CONSTR_EFF-12*(V44-1)))</f>
        <v>12</v>
      </c>
      <c r="W45" s="148">
        <f>MAX(1,MIN(12,CONSTR_EFF-12*(W44-1)))</f>
        <v>12</v>
      </c>
      <c r="X45" s="148">
        <f>MAX(1,MIN(12,CONSTR_EFF-12*(X44-1)))</f>
        <v>12</v>
      </c>
      <c r="Y45" s="148">
        <f>MAX(1,MIN(12,CONSTR_EFF-12*(Y44-1)))</f>
        <v>12</v>
      </c>
      <c r="Z45" s="148">
        <f>MAX(1,MIN(12,CONSTR_EFF-12*(Z44-1)))</f>
        <v>12</v>
      </c>
      <c r="AA45" s="148">
        <f>MAX(1,MIN(12,CONSTR_EFF-12*(AA44-1)))</f>
        <v>12</v>
      </c>
      <c r="AB45" s="148">
        <f>MAX(1,MIN(12,CONSTR_EFF-12*(AB44-1)))</f>
        <v>12</v>
      </c>
      <c r="AC45" s="148">
        <f>MAX(1,MIN(12,CONSTR_EFF-12*(AC44-1)))</f>
        <v>6</v>
      </c>
      <c r="AD45" s="148">
        <f>MAX(1,MIN(12,CONSTR_EFF-12*(AD44-1)))</f>
        <v>6</v>
      </c>
      <c r="AE45" s="148">
        <f>MAX(1,MIN(12,CONSTR_EFF-12*(AE44-1)))</f>
        <v>6</v>
      </c>
      <c r="AF45" s="148">
        <f>MAX(1,MIN(12,CONSTR_EFF-12*(AF44-1)))</f>
        <v>6</v>
      </c>
      <c r="AG45" s="148">
        <f>MAX(1,MIN(12,CONSTR_EFF-12*(AG44-1)))</f>
        <v>6</v>
      </c>
      <c r="AH45" s="148">
        <f>MAX(1,MIN(12,CONSTR_EFF-12*(AH44-1)))</f>
        <v>6</v>
      </c>
      <c r="AI45" s="148">
        <f>MAX(1,MIN(12,CONSTR_EFF-12*(AI44-1)))</f>
        <v>6</v>
      </c>
      <c r="AJ45" s="148">
        <f>MAX(1,MIN(12,CONSTR_EFF-12*(AJ44-1)))</f>
        <v>6</v>
      </c>
      <c r="AK45" s="148">
        <f>MAX(1,MIN(12,CONSTR_EFF-12*(AK44-1)))</f>
        <v>6</v>
      </c>
      <c r="AL45" s="148">
        <f>MAX(1,MIN(12,CONSTR_EFF-12*(AL44-1)))</f>
        <v>6</v>
      </c>
      <c r="AM45" s="148">
        <f>MAX(1,MIN(12,CONSTR_EFF-12*(AM44-1)))</f>
        <v>6</v>
      </c>
      <c r="AN45" s="148">
        <f>MAX(1,MIN(12,CONSTR_EFF-12*(AN44-1)))</f>
        <v>6</v>
      </c>
      <c r="AO45" s="148">
        <f>MAX(1,MIN(12,CONSTR_EFF-12*(AO44-1)))</f>
        <v>1</v>
      </c>
      <c r="AP45" s="148">
        <f>MAX(1,MIN(12,CONSTR_EFF-12*(AP44-1)))</f>
        <v>1</v>
      </c>
      <c r="AQ45" s="148">
        <f>MAX(1,MIN(12,CONSTR_EFF-12*(AQ44-1)))</f>
        <v>1</v>
      </c>
      <c r="AR45" s="148">
        <f>MAX(1,MIN(12,CONSTR_EFF-12*(AR44-1)))</f>
        <v>1</v>
      </c>
      <c r="AS45" s="148">
        <f>MAX(1,MIN(12,CONSTR_EFF-12*(AS44-1)))</f>
        <v>1</v>
      </c>
      <c r="AT45" s="148">
        <f>MAX(1,MIN(12,CONSTR_EFF-12*(AT44-1)))</f>
        <v>1</v>
      </c>
      <c r="AU45" s="148">
        <f>MAX(1,MIN(12,CONSTR_EFF-12*(AU44-1)))</f>
        <v>1</v>
      </c>
      <c r="AV45" s="148">
        <f>MAX(1,MIN(12,CONSTR_EFF-12*(AV44-1)))</f>
        <v>1</v>
      </c>
      <c r="AW45" s="148">
        <f>MAX(1,MIN(12,CONSTR_EFF-12*(AW44-1)))</f>
        <v>1</v>
      </c>
      <c r="AX45" s="148">
        <f>MAX(1,MIN(12,CONSTR_EFF-12*(AX44-1)))</f>
        <v>1</v>
      </c>
      <c r="AY45" s="148">
        <f>MAX(1,MIN(12,CONSTR_EFF-12*(AY44-1)))</f>
        <v>1</v>
      </c>
      <c r="AZ45" s="148">
        <f>MAX(1,MIN(12,CONSTR_EFF-12*(AZ44-1)))</f>
        <v>1</v>
      </c>
    </row>
    <row r="46">
      <c r="B46" s="36" t="inlineStr">
        <is>
          <t>Area presold</t>
        </is>
      </c>
      <c r="C46" s="117" t="inlineStr">
        <is>
          <t>m²</t>
        </is>
      </c>
      <c r="D46" s="169">
        <f>SUM(E46:AZ46)</f>
        <v>2352</v>
      </c>
      <c r="E46" s="173">
        <f>E11*SALE_AREA*INDEX(PS_EFF,E44)/E45</f>
        <v>70</v>
      </c>
      <c r="F46" s="173">
        <f>F11*SALE_AREA*INDEX(PS_EFF,F44)/F45</f>
        <v>70</v>
      </c>
      <c r="G46" s="173">
        <f>G11*SALE_AREA*INDEX(PS_EFF,G44)/G45</f>
        <v>70</v>
      </c>
      <c r="H46" s="173">
        <f>H11*SALE_AREA*INDEX(PS_EFF,H44)/H45</f>
        <v>70</v>
      </c>
      <c r="I46" s="173">
        <f>I11*SALE_AREA*INDEX(PS_EFF,I44)/I45</f>
        <v>70</v>
      </c>
      <c r="J46" s="173">
        <f>J11*SALE_AREA*INDEX(PS_EFF,J44)/J45</f>
        <v>70</v>
      </c>
      <c r="K46" s="173">
        <f>K11*SALE_AREA*INDEX(PS_EFF,K44)/K45</f>
        <v>70</v>
      </c>
      <c r="L46" s="173">
        <f>L11*SALE_AREA*INDEX(PS_EFF,L44)/L45</f>
        <v>70</v>
      </c>
      <c r="M46" s="173">
        <f>M11*SALE_AREA*INDEX(PS_EFF,M44)/M45</f>
        <v>70</v>
      </c>
      <c r="N46" s="173">
        <f>N11*SALE_AREA*INDEX(PS_EFF,N44)/N45</f>
        <v>70</v>
      </c>
      <c r="O46" s="173">
        <f>O11*SALE_AREA*INDEX(PS_EFF,O44)/O45</f>
        <v>70</v>
      </c>
      <c r="P46" s="173">
        <f>P11*SALE_AREA*INDEX(PS_EFF,P44)/P45</f>
        <v>70</v>
      </c>
      <c r="Q46" s="173">
        <f>Q11*SALE_AREA*INDEX(PS_EFF,Q44)/Q45</f>
        <v>70</v>
      </c>
      <c r="R46" s="173">
        <f>R11*SALE_AREA*INDEX(PS_EFF,R44)/R45</f>
        <v>70</v>
      </c>
      <c r="S46" s="173">
        <f>S11*SALE_AREA*INDEX(PS_EFF,S44)/S45</f>
        <v>70</v>
      </c>
      <c r="T46" s="173">
        <f>T11*SALE_AREA*INDEX(PS_EFF,T44)/T45</f>
        <v>70</v>
      </c>
      <c r="U46" s="173">
        <f>U11*SALE_AREA*INDEX(PS_EFF,U44)/U45</f>
        <v>70</v>
      </c>
      <c r="V46" s="173">
        <f>V11*SALE_AREA*INDEX(PS_EFF,V44)/V45</f>
        <v>70</v>
      </c>
      <c r="W46" s="173">
        <f>W11*SALE_AREA*INDEX(PS_EFF,W44)/W45</f>
        <v>70</v>
      </c>
      <c r="X46" s="173">
        <f>X11*SALE_AREA*INDEX(PS_EFF,X44)/X45</f>
        <v>70</v>
      </c>
      <c r="Y46" s="173">
        <f>Y11*SALE_AREA*INDEX(PS_EFF,Y44)/Y45</f>
        <v>70</v>
      </c>
      <c r="Z46" s="173">
        <f>Z11*SALE_AREA*INDEX(PS_EFF,Z44)/Z45</f>
        <v>70</v>
      </c>
      <c r="AA46" s="173">
        <f>AA11*SALE_AREA*INDEX(PS_EFF,AA44)/AA45</f>
        <v>70</v>
      </c>
      <c r="AB46" s="173">
        <f>AB11*SALE_AREA*INDEX(PS_EFF,AB44)/AB45</f>
        <v>70</v>
      </c>
      <c r="AC46" s="173">
        <f>AC11*SALE_AREA*INDEX(PS_EFF,AC44)/AC45</f>
        <v>112</v>
      </c>
      <c r="AD46" s="173">
        <f>AD11*SALE_AREA*INDEX(PS_EFF,AD44)/AD45</f>
        <v>112</v>
      </c>
      <c r="AE46" s="173">
        <f>AE11*SALE_AREA*INDEX(PS_EFF,AE44)/AE45</f>
        <v>112</v>
      </c>
      <c r="AF46" s="173">
        <f>AF11*SALE_AREA*INDEX(PS_EFF,AF44)/AF45</f>
        <v>112</v>
      </c>
      <c r="AG46" s="173">
        <f>AG11*SALE_AREA*INDEX(PS_EFF,AG44)/AG45</f>
        <v>112</v>
      </c>
      <c r="AH46" s="173">
        <f>AH11*SALE_AREA*INDEX(PS_EFF,AH44)/AH45</f>
        <v>112</v>
      </c>
      <c r="AI46" s="173">
        <f>AI11*SALE_AREA*INDEX(PS_EFF,AI44)/AI45</f>
        <v>0</v>
      </c>
      <c r="AJ46" s="173">
        <f>AJ11*SALE_AREA*INDEX(PS_EFF,AJ44)/AJ45</f>
        <v>0</v>
      </c>
      <c r="AK46" s="173">
        <f>AK11*SALE_AREA*INDEX(PS_EFF,AK44)/AK45</f>
        <v>0</v>
      </c>
      <c r="AL46" s="173">
        <f>AL11*SALE_AREA*INDEX(PS_EFF,AL44)/AL45</f>
        <v>0</v>
      </c>
      <c r="AM46" s="173">
        <f>AM11*SALE_AREA*INDEX(PS_EFF,AM44)/AM45</f>
        <v>0</v>
      </c>
      <c r="AN46" s="173">
        <f>AN11*SALE_AREA*INDEX(PS_EFF,AN44)/AN45</f>
        <v>0</v>
      </c>
      <c r="AO46" s="173">
        <f>AO11*SALE_AREA*INDEX(PS_EFF,AO44)/AO45</f>
        <v>0</v>
      </c>
      <c r="AP46" s="173">
        <f>AP11*SALE_AREA*INDEX(PS_EFF,AP44)/AP45</f>
        <v>0</v>
      </c>
      <c r="AQ46" s="173">
        <f>AQ11*SALE_AREA*INDEX(PS_EFF,AQ44)/AQ45</f>
        <v>0</v>
      </c>
      <c r="AR46" s="173">
        <f>AR11*SALE_AREA*INDEX(PS_EFF,AR44)/AR45</f>
        <v>0</v>
      </c>
      <c r="AS46" s="173">
        <f>AS11*SALE_AREA*INDEX(PS_EFF,AS44)/AS45</f>
        <v>0</v>
      </c>
      <c r="AT46" s="173">
        <f>AT11*SALE_AREA*INDEX(PS_EFF,AT44)/AT45</f>
        <v>0</v>
      </c>
      <c r="AU46" s="173">
        <f>AU11*SALE_AREA*INDEX(PS_EFF,AU44)/AU45</f>
        <v>0</v>
      </c>
      <c r="AV46" s="173">
        <f>AV11*SALE_AREA*INDEX(PS_EFF,AV44)/AV45</f>
        <v>0</v>
      </c>
      <c r="AW46" s="173">
        <f>AW11*SALE_AREA*INDEX(PS_EFF,AW44)/AW45</f>
        <v>0</v>
      </c>
      <c r="AX46" s="173">
        <f>AX11*SALE_AREA*INDEX(PS_EFF,AX44)/AX45</f>
        <v>0</v>
      </c>
      <c r="AY46" s="173">
        <f>AY11*SALE_AREA*INDEX(PS_EFF,AY44)/AY45</f>
        <v>0</v>
      </c>
      <c r="AZ46" s="173">
        <f>AZ11*SALE_AREA*INDEX(PS_EFF,AZ44)/AZ45</f>
        <v>0</v>
      </c>
    </row>
    <row r="47">
      <c r="B47" s="36" t="inlineStr">
        <is>
          <t>Sale price (escalated)</t>
        </is>
      </c>
      <c r="C47" s="117" t="inlineStr">
        <is>
          <t>ETB/m²</t>
        </is>
      </c>
      <c r="E47" s="173">
        <f>BLEND_PRICE*(1+PESC_EFF)^(('20_Timeline'!E37-1)/12)</f>
        <v>125000</v>
      </c>
      <c r="F47" s="173">
        <f>BLEND_PRICE*(1+PESC_EFF)^(('20_Timeline'!F37-1)/12)</f>
        <v>125996.767553613</v>
      </c>
      <c r="G47" s="173">
        <f>BLEND_PRICE*(1+PESC_EFF)^(('20_Timeline'!G37-1)/12)</f>
        <v>127001.483471673</v>
      </c>
      <c r="H47" s="173">
        <f>BLEND_PRICE*(1+PESC_EFF)^(('20_Timeline'!H37-1)/12)</f>
        <v>128014.211135556</v>
      </c>
      <c r="I47" s="173">
        <f>BLEND_PRICE*(1+PESC_EFF)^(('20_Timeline'!I37-1)/12)</f>
        <v>129035.014432046</v>
      </c>
      <c r="J47" s="173">
        <f>BLEND_PRICE*(1+PESC_EFF)^(('20_Timeline'!J37-1)/12)</f>
        <v>130063.957757373</v>
      </c>
      <c r="K47" s="173">
        <f>BLEND_PRICE*(1+PESC_EFF)^(('20_Timeline'!K37-1)/12)</f>
        <v>131101.106021269</v>
      </c>
      <c r="L47" s="173">
        <f>BLEND_PRICE*(1+PESC_EFF)^(('20_Timeline'!L37-1)/12)</f>
        <v>132146.524651067</v>
      </c>
      <c r="M47" s="173">
        <f>BLEND_PRICE*(1+PESC_EFF)^(('20_Timeline'!M37-1)/12)</f>
        <v>133200.279595826</v>
      </c>
      <c r="N47" s="173">
        <f>BLEND_PRICE*(1+PESC_EFF)^(('20_Timeline'!N37-1)/12)</f>
        <v>134262.437330493</v>
      </c>
      <c r="O47" s="173">
        <f>BLEND_PRICE*(1+PESC_EFF)^(('20_Timeline'!O37-1)/12)</f>
        <v>135333.064860093</v>
      </c>
      <c r="P47" s="173">
        <f>BLEND_PRICE*(1+PESC_EFF)^(('20_Timeline'!P37-1)/12)</f>
        <v>136412.229723961</v>
      </c>
      <c r="Q47" s="173">
        <f>BLEND_PRICE*(1+PESC_EFF)^(('20_Timeline'!Q37-1)/12)</f>
        <v>137500</v>
      </c>
      <c r="R47" s="173">
        <f>BLEND_PRICE*(1+PESC_EFF)^(('20_Timeline'!R37-1)/12)</f>
        <v>138596.444308974</v>
      </c>
      <c r="S47" s="173">
        <f>BLEND_PRICE*(1+PESC_EFF)^(('20_Timeline'!S37-1)/12)</f>
        <v>139701.631818841</v>
      </c>
      <c r="T47" s="173">
        <f>BLEND_PRICE*(1+PESC_EFF)^(('20_Timeline'!T37-1)/12)</f>
        <v>140815.632249111</v>
      </c>
      <c r="U47" s="173">
        <f>BLEND_PRICE*(1+PESC_EFF)^(('20_Timeline'!U37-1)/12)</f>
        <v>141938.515875251</v>
      </c>
      <c r="V47" s="173">
        <f>BLEND_PRICE*(1+PESC_EFF)^(('20_Timeline'!V37-1)/12)</f>
        <v>143070.35353311</v>
      </c>
      <c r="W47" s="173">
        <f>BLEND_PRICE*(1+PESC_EFF)^(('20_Timeline'!W37-1)/12)</f>
        <v>144211.216623396</v>
      </c>
      <c r="X47" s="173">
        <f>BLEND_PRICE*(1+PESC_EFF)^(('20_Timeline'!X37-1)/12)</f>
        <v>145361.177116174</v>
      </c>
      <c r="Y47" s="173">
        <f>BLEND_PRICE*(1+PESC_EFF)^(('20_Timeline'!Y37-1)/12)</f>
        <v>146520.307555409</v>
      </c>
      <c r="Z47" s="173">
        <f>BLEND_PRICE*(1+PESC_EFF)^(('20_Timeline'!Z37-1)/12)</f>
        <v>147688.681063542</v>
      </c>
      <c r="AA47" s="173">
        <f>BLEND_PRICE*(1+PESC_EFF)^(('20_Timeline'!AA37-1)/12)</f>
        <v>148866.371346102</v>
      </c>
      <c r="AB47" s="173">
        <f>BLEND_PRICE*(1+PESC_EFF)^(('20_Timeline'!AB37-1)/12)</f>
        <v>150053.452696357</v>
      </c>
      <c r="AC47" s="173">
        <f>BLEND_PRICE*(1+PESC_EFF)^(('20_Timeline'!AC37-1)/12)</f>
        <v>151250</v>
      </c>
      <c r="AD47" s="173">
        <f>BLEND_PRICE*(1+PESC_EFF)^(('20_Timeline'!AD37-1)/12)</f>
        <v>152456.088739872</v>
      </c>
      <c r="AE47" s="173">
        <f>BLEND_PRICE*(1+PESC_EFF)^(('20_Timeline'!AE37-1)/12)</f>
        <v>153671.795000725</v>
      </c>
      <c r="AF47" s="173">
        <f>BLEND_PRICE*(1+PESC_EFF)^(('20_Timeline'!AF37-1)/12)</f>
        <v>154897.195474022</v>
      </c>
      <c r="AG47" s="173">
        <f>BLEND_PRICE*(1+PESC_EFF)^(('20_Timeline'!AG37-1)/12)</f>
        <v>156132.367462776</v>
      </c>
      <c r="AH47" s="173">
        <f>BLEND_PRICE*(1+PESC_EFF)^(('20_Timeline'!AH37-1)/12)</f>
        <v>157377.388886421</v>
      </c>
      <c r="AI47" s="173">
        <f>BLEND_PRICE*(1+PESC_EFF)^(('20_Timeline'!AI37-1)/12)</f>
        <v>158632.338285735</v>
      </c>
      <c r="AJ47" s="173">
        <f>BLEND_PRICE*(1+PESC_EFF)^(('20_Timeline'!AJ37-1)/12)</f>
        <v>159897.294827791</v>
      </c>
      <c r="AK47" s="173">
        <f>BLEND_PRICE*(1+PESC_EFF)^(('20_Timeline'!AK37-1)/12)</f>
        <v>161172.33831095</v>
      </c>
      <c r="AL47" s="173">
        <f>BLEND_PRICE*(1+PESC_EFF)^(('20_Timeline'!AL37-1)/12)</f>
        <v>162457.549169896</v>
      </c>
      <c r="AM47" s="173">
        <f>BLEND_PRICE*(1+PESC_EFF)^(('20_Timeline'!AM37-1)/12)</f>
        <v>163753.008480713</v>
      </c>
      <c r="AN47" s="173">
        <f>BLEND_PRICE*(1+PESC_EFF)^(('20_Timeline'!AN37-1)/12)</f>
        <v>165058.797965993</v>
      </c>
      <c r="AO47" s="173">
        <f>BLEND_PRICE*(1+PESC_EFF)^(('20_Timeline'!AO37-1)/12)</f>
        <v>166375</v>
      </c>
      <c r="AP47" s="173">
        <f>BLEND_PRICE*(1+PESC_EFF)^(('20_Timeline'!AP37-1)/12)</f>
        <v>167701.697613859</v>
      </c>
      <c r="AQ47" s="173">
        <f>BLEND_PRICE*(1+PESC_EFF)^(('20_Timeline'!AQ37-1)/12)</f>
        <v>169038.974500797</v>
      </c>
      <c r="AR47" s="173">
        <f>BLEND_PRICE*(1+PESC_EFF)^(('20_Timeline'!AR37-1)/12)</f>
        <v>170386.915021425</v>
      </c>
      <c r="AS47" s="173">
        <f>BLEND_PRICE*(1+PESC_EFF)^(('20_Timeline'!AS37-1)/12)</f>
        <v>171745.604209053</v>
      </c>
      <c r="AT47" s="173">
        <f>BLEND_PRICE*(1+PESC_EFF)^(('20_Timeline'!AT37-1)/12)</f>
        <v>173115.127775063</v>
      </c>
      <c r="AU47" s="173">
        <f>BLEND_PRICE*(1+PESC_EFF)^(('20_Timeline'!AU37-1)/12)</f>
        <v>174495.572114309</v>
      </c>
      <c r="AV47" s="173">
        <f>BLEND_PRICE*(1+PESC_EFF)^(('20_Timeline'!AV37-1)/12)</f>
        <v>175887.02431057</v>
      </c>
      <c r="AW47" s="173">
        <f>BLEND_PRICE*(1+PESC_EFF)^(('20_Timeline'!AW37-1)/12)</f>
        <v>177289.572142045</v>
      </c>
      <c r="AX47" s="173">
        <f>BLEND_PRICE*(1+PESC_EFF)^(('20_Timeline'!AX37-1)/12)</f>
        <v>178703.304086886</v>
      </c>
      <c r="AY47" s="173">
        <f>BLEND_PRICE*(1+PESC_EFF)^(('20_Timeline'!AY37-1)/12)</f>
        <v>180128.309328784</v>
      </c>
      <c r="AZ47" s="173">
        <f>BLEND_PRICE*(1+PESC_EFF)^(('20_Timeline'!AZ37-1)/12)</f>
        <v>181564.677762593</v>
      </c>
    </row>
    <row r="48">
      <c r="B48" s="36" t="inlineStr">
        <is>
          <t>Contract value signed (net of default allowance)</t>
        </is>
      </c>
      <c r="C48" s="117" t="inlineStr">
        <is>
          <t>ETB</t>
        </is>
      </c>
      <c r="D48" s="169">
        <f>SUM(E48:AZ48)</f>
        <v>327437856.596824</v>
      </c>
      <c r="E48" s="173">
        <f>E46*E47*(1-DEFAULT_EFF)</f>
        <v>8575000</v>
      </c>
      <c r="F48" s="173">
        <f>F46*F47*(1-DEFAULT_EFF)</f>
        <v>8643378.25417785</v>
      </c>
      <c r="G48" s="173">
        <f>G46*G47*(1-DEFAULT_EFF)</f>
        <v>8712301.7661568</v>
      </c>
      <c r="H48" s="173">
        <f>H46*H47*(1-DEFAULT_EFF)</f>
        <v>8781774.88389912</v>
      </c>
      <c r="I48" s="173">
        <f>I46*I47*(1-DEFAULT_EFF)</f>
        <v>8851801.99003835</v>
      </c>
      <c r="J48" s="173">
        <f>J46*J47*(1-DEFAULT_EFF)</f>
        <v>8922387.50215576</v>
      </c>
      <c r="K48" s="173">
        <f>K46*K47*(1-DEFAULT_EFF)</f>
        <v>8993535.87305905</v>
      </c>
      <c r="L48" s="173">
        <f>L46*L47*(1-DEFAULT_EFF)</f>
        <v>9065251.59106321</v>
      </c>
      <c r="M48" s="173">
        <f>M46*M47*(1-DEFAULT_EFF)</f>
        <v>9137539.18027369</v>
      </c>
      <c r="N48" s="173">
        <f>N46*N47*(1-DEFAULT_EFF)</f>
        <v>9210403.2008718</v>
      </c>
      <c r="O48" s="173">
        <f>O46*O47*(1-DEFAULT_EFF)</f>
        <v>9283848.24940238</v>
      </c>
      <c r="P48" s="173">
        <f>P46*P47*(1-DEFAULT_EFF)</f>
        <v>9357878.95906374</v>
      </c>
      <c r="Q48" s="173">
        <f>Q46*Q47*(1-DEFAULT_EFF)</f>
        <v>9432500</v>
      </c>
      <c r="R48" s="173">
        <f>R46*R47*(1-DEFAULT_EFF)</f>
        <v>9507716.07959564</v>
      </c>
      <c r="S48" s="173">
        <f>S46*S47*(1-DEFAULT_EFF)</f>
        <v>9583531.94277248</v>
      </c>
      <c r="T48" s="173">
        <f>T46*T47*(1-DEFAULT_EFF)</f>
        <v>9659952.37228903</v>
      </c>
      <c r="U48" s="173">
        <f>U46*U47*(1-DEFAULT_EFF)</f>
        <v>9736982.18904219</v>
      </c>
      <c r="V48" s="173">
        <f>V46*V47*(1-DEFAULT_EFF)</f>
        <v>9814626.25237134</v>
      </c>
      <c r="W48" s="173">
        <f>W46*W47*(1-DEFAULT_EFF)</f>
        <v>9892889.46036496</v>
      </c>
      <c r="X48" s="173">
        <f>X46*X47*(1-DEFAULT_EFF)</f>
        <v>9971776.75016953</v>
      </c>
      <c r="Y48" s="173">
        <f>Y46*Y47*(1-DEFAULT_EFF)</f>
        <v>10051293.0983011</v>
      </c>
      <c r="Z48" s="173">
        <f>Z46*Z47*(1-DEFAULT_EFF)</f>
        <v>10131443.520959</v>
      </c>
      <c r="AA48" s="173">
        <f>AA46*AA47*(1-DEFAULT_EFF)</f>
        <v>10212233.0743426</v>
      </c>
      <c r="AB48" s="173">
        <f>AB46*AB47*(1-DEFAULT_EFF)</f>
        <v>10293666.8549701</v>
      </c>
      <c r="AC48" s="173">
        <f>AC46*AC47*(1-DEFAULT_EFF)</f>
        <v>16601200</v>
      </c>
      <c r="AD48" s="173">
        <f>AD46*AD47*(1-DEFAULT_EFF)</f>
        <v>16733580.3000883</v>
      </c>
      <c r="AE48" s="173">
        <f>AE46*AE47*(1-DEFAULT_EFF)</f>
        <v>16867016.2192796</v>
      </c>
      <c r="AF48" s="173">
        <f>AF46*AF47*(1-DEFAULT_EFF)</f>
        <v>17001516.1752287</v>
      </c>
      <c r="AG48" s="173">
        <f>AG46*AG47*(1-DEFAULT_EFF)</f>
        <v>17137088.6527142</v>
      </c>
      <c r="AH48" s="173">
        <f>AH46*AH47*(1-DEFAULT_EFF)</f>
        <v>17273742.2041736</v>
      </c>
      <c r="AI48" s="173">
        <f>AI46*AI47*(1-DEFAULT_EFF)</f>
        <v>0</v>
      </c>
      <c r="AJ48" s="173">
        <f>AJ46*AJ47*(1-DEFAULT_EFF)</f>
        <v>0</v>
      </c>
      <c r="AK48" s="173">
        <f>AK46*AK47*(1-DEFAULT_EFF)</f>
        <v>0</v>
      </c>
      <c r="AL48" s="173">
        <f>AL46*AL47*(1-DEFAULT_EFF)</f>
        <v>0</v>
      </c>
      <c r="AM48" s="173">
        <f>AM46*AM47*(1-DEFAULT_EFF)</f>
        <v>0</v>
      </c>
      <c r="AN48" s="173">
        <f>AN46*AN47*(1-DEFAULT_EFF)</f>
        <v>0</v>
      </c>
      <c r="AO48" s="173">
        <f>AO46*AO47*(1-DEFAULT_EFF)</f>
        <v>0</v>
      </c>
      <c r="AP48" s="173">
        <f>AP46*AP47*(1-DEFAULT_EFF)</f>
        <v>0</v>
      </c>
      <c r="AQ48" s="173">
        <f>AQ46*AQ47*(1-DEFAULT_EFF)</f>
        <v>0</v>
      </c>
      <c r="AR48" s="173">
        <f>AR46*AR47*(1-DEFAULT_EFF)</f>
        <v>0</v>
      </c>
      <c r="AS48" s="173">
        <f>AS46*AS47*(1-DEFAULT_EFF)</f>
        <v>0</v>
      </c>
      <c r="AT48" s="173">
        <f>AT46*AT47*(1-DEFAULT_EFF)</f>
        <v>0</v>
      </c>
      <c r="AU48" s="173">
        <f>AU46*AU47*(1-DEFAULT_EFF)</f>
        <v>0</v>
      </c>
      <c r="AV48" s="173">
        <f>AV46*AV47*(1-DEFAULT_EFF)</f>
        <v>0</v>
      </c>
      <c r="AW48" s="173">
        <f>AW46*AW47*(1-DEFAULT_EFF)</f>
        <v>0</v>
      </c>
      <c r="AX48" s="173">
        <f>AX46*AX47*(1-DEFAULT_EFF)</f>
        <v>0</v>
      </c>
      <c r="AY48" s="173">
        <f>AY46*AY47*(1-DEFAULT_EFF)</f>
        <v>0</v>
      </c>
      <c r="AZ48" s="173">
        <f>AZ46*AZ47*(1-DEFAULT_EFF)</f>
        <v>0</v>
      </c>
    </row>
    <row r="49">
      <c r="B49" s="36" t="inlineStr">
        <is>
          <t>Cumulative contract value</t>
        </is>
      </c>
      <c r="C49" s="117" t="inlineStr">
        <is>
          <t>ETB</t>
        </is>
      </c>
      <c r="D49" s="169">
        <f>AZ49</f>
        <v>327437856.596824</v>
      </c>
      <c r="E49" s="173">
        <f>0+E48</f>
        <v>8575000</v>
      </c>
      <c r="F49" s="173">
        <f>E49+F48</f>
        <v>17218378.2541779</v>
      </c>
      <c r="G49" s="173">
        <f>F49+G48</f>
        <v>25930680.0203346</v>
      </c>
      <c r="H49" s="173">
        <f>G49+H48</f>
        <v>34712454.9042338</v>
      </c>
      <c r="I49" s="173">
        <f>H49+I48</f>
        <v>43564256.8942721</v>
      </c>
      <c r="J49" s="173">
        <f>I49+J48</f>
        <v>52486644.3964279</v>
      </c>
      <c r="K49" s="173">
        <f>J49+K48</f>
        <v>61480180.2694869</v>
      </c>
      <c r="L49" s="173">
        <f>K49+L48</f>
        <v>70545431.8605501</v>
      </c>
      <c r="M49" s="173">
        <f>L49+M48</f>
        <v>79682971.0408238</v>
      </c>
      <c r="N49" s="173">
        <f>M49+N48</f>
        <v>88893374.2416956</v>
      </c>
      <c r="O49" s="173">
        <f>N49+O48</f>
        <v>98177222.491098</v>
      </c>
      <c r="P49" s="173">
        <f>O49+P48</f>
        <v>107535101.450162</v>
      </c>
      <c r="Q49" s="173">
        <f>P49+Q48</f>
        <v>116967601.450162</v>
      </c>
      <c r="R49" s="173">
        <f>Q49+R48</f>
        <v>126475317.529757</v>
      </c>
      <c r="S49" s="173">
        <f>R49+S48</f>
        <v>136058849.47253</v>
      </c>
      <c r="T49" s="173">
        <f>S49+T48</f>
        <v>145718801.844819</v>
      </c>
      <c r="U49" s="173">
        <f>T49+U48</f>
        <v>155455784.033861</v>
      </c>
      <c r="V49" s="173">
        <f>U49+V48</f>
        <v>165270410.286232</v>
      </c>
      <c r="W49" s="173">
        <f>V49+W48</f>
        <v>175163299.746597</v>
      </c>
      <c r="X49" s="173">
        <f>W49+X48</f>
        <v>185135076.496767</v>
      </c>
      <c r="Y49" s="173">
        <f>X49+Y48</f>
        <v>195186369.595068</v>
      </c>
      <c r="Z49" s="173">
        <f>Y49+Z48</f>
        <v>205317813.116027</v>
      </c>
      <c r="AA49" s="173">
        <f>Z49+AA48</f>
        <v>215530046.19037</v>
      </c>
      <c r="AB49" s="173">
        <f>AA49+AB48</f>
        <v>225823713.04534</v>
      </c>
      <c r="AC49" s="173">
        <f>AB49+AC48</f>
        <v>242424913.04534</v>
      </c>
      <c r="AD49" s="173">
        <f>AC49+AD48</f>
        <v>259158493.345428</v>
      </c>
      <c r="AE49" s="173">
        <f>AD49+AE48</f>
        <v>276025509.564708</v>
      </c>
      <c r="AF49" s="173">
        <f>AE49+AF48</f>
        <v>293027025.739936</v>
      </c>
      <c r="AG49" s="173">
        <f>AF49+AG48</f>
        <v>310164114.392651</v>
      </c>
      <c r="AH49" s="173">
        <f>AG49+AH48</f>
        <v>327437856.596824</v>
      </c>
      <c r="AI49" s="173">
        <f>AH49+AI48</f>
        <v>327437856.596824</v>
      </c>
      <c r="AJ49" s="173">
        <f>AI49+AJ48</f>
        <v>327437856.596824</v>
      </c>
      <c r="AK49" s="173">
        <f>AJ49+AK48</f>
        <v>327437856.596824</v>
      </c>
      <c r="AL49" s="173">
        <f>AK49+AL48</f>
        <v>327437856.596824</v>
      </c>
      <c r="AM49" s="173">
        <f>AL49+AM48</f>
        <v>327437856.596824</v>
      </c>
      <c r="AN49" s="173">
        <f>AM49+AN48</f>
        <v>327437856.596824</v>
      </c>
      <c r="AO49" s="173">
        <f>AN49+AO48</f>
        <v>327437856.596824</v>
      </c>
      <c r="AP49" s="173">
        <f>AO49+AP48</f>
        <v>327437856.596824</v>
      </c>
      <c r="AQ49" s="173">
        <f>AP49+AQ48</f>
        <v>327437856.596824</v>
      </c>
      <c r="AR49" s="173">
        <f>AQ49+AR48</f>
        <v>327437856.596824</v>
      </c>
      <c r="AS49" s="173">
        <f>AR49+AS48</f>
        <v>327437856.596824</v>
      </c>
      <c r="AT49" s="173">
        <f>AS49+AT48</f>
        <v>327437856.596824</v>
      </c>
      <c r="AU49" s="173">
        <f>AT49+AU48</f>
        <v>327437856.596824</v>
      </c>
      <c r="AV49" s="173">
        <f>AU49+AV48</f>
        <v>327437856.596824</v>
      </c>
      <c r="AW49" s="173">
        <f>AV49+AW48</f>
        <v>327437856.596824</v>
      </c>
      <c r="AX49" s="173">
        <f>AW49+AX48</f>
        <v>327437856.596824</v>
      </c>
      <c r="AY49" s="173">
        <f>AX49+AY48</f>
        <v>327437856.596824</v>
      </c>
      <c r="AZ49" s="173">
        <f>AY49+AZ48</f>
        <v>327437856.596824</v>
      </c>
    </row>
    <row r="50">
      <c r="B50" s="36" t="inlineStr">
        <is>
          <t>Cumulative area presold</t>
        </is>
      </c>
      <c r="C50" s="117" t="inlineStr">
        <is>
          <t>m²</t>
        </is>
      </c>
      <c r="D50" s="169">
        <f>AZ50</f>
        <v>2352</v>
      </c>
      <c r="E50" s="173">
        <f>0+E46</f>
        <v>70</v>
      </c>
      <c r="F50" s="173">
        <f>E50+F46</f>
        <v>140</v>
      </c>
      <c r="G50" s="173">
        <f>F50+G46</f>
        <v>210</v>
      </c>
      <c r="H50" s="173">
        <f>G50+H46</f>
        <v>280</v>
      </c>
      <c r="I50" s="173">
        <f>H50+I46</f>
        <v>350</v>
      </c>
      <c r="J50" s="173">
        <f>I50+J46</f>
        <v>420</v>
      </c>
      <c r="K50" s="173">
        <f>J50+K46</f>
        <v>490</v>
      </c>
      <c r="L50" s="173">
        <f>K50+L46</f>
        <v>560</v>
      </c>
      <c r="M50" s="173">
        <f>L50+M46</f>
        <v>630</v>
      </c>
      <c r="N50" s="173">
        <f>M50+N46</f>
        <v>700</v>
      </c>
      <c r="O50" s="173">
        <f>N50+O46</f>
        <v>770</v>
      </c>
      <c r="P50" s="173">
        <f>O50+P46</f>
        <v>840</v>
      </c>
      <c r="Q50" s="173">
        <f>P50+Q46</f>
        <v>910</v>
      </c>
      <c r="R50" s="173">
        <f>Q50+R46</f>
        <v>980</v>
      </c>
      <c r="S50" s="173">
        <f>R50+S46</f>
        <v>1050</v>
      </c>
      <c r="T50" s="173">
        <f>S50+T46</f>
        <v>1120</v>
      </c>
      <c r="U50" s="173">
        <f>T50+U46</f>
        <v>1190</v>
      </c>
      <c r="V50" s="173">
        <f>U50+V46</f>
        <v>1260</v>
      </c>
      <c r="W50" s="173">
        <f>V50+W46</f>
        <v>1330</v>
      </c>
      <c r="X50" s="173">
        <f>W50+X46</f>
        <v>1400</v>
      </c>
      <c r="Y50" s="173">
        <f>X50+Y46</f>
        <v>1470</v>
      </c>
      <c r="Z50" s="173">
        <f>Y50+Z46</f>
        <v>1540</v>
      </c>
      <c r="AA50" s="173">
        <f>Z50+AA46</f>
        <v>1610</v>
      </c>
      <c r="AB50" s="173">
        <f>AA50+AB46</f>
        <v>1680</v>
      </c>
      <c r="AC50" s="173">
        <f>AB50+AC46</f>
        <v>1792</v>
      </c>
      <c r="AD50" s="173">
        <f>AC50+AD46</f>
        <v>1904</v>
      </c>
      <c r="AE50" s="173">
        <f>AD50+AE46</f>
        <v>2016</v>
      </c>
      <c r="AF50" s="173">
        <f>AE50+AF46</f>
        <v>2128</v>
      </c>
      <c r="AG50" s="173">
        <f>AF50+AG46</f>
        <v>2240</v>
      </c>
      <c r="AH50" s="173">
        <f>AG50+AH46</f>
        <v>2352</v>
      </c>
      <c r="AI50" s="173">
        <f>AH50+AI46</f>
        <v>2352</v>
      </c>
      <c r="AJ50" s="173">
        <f>AI50+AJ46</f>
        <v>2352</v>
      </c>
      <c r="AK50" s="173">
        <f>AJ50+AK46</f>
        <v>2352</v>
      </c>
      <c r="AL50" s="173">
        <f>AK50+AL46</f>
        <v>2352</v>
      </c>
      <c r="AM50" s="173">
        <f>AL50+AM46</f>
        <v>2352</v>
      </c>
      <c r="AN50" s="173">
        <f>AM50+AN46</f>
        <v>2352</v>
      </c>
      <c r="AO50" s="173">
        <f>AN50+AO46</f>
        <v>2352</v>
      </c>
      <c r="AP50" s="173">
        <f>AO50+AP46</f>
        <v>2352</v>
      </c>
      <c r="AQ50" s="173">
        <f>AP50+AQ46</f>
        <v>2352</v>
      </c>
      <c r="AR50" s="173">
        <f>AQ50+AR46</f>
        <v>2352</v>
      </c>
      <c r="AS50" s="173">
        <f>AR50+AS46</f>
        <v>2352</v>
      </c>
      <c r="AT50" s="173">
        <f>AS50+AT46</f>
        <v>2352</v>
      </c>
      <c r="AU50" s="173">
        <f>AT50+AU46</f>
        <v>2352</v>
      </c>
      <c r="AV50" s="173">
        <f>AU50+AV46</f>
        <v>2352</v>
      </c>
      <c r="AW50" s="173">
        <f>AV50+AW46</f>
        <v>2352</v>
      </c>
      <c r="AX50" s="173">
        <f>AW50+AX46</f>
        <v>2352</v>
      </c>
      <c r="AY50" s="173">
        <f>AX50+AY46</f>
        <v>2352</v>
      </c>
      <c r="AZ50" s="173">
        <f>AY50+AZ46</f>
        <v>2352</v>
      </c>
    </row>
    <row r="51">
      <c r="B51" s="36" t="inlineStr">
        <is>
          <t>Collections – down payments</t>
        </is>
      </c>
      <c r="C51" s="117" t="inlineStr">
        <is>
          <t>ETB</t>
        </is>
      </c>
      <c r="D51" s="169">
        <f>SUM(E51:AZ51)</f>
        <v>98231356.9790472</v>
      </c>
      <c r="E51" s="173">
        <f>PAY_DP*E48</f>
        <v>2572500</v>
      </c>
      <c r="F51" s="173">
        <f>PAY_DP*F48</f>
        <v>2593013.47625336</v>
      </c>
      <c r="G51" s="173">
        <f>PAY_DP*G48</f>
        <v>2613690.52984704</v>
      </c>
      <c r="H51" s="173">
        <f>PAY_DP*H48</f>
        <v>2634532.46516974</v>
      </c>
      <c r="I51" s="173">
        <f>PAY_DP*I48</f>
        <v>2655540.5970115</v>
      </c>
      <c r="J51" s="173">
        <f>PAY_DP*J48</f>
        <v>2676716.25064673</v>
      </c>
      <c r="K51" s="173">
        <f>PAY_DP*K48</f>
        <v>2698060.76191772</v>
      </c>
      <c r="L51" s="173">
        <f>PAY_DP*L48</f>
        <v>2719575.47731896</v>
      </c>
      <c r="M51" s="173">
        <f>PAY_DP*M48</f>
        <v>2741261.75408211</v>
      </c>
      <c r="N51" s="173">
        <f>PAY_DP*N48</f>
        <v>2763120.96026154</v>
      </c>
      <c r="O51" s="173">
        <f>PAY_DP*O48</f>
        <v>2785154.47482071</v>
      </c>
      <c r="P51" s="173">
        <f>PAY_DP*P48</f>
        <v>2807363.68771912</v>
      </c>
      <c r="Q51" s="173">
        <f>PAY_DP*Q48</f>
        <v>2829750</v>
      </c>
      <c r="R51" s="173">
        <f>PAY_DP*R48</f>
        <v>2852314.82387869</v>
      </c>
      <c r="S51" s="173">
        <f>PAY_DP*S48</f>
        <v>2875059.58283174</v>
      </c>
      <c r="T51" s="173">
        <f>PAY_DP*T48</f>
        <v>2897985.71168671</v>
      </c>
      <c r="U51" s="173">
        <f>PAY_DP*U48</f>
        <v>2921094.65671266</v>
      </c>
      <c r="V51" s="173">
        <f>PAY_DP*V48</f>
        <v>2944387.8757114</v>
      </c>
      <c r="W51" s="173">
        <f>PAY_DP*W48</f>
        <v>2967866.83810949</v>
      </c>
      <c r="X51" s="173">
        <f>PAY_DP*X48</f>
        <v>2991533.02505086</v>
      </c>
      <c r="Y51" s="173">
        <f>PAY_DP*Y48</f>
        <v>3015387.92949032</v>
      </c>
      <c r="Z51" s="173">
        <f>PAY_DP*Z48</f>
        <v>3039433.05628769</v>
      </c>
      <c r="AA51" s="173">
        <f>PAY_DP*AA48</f>
        <v>3063669.92230278</v>
      </c>
      <c r="AB51" s="173">
        <f>PAY_DP*AB48</f>
        <v>3088100.05649104</v>
      </c>
      <c r="AC51" s="173">
        <f>PAY_DP*AC48</f>
        <v>4980360</v>
      </c>
      <c r="AD51" s="173">
        <f>PAY_DP*AD48</f>
        <v>5020074.0900265</v>
      </c>
      <c r="AE51" s="173">
        <f>PAY_DP*AE48</f>
        <v>5060104.86578387</v>
      </c>
      <c r="AF51" s="173">
        <f>PAY_DP*AF48</f>
        <v>5100454.85256861</v>
      </c>
      <c r="AG51" s="173">
        <f>PAY_DP*AG48</f>
        <v>5141126.59581427</v>
      </c>
      <c r="AH51" s="173">
        <f>PAY_DP*AH48</f>
        <v>5182122.66125207</v>
      </c>
      <c r="AI51" s="173">
        <f>PAY_DP*AI48</f>
        <v>0</v>
      </c>
      <c r="AJ51" s="173">
        <f>PAY_DP*AJ48</f>
        <v>0</v>
      </c>
      <c r="AK51" s="173">
        <f>PAY_DP*AK48</f>
        <v>0</v>
      </c>
      <c r="AL51" s="173">
        <f>PAY_DP*AL48</f>
        <v>0</v>
      </c>
      <c r="AM51" s="173">
        <f>PAY_DP*AM48</f>
        <v>0</v>
      </c>
      <c r="AN51" s="173">
        <f>PAY_DP*AN48</f>
        <v>0</v>
      </c>
      <c r="AO51" s="173">
        <f>PAY_DP*AO48</f>
        <v>0</v>
      </c>
      <c r="AP51" s="173">
        <f>PAY_DP*AP48</f>
        <v>0</v>
      </c>
      <c r="AQ51" s="173">
        <f>PAY_DP*AQ48</f>
        <v>0</v>
      </c>
      <c r="AR51" s="173">
        <f>PAY_DP*AR48</f>
        <v>0</v>
      </c>
      <c r="AS51" s="173">
        <f>PAY_DP*AS48</f>
        <v>0</v>
      </c>
      <c r="AT51" s="173">
        <f>PAY_DP*AT48</f>
        <v>0</v>
      </c>
      <c r="AU51" s="173">
        <f>PAY_DP*AU48</f>
        <v>0</v>
      </c>
      <c r="AV51" s="173">
        <f>PAY_DP*AV48</f>
        <v>0</v>
      </c>
      <c r="AW51" s="173">
        <f>PAY_DP*AW48</f>
        <v>0</v>
      </c>
      <c r="AX51" s="173">
        <f>PAY_DP*AX48</f>
        <v>0</v>
      </c>
      <c r="AY51" s="173">
        <f>PAY_DP*AY48</f>
        <v>0</v>
      </c>
      <c r="AZ51" s="173">
        <f>PAY_DP*AZ48</f>
        <v>0</v>
      </c>
    </row>
    <row r="52">
      <c r="B52" s="36" t="inlineStr">
        <is>
          <t>Cumulative milestone instalments due</t>
        </is>
      </c>
      <c r="C52" s="117" t="inlineStr">
        <is>
          <t>ETB</t>
        </is>
      </c>
      <c r="D52" s="169">
        <f>AZ52</f>
        <v>130975142.63873</v>
      </c>
      <c r="E52" s="173">
        <f>PAY_INST*E49*E16</f>
        <v>4073.63420427553</v>
      </c>
      <c r="F52" s="173">
        <f>PAY_INST*F49*F16</f>
        <v>34961.1741201581</v>
      </c>
      <c r="G52" s="173">
        <f>PAY_INST*G49*G16</f>
        <v>126491.122050413</v>
      </c>
      <c r="H52" s="173">
        <f>PAY_INST*H49*H16</f>
        <v>321040.045357075</v>
      </c>
      <c r="I52" s="173">
        <f>PAY_INST*I49*I16</f>
        <v>670219.336834956</v>
      </c>
      <c r="J52" s="173">
        <f>PAY_INST*J49*J16</f>
        <v>1234979.86815124</v>
      </c>
      <c r="K52" s="173">
        <f>PAY_INST*K49*K16</f>
        <v>2084795.04028018</v>
      </c>
      <c r="L52" s="173">
        <f>PAY_INST*L49*L16</f>
        <v>3295553.02122278</v>
      </c>
      <c r="M52" s="173">
        <f>PAY_INST*M49*M16</f>
        <v>4945839.58184424</v>
      </c>
      <c r="N52" s="173">
        <f>PAY_INST*N49*N16</f>
        <v>7111469.93933565</v>
      </c>
      <c r="O52" s="173">
        <f>PAY_INST*O49*O16</f>
        <v>9858459.6858281</v>
      </c>
      <c r="P52" s="173">
        <f>PAY_INST*P49*P16</f>
        <v>13235089.4092507</v>
      </c>
      <c r="Q52" s="173">
        <f>PAY_INST*Q49*Q16</f>
        <v>17264213.663823</v>
      </c>
      <c r="R52" s="173">
        <f>PAY_INST*R49*R16</f>
        <v>21937311.7131261</v>
      </c>
      <c r="S52" s="173">
        <f>PAY_INST*S49*S16</f>
        <v>27211769.894506</v>
      </c>
      <c r="T52" s="173">
        <f>PAY_INST*T49*T16</f>
        <v>33012401.1259059</v>
      </c>
      <c r="U52" s="173">
        <f>PAY_INST*U49*U16</f>
        <v>39237311.4286339</v>
      </c>
      <c r="V52" s="173">
        <f>PAY_INST*V49*V16</f>
        <v>45767190.5408028</v>
      </c>
      <c r="W52" s="173">
        <f>PAY_INST*W49*W16</f>
        <v>52476308.0568644</v>
      </c>
      <c r="X52" s="173">
        <f>PAY_INST*X49*X16</f>
        <v>59243224.4789654</v>
      </c>
      <c r="Y52" s="173">
        <f>PAY_INST*Y49*Y16</f>
        <v>65959531.7941954</v>
      </c>
      <c r="Z52" s="173">
        <f>PAY_INST*Z49*Z16</f>
        <v>72535636.166538</v>
      </c>
      <c r="AA52" s="173">
        <f>PAY_INST*AA49*AA16</f>
        <v>78903387.1520453</v>
      </c>
      <c r="AB52" s="173">
        <f>PAY_INST*AB49*AB16</f>
        <v>85015986.0876573</v>
      </c>
      <c r="AC52" s="173">
        <f>PAY_INST*AC49*AC16</f>
        <v>93240351.1712845</v>
      </c>
      <c r="AD52" s="173">
        <f>PAY_INST*AD49*AD16</f>
        <v>101266555.781219</v>
      </c>
      <c r="AE52" s="173">
        <f>PAY_INST*AE49*AE16</f>
        <v>109063737.925567</v>
      </c>
      <c r="AF52" s="173">
        <f>PAY_INST*AF49*AF16</f>
        <v>116615831.563508</v>
      </c>
      <c r="AG52" s="173">
        <f>PAY_INST*AG49*AG16</f>
        <v>123918299.384427</v>
      </c>
      <c r="AH52" s="173">
        <f>PAY_INST*AH49*AH16</f>
        <v>130975142.63873</v>
      </c>
      <c r="AI52" s="173">
        <f>PAY_INST*AI49*AI16</f>
        <v>130975142.63873</v>
      </c>
      <c r="AJ52" s="173">
        <f>PAY_INST*AJ49*AJ16</f>
        <v>130975142.63873</v>
      </c>
      <c r="AK52" s="173">
        <f>PAY_INST*AK49*AK16</f>
        <v>130975142.63873</v>
      </c>
      <c r="AL52" s="173">
        <f>PAY_INST*AL49*AL16</f>
        <v>130975142.63873</v>
      </c>
      <c r="AM52" s="173">
        <f>PAY_INST*AM49*AM16</f>
        <v>130975142.63873</v>
      </c>
      <c r="AN52" s="173">
        <f>PAY_INST*AN49*AN16</f>
        <v>130975142.63873</v>
      </c>
      <c r="AO52" s="173">
        <f>PAY_INST*AO49*AO16</f>
        <v>130975142.63873</v>
      </c>
      <c r="AP52" s="173">
        <f>PAY_INST*AP49*AP16</f>
        <v>130975142.63873</v>
      </c>
      <c r="AQ52" s="173">
        <f>PAY_INST*AQ49*AQ16</f>
        <v>130975142.63873</v>
      </c>
      <c r="AR52" s="173">
        <f>PAY_INST*AR49*AR16</f>
        <v>130975142.63873</v>
      </c>
      <c r="AS52" s="173">
        <f>PAY_INST*AS49*AS16</f>
        <v>130975142.63873</v>
      </c>
      <c r="AT52" s="173">
        <f>PAY_INST*AT49*AT16</f>
        <v>130975142.63873</v>
      </c>
      <c r="AU52" s="173">
        <f>PAY_INST*AU49*AU16</f>
        <v>130975142.63873</v>
      </c>
      <c r="AV52" s="173">
        <f>PAY_INST*AV49*AV16</f>
        <v>130975142.63873</v>
      </c>
      <c r="AW52" s="173">
        <f>PAY_INST*AW49*AW16</f>
        <v>130975142.63873</v>
      </c>
      <c r="AX52" s="173">
        <f>PAY_INST*AX49*AX16</f>
        <v>130975142.63873</v>
      </c>
      <c r="AY52" s="173">
        <f>PAY_INST*AY49*AY16</f>
        <v>130975142.63873</v>
      </c>
      <c r="AZ52" s="173">
        <f>PAY_INST*AZ49*AZ16</f>
        <v>130975142.63873</v>
      </c>
    </row>
    <row r="53">
      <c r="B53" s="36" t="inlineStr">
        <is>
          <t>Collections – milestone instalments</t>
        </is>
      </c>
      <c r="C53" s="117" t="inlineStr">
        <is>
          <t>ETB</t>
        </is>
      </c>
      <c r="D53" s="169">
        <f>SUM(E53:AZ53)</f>
        <v>130975142.63873</v>
      </c>
      <c r="E53" s="173">
        <f>E52-0</f>
        <v>4073.63420427553</v>
      </c>
      <c r="F53" s="173">
        <f>F52-E52</f>
        <v>30887.5399158825</v>
      </c>
      <c r="G53" s="173">
        <f>G52-F52</f>
        <v>91529.9479302549</v>
      </c>
      <c r="H53" s="173">
        <f>H52-G52</f>
        <v>194548.923306662</v>
      </c>
      <c r="I53" s="173">
        <f>I52-H52</f>
        <v>349179.29147788</v>
      </c>
      <c r="J53" s="173">
        <f>J52-I52</f>
        <v>564760.531316289</v>
      </c>
      <c r="K53" s="173">
        <f>K52-J52</f>
        <v>849815.172128936</v>
      </c>
      <c r="L53" s="173">
        <f>L52-K52</f>
        <v>1210757.9809426</v>
      </c>
      <c r="M53" s="173">
        <f>M52-L52</f>
        <v>1650286.56062146</v>
      </c>
      <c r="N53" s="173">
        <f>N52-M52</f>
        <v>2165630.35749141</v>
      </c>
      <c r="O53" s="173">
        <f>O52-N52</f>
        <v>2746989.74649245</v>
      </c>
      <c r="P53" s="173">
        <f>P52-O52</f>
        <v>3376629.72342258</v>
      </c>
      <c r="Q53" s="173">
        <f>Q52-P52</f>
        <v>4029124.25457232</v>
      </c>
      <c r="R53" s="173">
        <f>R52-Q52</f>
        <v>4673098.04930306</v>
      </c>
      <c r="S53" s="173">
        <f>S52-R52</f>
        <v>5274458.18137991</v>
      </c>
      <c r="T53" s="173">
        <f>T52-S52</f>
        <v>5800631.2313999</v>
      </c>
      <c r="U53" s="173">
        <f>U52-T52</f>
        <v>6224910.30272805</v>
      </c>
      <c r="V53" s="173">
        <f>V52-U52</f>
        <v>6529879.11216889</v>
      </c>
      <c r="W53" s="173">
        <f>W52-V52</f>
        <v>6709117.51606162</v>
      </c>
      <c r="X53" s="173">
        <f>X52-W52</f>
        <v>6766916.42210096</v>
      </c>
      <c r="Y53" s="173">
        <f>Y52-X52</f>
        <v>6716307.31522996</v>
      </c>
      <c r="Z53" s="173">
        <f>Z52-Y52</f>
        <v>6576104.37234262</v>
      </c>
      <c r="AA53" s="173">
        <f>AA52-Z52</f>
        <v>6367750.98550735</v>
      </c>
      <c r="AB53" s="173">
        <f>AB52-AA52</f>
        <v>6112598.93561196</v>
      </c>
      <c r="AC53" s="173">
        <f>AC52-AB52</f>
        <v>8224365.08362719</v>
      </c>
      <c r="AD53" s="173">
        <f>AD52-AC52</f>
        <v>8026204.60993476</v>
      </c>
      <c r="AE53" s="173">
        <f>AE52-AD52</f>
        <v>7797182.14434813</v>
      </c>
      <c r="AF53" s="173">
        <f>AF52-AE52</f>
        <v>7552093.63794024</v>
      </c>
      <c r="AG53" s="173">
        <f>AG52-AF52</f>
        <v>7302467.82091951</v>
      </c>
      <c r="AH53" s="173">
        <f>AH52-AG52</f>
        <v>7056843.2543025</v>
      </c>
      <c r="AI53" s="173">
        <f>AI52-AH52</f>
        <v>0</v>
      </c>
      <c r="AJ53" s="173">
        <f>AJ52-AI52</f>
        <v>0</v>
      </c>
      <c r="AK53" s="173">
        <f>AK52-AJ52</f>
        <v>0</v>
      </c>
      <c r="AL53" s="173">
        <f>AL52-AK52</f>
        <v>0</v>
      </c>
      <c r="AM53" s="173">
        <f>AM52-AL52</f>
        <v>0</v>
      </c>
      <c r="AN53" s="173">
        <f>AN52-AM52</f>
        <v>0</v>
      </c>
      <c r="AO53" s="173">
        <f>AO52-AN52</f>
        <v>0</v>
      </c>
      <c r="AP53" s="173">
        <f>AP52-AO52</f>
        <v>0</v>
      </c>
      <c r="AQ53" s="173">
        <f>AQ52-AP52</f>
        <v>0</v>
      </c>
      <c r="AR53" s="173">
        <f>AR52-AQ52</f>
        <v>0</v>
      </c>
      <c r="AS53" s="173">
        <f>AS52-AR52</f>
        <v>0</v>
      </c>
      <c r="AT53" s="173">
        <f>AT52-AS52</f>
        <v>0</v>
      </c>
      <c r="AU53" s="173">
        <f>AU52-AT52</f>
        <v>0</v>
      </c>
      <c r="AV53" s="173">
        <f>AV52-AU52</f>
        <v>0</v>
      </c>
      <c r="AW53" s="173">
        <f>AW52-AV52</f>
        <v>0</v>
      </c>
      <c r="AX53" s="173">
        <f>AX52-AW52</f>
        <v>0</v>
      </c>
      <c r="AY53" s="173">
        <f>AY52-AX52</f>
        <v>0</v>
      </c>
      <c r="AZ53" s="173">
        <f>AZ52-AY52</f>
        <v>0</v>
      </c>
    </row>
    <row r="54">
      <c r="B54" s="36" t="inlineStr">
        <is>
          <t>Collections – balance at handover</t>
        </is>
      </c>
      <c r="C54" s="117" t="inlineStr">
        <is>
          <t>ETB</t>
        </is>
      </c>
      <c r="D54" s="169">
        <f>SUM(E54:AZ54)</f>
        <v>98231356.9790472</v>
      </c>
      <c r="E54" s="173">
        <f>IF('20_Timeline'!E37=CONSTR_EFF,(1-PAY_DP-PAY_INST)*E49,0)</f>
        <v>0</v>
      </c>
      <c r="F54" s="173">
        <f>IF('20_Timeline'!F37=CONSTR_EFF,(1-PAY_DP-PAY_INST)*F49,0)</f>
        <v>0</v>
      </c>
      <c r="G54" s="173">
        <f>IF('20_Timeline'!G37=CONSTR_EFF,(1-PAY_DP-PAY_INST)*G49,0)</f>
        <v>0</v>
      </c>
      <c r="H54" s="173">
        <f>IF('20_Timeline'!H37=CONSTR_EFF,(1-PAY_DP-PAY_INST)*H49,0)</f>
        <v>0</v>
      </c>
      <c r="I54" s="173">
        <f>IF('20_Timeline'!I37=CONSTR_EFF,(1-PAY_DP-PAY_INST)*I49,0)</f>
        <v>0</v>
      </c>
      <c r="J54" s="173">
        <f>IF('20_Timeline'!J37=CONSTR_EFF,(1-PAY_DP-PAY_INST)*J49,0)</f>
        <v>0</v>
      </c>
      <c r="K54" s="173">
        <f>IF('20_Timeline'!K37=CONSTR_EFF,(1-PAY_DP-PAY_INST)*K49,0)</f>
        <v>0</v>
      </c>
      <c r="L54" s="173">
        <f>IF('20_Timeline'!L37=CONSTR_EFF,(1-PAY_DP-PAY_INST)*L49,0)</f>
        <v>0</v>
      </c>
      <c r="M54" s="173">
        <f>IF('20_Timeline'!M37=CONSTR_EFF,(1-PAY_DP-PAY_INST)*M49,0)</f>
        <v>0</v>
      </c>
      <c r="N54" s="173">
        <f>IF('20_Timeline'!N37=CONSTR_EFF,(1-PAY_DP-PAY_INST)*N49,0)</f>
        <v>0</v>
      </c>
      <c r="O54" s="173">
        <f>IF('20_Timeline'!O37=CONSTR_EFF,(1-PAY_DP-PAY_INST)*O49,0)</f>
        <v>0</v>
      </c>
      <c r="P54" s="173">
        <f>IF('20_Timeline'!P37=CONSTR_EFF,(1-PAY_DP-PAY_INST)*P49,0)</f>
        <v>0</v>
      </c>
      <c r="Q54" s="173">
        <f>IF('20_Timeline'!Q37=CONSTR_EFF,(1-PAY_DP-PAY_INST)*Q49,0)</f>
        <v>0</v>
      </c>
      <c r="R54" s="173">
        <f>IF('20_Timeline'!R37=CONSTR_EFF,(1-PAY_DP-PAY_INST)*R49,0)</f>
        <v>0</v>
      </c>
      <c r="S54" s="173">
        <f>IF('20_Timeline'!S37=CONSTR_EFF,(1-PAY_DP-PAY_INST)*S49,0)</f>
        <v>0</v>
      </c>
      <c r="T54" s="173">
        <f>IF('20_Timeline'!T37=CONSTR_EFF,(1-PAY_DP-PAY_INST)*T49,0)</f>
        <v>0</v>
      </c>
      <c r="U54" s="173">
        <f>IF('20_Timeline'!U37=CONSTR_EFF,(1-PAY_DP-PAY_INST)*U49,0)</f>
        <v>0</v>
      </c>
      <c r="V54" s="173">
        <f>IF('20_Timeline'!V37=CONSTR_EFF,(1-PAY_DP-PAY_INST)*V49,0)</f>
        <v>0</v>
      </c>
      <c r="W54" s="173">
        <f>IF('20_Timeline'!W37=CONSTR_EFF,(1-PAY_DP-PAY_INST)*W49,0)</f>
        <v>0</v>
      </c>
      <c r="X54" s="173">
        <f>IF('20_Timeline'!X37=CONSTR_EFF,(1-PAY_DP-PAY_INST)*X49,0)</f>
        <v>0</v>
      </c>
      <c r="Y54" s="173">
        <f>IF('20_Timeline'!Y37=CONSTR_EFF,(1-PAY_DP-PAY_INST)*Y49,0)</f>
        <v>0</v>
      </c>
      <c r="Z54" s="173">
        <f>IF('20_Timeline'!Z37=CONSTR_EFF,(1-PAY_DP-PAY_INST)*Z49,0)</f>
        <v>0</v>
      </c>
      <c r="AA54" s="173">
        <f>IF('20_Timeline'!AA37=CONSTR_EFF,(1-PAY_DP-PAY_INST)*AA49,0)</f>
        <v>0</v>
      </c>
      <c r="AB54" s="173">
        <f>IF('20_Timeline'!AB37=CONSTR_EFF,(1-PAY_DP-PAY_INST)*AB49,0)</f>
        <v>0</v>
      </c>
      <c r="AC54" s="173">
        <f>IF('20_Timeline'!AC37=CONSTR_EFF,(1-PAY_DP-PAY_INST)*AC49,0)</f>
        <v>0</v>
      </c>
      <c r="AD54" s="173">
        <f>IF('20_Timeline'!AD37=CONSTR_EFF,(1-PAY_DP-PAY_INST)*AD49,0)</f>
        <v>0</v>
      </c>
      <c r="AE54" s="173">
        <f>IF('20_Timeline'!AE37=CONSTR_EFF,(1-PAY_DP-PAY_INST)*AE49,0)</f>
        <v>0</v>
      </c>
      <c r="AF54" s="173">
        <f>IF('20_Timeline'!AF37=CONSTR_EFF,(1-PAY_DP-PAY_INST)*AF49,0)</f>
        <v>0</v>
      </c>
      <c r="AG54" s="173">
        <f>IF('20_Timeline'!AG37=CONSTR_EFF,(1-PAY_DP-PAY_INST)*AG49,0)</f>
        <v>0</v>
      </c>
      <c r="AH54" s="173">
        <f>IF('20_Timeline'!AH37=CONSTR_EFF,(1-PAY_DP-PAY_INST)*AH49,0)</f>
        <v>98231356.9790472</v>
      </c>
      <c r="AI54" s="173">
        <f>IF('20_Timeline'!AI37=CONSTR_EFF,(1-PAY_DP-PAY_INST)*AI49,0)</f>
        <v>0</v>
      </c>
      <c r="AJ54" s="173">
        <f>IF('20_Timeline'!AJ37=CONSTR_EFF,(1-PAY_DP-PAY_INST)*AJ49,0)</f>
        <v>0</v>
      </c>
      <c r="AK54" s="173">
        <f>IF('20_Timeline'!AK37=CONSTR_EFF,(1-PAY_DP-PAY_INST)*AK49,0)</f>
        <v>0</v>
      </c>
      <c r="AL54" s="173">
        <f>IF('20_Timeline'!AL37=CONSTR_EFF,(1-PAY_DP-PAY_INST)*AL49,0)</f>
        <v>0</v>
      </c>
      <c r="AM54" s="173">
        <f>IF('20_Timeline'!AM37=CONSTR_EFF,(1-PAY_DP-PAY_INST)*AM49,0)</f>
        <v>0</v>
      </c>
      <c r="AN54" s="173">
        <f>IF('20_Timeline'!AN37=CONSTR_EFF,(1-PAY_DP-PAY_INST)*AN49,0)</f>
        <v>0</v>
      </c>
      <c r="AO54" s="173">
        <f>IF('20_Timeline'!AO37=CONSTR_EFF,(1-PAY_DP-PAY_INST)*AO49,0)</f>
        <v>0</v>
      </c>
      <c r="AP54" s="173">
        <f>IF('20_Timeline'!AP37=CONSTR_EFF,(1-PAY_DP-PAY_INST)*AP49,0)</f>
        <v>0</v>
      </c>
      <c r="AQ54" s="173">
        <f>IF('20_Timeline'!AQ37=CONSTR_EFF,(1-PAY_DP-PAY_INST)*AQ49,0)</f>
        <v>0</v>
      </c>
      <c r="AR54" s="173">
        <f>IF('20_Timeline'!AR37=CONSTR_EFF,(1-PAY_DP-PAY_INST)*AR49,0)</f>
        <v>0</v>
      </c>
      <c r="AS54" s="173">
        <f>IF('20_Timeline'!AS37=CONSTR_EFF,(1-PAY_DP-PAY_INST)*AS49,0)</f>
        <v>0</v>
      </c>
      <c r="AT54" s="173">
        <f>IF('20_Timeline'!AT37=CONSTR_EFF,(1-PAY_DP-PAY_INST)*AT49,0)</f>
        <v>0</v>
      </c>
      <c r="AU54" s="173">
        <f>IF('20_Timeline'!AU37=CONSTR_EFF,(1-PAY_DP-PAY_INST)*AU49,0)</f>
        <v>0</v>
      </c>
      <c r="AV54" s="173">
        <f>IF('20_Timeline'!AV37=CONSTR_EFF,(1-PAY_DP-PAY_INST)*AV49,0)</f>
        <v>0</v>
      </c>
      <c r="AW54" s="173">
        <f>IF('20_Timeline'!AW37=CONSTR_EFF,(1-PAY_DP-PAY_INST)*AW49,0)</f>
        <v>0</v>
      </c>
      <c r="AX54" s="173">
        <f>IF('20_Timeline'!AX37=CONSTR_EFF,(1-PAY_DP-PAY_INST)*AX49,0)</f>
        <v>0</v>
      </c>
      <c r="AY54" s="173">
        <f>IF('20_Timeline'!AY37=CONSTR_EFF,(1-PAY_DP-PAY_INST)*AY49,0)</f>
        <v>0</v>
      </c>
      <c r="AZ54" s="173">
        <f>IF('20_Timeline'!AZ37=CONSTR_EFF,(1-PAY_DP-PAY_INST)*AZ49,0)</f>
        <v>0</v>
      </c>
    </row>
    <row r="55">
      <c r="B55" s="97" t="inlineStr">
        <is>
          <t>Total presale collections</t>
        </is>
      </c>
      <c r="C55" s="180" t="inlineStr">
        <is>
          <t>ETB</t>
        </is>
      </c>
      <c r="D55" s="181">
        <f>SUM(E55:AZ55)</f>
        <v>327437856.596824</v>
      </c>
      <c r="E55" s="182">
        <f>E51+E53+E54</f>
        <v>2576573.63420428</v>
      </c>
      <c r="F55" s="182">
        <f>F51+F53+F54</f>
        <v>2623901.01616924</v>
      </c>
      <c r="G55" s="182">
        <f>G51+G53+G54</f>
        <v>2705220.47777729</v>
      </c>
      <c r="H55" s="182">
        <f>H51+H53+H54</f>
        <v>2829081.3884764</v>
      </c>
      <c r="I55" s="182">
        <f>I51+I53+I54</f>
        <v>3004719.88848938</v>
      </c>
      <c r="J55" s="182">
        <f>J51+J53+J54</f>
        <v>3241476.78196302</v>
      </c>
      <c r="K55" s="182">
        <f>K51+K53+K54</f>
        <v>3547875.93404665</v>
      </c>
      <c r="L55" s="182">
        <f>L51+L53+L54</f>
        <v>3930333.45826156</v>
      </c>
      <c r="M55" s="182">
        <f>M51+M53+M54</f>
        <v>4391548.31470356</v>
      </c>
      <c r="N55" s="182">
        <f>N51+N53+N54</f>
        <v>4928751.31775295</v>
      </c>
      <c r="O55" s="182">
        <f>O51+O53+O54</f>
        <v>5532144.22131316</v>
      </c>
      <c r="P55" s="182">
        <f>P51+P53+P54</f>
        <v>6183993.41114171</v>
      </c>
      <c r="Q55" s="182">
        <f>Q51+Q53+Q54</f>
        <v>6858874.25457232</v>
      </c>
      <c r="R55" s="182">
        <f>R51+R53+R54</f>
        <v>7525412.87318175</v>
      </c>
      <c r="S55" s="182">
        <f>S51+S53+S54</f>
        <v>8149517.76421165</v>
      </c>
      <c r="T55" s="182">
        <f>T51+T53+T54</f>
        <v>8698616.94308661</v>
      </c>
      <c r="U55" s="182">
        <f>U51+U53+U54</f>
        <v>9146004.95944071</v>
      </c>
      <c r="V55" s="182">
        <f>V51+V53+V54</f>
        <v>9474266.9878803</v>
      </c>
      <c r="W55" s="182">
        <f>W51+W53+W54</f>
        <v>9676984.35417111</v>
      </c>
      <c r="X55" s="182">
        <f>X51+X53+X54</f>
        <v>9758449.44715182</v>
      </c>
      <c r="Y55" s="182">
        <f>Y51+Y53+Y54</f>
        <v>9731695.24472028</v>
      </c>
      <c r="Z55" s="182">
        <f>Z51+Z53+Z54</f>
        <v>9615537.42863031</v>
      </c>
      <c r="AA55" s="182">
        <f>AA51+AA53+AA54</f>
        <v>9431420.90781014</v>
      </c>
      <c r="AB55" s="182">
        <f>AB51+AB53+AB54</f>
        <v>9200698.992103</v>
      </c>
      <c r="AC55" s="182">
        <f>AC51+AC53+AC54</f>
        <v>13204725.0836272</v>
      </c>
      <c r="AD55" s="182">
        <f>AD51+AD53+AD54</f>
        <v>13046278.6999613</v>
      </c>
      <c r="AE55" s="182">
        <f>AE51+AE53+AE54</f>
        <v>12857287.010132</v>
      </c>
      <c r="AF55" s="182">
        <f>AF51+AF53+AF54</f>
        <v>12652548.4905089</v>
      </c>
      <c r="AG55" s="182">
        <f>AG51+AG53+AG54</f>
        <v>12443594.4167338</v>
      </c>
      <c r="AH55" s="182">
        <f>AH51+AH53+AH54</f>
        <v>110470322.894602</v>
      </c>
      <c r="AI55" s="182">
        <f>AI51+AI53+AI54</f>
        <v>0</v>
      </c>
      <c r="AJ55" s="182">
        <f>AJ51+AJ53+AJ54</f>
        <v>0</v>
      </c>
      <c r="AK55" s="182">
        <f>AK51+AK53+AK54</f>
        <v>0</v>
      </c>
      <c r="AL55" s="182">
        <f>AL51+AL53+AL54</f>
        <v>0</v>
      </c>
      <c r="AM55" s="182">
        <f>AM51+AM53+AM54</f>
        <v>0</v>
      </c>
      <c r="AN55" s="182">
        <f>AN51+AN53+AN54</f>
        <v>0</v>
      </c>
      <c r="AO55" s="182">
        <f>AO51+AO53+AO54</f>
        <v>0</v>
      </c>
      <c r="AP55" s="182">
        <f>AP51+AP53+AP54</f>
        <v>0</v>
      </c>
      <c r="AQ55" s="182">
        <f>AQ51+AQ53+AQ54</f>
        <v>0</v>
      </c>
      <c r="AR55" s="182">
        <f>AR51+AR53+AR54</f>
        <v>0</v>
      </c>
      <c r="AS55" s="182">
        <f>AS51+AS53+AS54</f>
        <v>0</v>
      </c>
      <c r="AT55" s="182">
        <f>AT51+AT53+AT54</f>
        <v>0</v>
      </c>
      <c r="AU55" s="182">
        <f>AU51+AU53+AU54</f>
        <v>0</v>
      </c>
      <c r="AV55" s="182">
        <f>AV51+AV53+AV54</f>
        <v>0</v>
      </c>
      <c r="AW55" s="182">
        <f>AW51+AW53+AW54</f>
        <v>0</v>
      </c>
      <c r="AX55" s="182">
        <f>AX51+AX53+AX54</f>
        <v>0</v>
      </c>
      <c r="AY55" s="182">
        <f>AY51+AY53+AY54</f>
        <v>0</v>
      </c>
      <c r="AZ55" s="182">
        <f>AZ51+AZ53+AZ54</f>
        <v>0</v>
      </c>
    </row>
    <row r="56">
      <c r="B56" s="36" t="inlineStr">
        <is>
          <t>Cumulative revenue recognised (IFRS 15)</t>
        </is>
      </c>
      <c r="C56" s="117" t="inlineStr">
        <is>
          <t>ETB</t>
        </is>
      </c>
      <c r="D56" s="169">
        <f>AZ56</f>
        <v>327437856.596824</v>
      </c>
      <c r="E56" s="173">
        <f>IF(REV_POLICY=2,E49*E16,IF('20_Timeline'!E37&gt;=CONSTR_EFF,E49,0))</f>
        <v>0</v>
      </c>
      <c r="F56" s="173">
        <f>IF(REV_POLICY=2,F49*F16,IF('20_Timeline'!F37&gt;=CONSTR_EFF,F49,0))</f>
        <v>0</v>
      </c>
      <c r="G56" s="173">
        <f>IF(REV_POLICY=2,G49*G16,IF('20_Timeline'!G37&gt;=CONSTR_EFF,G49,0))</f>
        <v>0</v>
      </c>
      <c r="H56" s="173">
        <f>IF(REV_POLICY=2,H49*H16,IF('20_Timeline'!H37&gt;=CONSTR_EFF,H49,0))</f>
        <v>0</v>
      </c>
      <c r="I56" s="173">
        <f>IF(REV_POLICY=2,I49*I16,IF('20_Timeline'!I37&gt;=CONSTR_EFF,I49,0))</f>
        <v>0</v>
      </c>
      <c r="J56" s="173">
        <f>IF(REV_POLICY=2,J49*J16,IF('20_Timeline'!J37&gt;=CONSTR_EFF,J49,0))</f>
        <v>0</v>
      </c>
      <c r="K56" s="173">
        <f>IF(REV_POLICY=2,K49*K16,IF('20_Timeline'!K37&gt;=CONSTR_EFF,K49,0))</f>
        <v>0</v>
      </c>
      <c r="L56" s="173">
        <f>IF(REV_POLICY=2,L49*L16,IF('20_Timeline'!L37&gt;=CONSTR_EFF,L49,0))</f>
        <v>0</v>
      </c>
      <c r="M56" s="173">
        <f>IF(REV_POLICY=2,M49*M16,IF('20_Timeline'!M37&gt;=CONSTR_EFF,M49,0))</f>
        <v>0</v>
      </c>
      <c r="N56" s="173">
        <f>IF(REV_POLICY=2,N49*N16,IF('20_Timeline'!N37&gt;=CONSTR_EFF,N49,0))</f>
        <v>0</v>
      </c>
      <c r="O56" s="173">
        <f>IF(REV_POLICY=2,O49*O16,IF('20_Timeline'!O37&gt;=CONSTR_EFF,O49,0))</f>
        <v>0</v>
      </c>
      <c r="P56" s="173">
        <f>IF(REV_POLICY=2,P49*P16,IF('20_Timeline'!P37&gt;=CONSTR_EFF,P49,0))</f>
        <v>0</v>
      </c>
      <c r="Q56" s="173">
        <f>IF(REV_POLICY=2,Q49*Q16,IF('20_Timeline'!Q37&gt;=CONSTR_EFF,Q49,0))</f>
        <v>0</v>
      </c>
      <c r="R56" s="173">
        <f>IF(REV_POLICY=2,R49*R16,IF('20_Timeline'!R37&gt;=CONSTR_EFF,R49,0))</f>
        <v>0</v>
      </c>
      <c r="S56" s="173">
        <f>IF(REV_POLICY=2,S49*S16,IF('20_Timeline'!S37&gt;=CONSTR_EFF,S49,0))</f>
        <v>0</v>
      </c>
      <c r="T56" s="173">
        <f>IF(REV_POLICY=2,T49*T16,IF('20_Timeline'!T37&gt;=CONSTR_EFF,T49,0))</f>
        <v>0</v>
      </c>
      <c r="U56" s="173">
        <f>IF(REV_POLICY=2,U49*U16,IF('20_Timeline'!U37&gt;=CONSTR_EFF,U49,0))</f>
        <v>0</v>
      </c>
      <c r="V56" s="173">
        <f>IF(REV_POLICY=2,V49*V16,IF('20_Timeline'!V37&gt;=CONSTR_EFF,V49,0))</f>
        <v>0</v>
      </c>
      <c r="W56" s="173">
        <f>IF(REV_POLICY=2,W49*W16,IF('20_Timeline'!W37&gt;=CONSTR_EFF,W49,0))</f>
        <v>0</v>
      </c>
      <c r="X56" s="173">
        <f>IF(REV_POLICY=2,X49*X16,IF('20_Timeline'!X37&gt;=CONSTR_EFF,X49,0))</f>
        <v>0</v>
      </c>
      <c r="Y56" s="173">
        <f>IF(REV_POLICY=2,Y49*Y16,IF('20_Timeline'!Y37&gt;=CONSTR_EFF,Y49,0))</f>
        <v>0</v>
      </c>
      <c r="Z56" s="173">
        <f>IF(REV_POLICY=2,Z49*Z16,IF('20_Timeline'!Z37&gt;=CONSTR_EFF,Z49,0))</f>
        <v>0</v>
      </c>
      <c r="AA56" s="173">
        <f>IF(REV_POLICY=2,AA49*AA16,IF('20_Timeline'!AA37&gt;=CONSTR_EFF,AA49,0))</f>
        <v>0</v>
      </c>
      <c r="AB56" s="173">
        <f>IF(REV_POLICY=2,AB49*AB16,IF('20_Timeline'!AB37&gt;=CONSTR_EFF,AB49,0))</f>
        <v>0</v>
      </c>
      <c r="AC56" s="173">
        <f>IF(REV_POLICY=2,AC49*AC16,IF('20_Timeline'!AC37&gt;=CONSTR_EFF,AC49,0))</f>
        <v>0</v>
      </c>
      <c r="AD56" s="173">
        <f>IF(REV_POLICY=2,AD49*AD16,IF('20_Timeline'!AD37&gt;=CONSTR_EFF,AD49,0))</f>
        <v>0</v>
      </c>
      <c r="AE56" s="173">
        <f>IF(REV_POLICY=2,AE49*AE16,IF('20_Timeline'!AE37&gt;=CONSTR_EFF,AE49,0))</f>
        <v>0</v>
      </c>
      <c r="AF56" s="173">
        <f>IF(REV_POLICY=2,AF49*AF16,IF('20_Timeline'!AF37&gt;=CONSTR_EFF,AF49,0))</f>
        <v>0</v>
      </c>
      <c r="AG56" s="173">
        <f>IF(REV_POLICY=2,AG49*AG16,IF('20_Timeline'!AG37&gt;=CONSTR_EFF,AG49,0))</f>
        <v>0</v>
      </c>
      <c r="AH56" s="173">
        <f>IF(REV_POLICY=2,AH49*AH16,IF('20_Timeline'!AH37&gt;=CONSTR_EFF,AH49,0))</f>
        <v>327437856.596824</v>
      </c>
      <c r="AI56" s="173">
        <f>IF(REV_POLICY=2,AI49*AI16,IF('20_Timeline'!AI37&gt;=CONSTR_EFF,AI49,0))</f>
        <v>327437856.596824</v>
      </c>
      <c r="AJ56" s="173">
        <f>IF(REV_POLICY=2,AJ49*AJ16,IF('20_Timeline'!AJ37&gt;=CONSTR_EFF,AJ49,0))</f>
        <v>327437856.596824</v>
      </c>
      <c r="AK56" s="173">
        <f>IF(REV_POLICY=2,AK49*AK16,IF('20_Timeline'!AK37&gt;=CONSTR_EFF,AK49,0))</f>
        <v>327437856.596824</v>
      </c>
      <c r="AL56" s="173">
        <f>IF(REV_POLICY=2,AL49*AL16,IF('20_Timeline'!AL37&gt;=CONSTR_EFF,AL49,0))</f>
        <v>327437856.596824</v>
      </c>
      <c r="AM56" s="173">
        <f>IF(REV_POLICY=2,AM49*AM16,IF('20_Timeline'!AM37&gt;=CONSTR_EFF,AM49,0))</f>
        <v>327437856.596824</v>
      </c>
      <c r="AN56" s="173">
        <f>IF(REV_POLICY=2,AN49*AN16,IF('20_Timeline'!AN37&gt;=CONSTR_EFF,AN49,0))</f>
        <v>327437856.596824</v>
      </c>
      <c r="AO56" s="173">
        <f>IF(REV_POLICY=2,AO49*AO16,IF('20_Timeline'!AO37&gt;=CONSTR_EFF,AO49,0))</f>
        <v>327437856.596824</v>
      </c>
      <c r="AP56" s="173">
        <f>IF(REV_POLICY=2,AP49*AP16,IF('20_Timeline'!AP37&gt;=CONSTR_EFF,AP49,0))</f>
        <v>327437856.596824</v>
      </c>
      <c r="AQ56" s="173">
        <f>IF(REV_POLICY=2,AQ49*AQ16,IF('20_Timeline'!AQ37&gt;=CONSTR_EFF,AQ49,0))</f>
        <v>327437856.596824</v>
      </c>
      <c r="AR56" s="173">
        <f>IF(REV_POLICY=2,AR49*AR16,IF('20_Timeline'!AR37&gt;=CONSTR_EFF,AR49,0))</f>
        <v>327437856.596824</v>
      </c>
      <c r="AS56" s="173">
        <f>IF(REV_POLICY=2,AS49*AS16,IF('20_Timeline'!AS37&gt;=CONSTR_EFF,AS49,0))</f>
        <v>327437856.596824</v>
      </c>
      <c r="AT56" s="173">
        <f>IF(REV_POLICY=2,AT49*AT16,IF('20_Timeline'!AT37&gt;=CONSTR_EFF,AT49,0))</f>
        <v>327437856.596824</v>
      </c>
      <c r="AU56" s="173">
        <f>IF(REV_POLICY=2,AU49*AU16,IF('20_Timeline'!AU37&gt;=CONSTR_EFF,AU49,0))</f>
        <v>327437856.596824</v>
      </c>
      <c r="AV56" s="173">
        <f>IF(REV_POLICY=2,AV49*AV16,IF('20_Timeline'!AV37&gt;=CONSTR_EFF,AV49,0))</f>
        <v>327437856.596824</v>
      </c>
      <c r="AW56" s="173">
        <f>IF(REV_POLICY=2,AW49*AW16,IF('20_Timeline'!AW37&gt;=CONSTR_EFF,AW49,0))</f>
        <v>327437856.596824</v>
      </c>
      <c r="AX56" s="173">
        <f>IF(REV_POLICY=2,AX49*AX16,IF('20_Timeline'!AX37&gt;=CONSTR_EFF,AX49,0))</f>
        <v>327437856.596824</v>
      </c>
      <c r="AY56" s="173">
        <f>IF(REV_POLICY=2,AY49*AY16,IF('20_Timeline'!AY37&gt;=CONSTR_EFF,AY49,0))</f>
        <v>327437856.596824</v>
      </c>
      <c r="AZ56" s="173">
        <f>IF(REV_POLICY=2,AZ49*AZ16,IF('20_Timeline'!AZ37&gt;=CONSTR_EFF,AZ49,0))</f>
        <v>327437856.596824</v>
      </c>
    </row>
    <row r="57">
      <c r="B57" s="36" t="inlineStr">
        <is>
          <t>Presale revenue recognised</t>
        </is>
      </c>
      <c r="C57" s="117" t="inlineStr">
        <is>
          <t>ETB</t>
        </is>
      </c>
      <c r="D57" s="169">
        <f>SUM(E57:AZ57)</f>
        <v>327437856.596824</v>
      </c>
      <c r="E57" s="173">
        <f>E56-0</f>
        <v>0</v>
      </c>
      <c r="F57" s="173">
        <f>F56-E56</f>
        <v>0</v>
      </c>
      <c r="G57" s="173">
        <f>G56-F56</f>
        <v>0</v>
      </c>
      <c r="H57" s="173">
        <f>H56-G56</f>
        <v>0</v>
      </c>
      <c r="I57" s="173">
        <f>I56-H56</f>
        <v>0</v>
      </c>
      <c r="J57" s="173">
        <f>J56-I56</f>
        <v>0</v>
      </c>
      <c r="K57" s="173">
        <f>K56-J56</f>
        <v>0</v>
      </c>
      <c r="L57" s="173">
        <f>L56-K56</f>
        <v>0</v>
      </c>
      <c r="M57" s="173">
        <f>M56-L56</f>
        <v>0</v>
      </c>
      <c r="N57" s="173">
        <f>N56-M56</f>
        <v>0</v>
      </c>
      <c r="O57" s="173">
        <f>O56-N56</f>
        <v>0</v>
      </c>
      <c r="P57" s="173">
        <f>P56-O56</f>
        <v>0</v>
      </c>
      <c r="Q57" s="173">
        <f>Q56-P56</f>
        <v>0</v>
      </c>
      <c r="R57" s="173">
        <f>R56-Q56</f>
        <v>0</v>
      </c>
      <c r="S57" s="173">
        <f>S56-R56</f>
        <v>0</v>
      </c>
      <c r="T57" s="173">
        <f>T56-S56</f>
        <v>0</v>
      </c>
      <c r="U57" s="173">
        <f>U56-T56</f>
        <v>0</v>
      </c>
      <c r="V57" s="173">
        <f>V56-U56</f>
        <v>0</v>
      </c>
      <c r="W57" s="173">
        <f>W56-V56</f>
        <v>0</v>
      </c>
      <c r="X57" s="173">
        <f>X56-W56</f>
        <v>0</v>
      </c>
      <c r="Y57" s="173">
        <f>Y56-X56</f>
        <v>0</v>
      </c>
      <c r="Z57" s="173">
        <f>Z56-Y56</f>
        <v>0</v>
      </c>
      <c r="AA57" s="173">
        <f>AA56-Z56</f>
        <v>0</v>
      </c>
      <c r="AB57" s="173">
        <f>AB56-AA56</f>
        <v>0</v>
      </c>
      <c r="AC57" s="173">
        <f>AC56-AB56</f>
        <v>0</v>
      </c>
      <c r="AD57" s="173">
        <f>AD56-AC56</f>
        <v>0</v>
      </c>
      <c r="AE57" s="173">
        <f>AE56-AD56</f>
        <v>0</v>
      </c>
      <c r="AF57" s="173">
        <f>AF56-AE56</f>
        <v>0</v>
      </c>
      <c r="AG57" s="173">
        <f>AG56-AF56</f>
        <v>0</v>
      </c>
      <c r="AH57" s="173">
        <f>AH56-AG56</f>
        <v>327437856.596824</v>
      </c>
      <c r="AI57" s="173">
        <f>AI56-AH56</f>
        <v>0</v>
      </c>
      <c r="AJ57" s="173">
        <f>AJ56-AI56</f>
        <v>0</v>
      </c>
      <c r="AK57" s="173">
        <f>AK56-AJ56</f>
        <v>0</v>
      </c>
      <c r="AL57" s="173">
        <f>AL56-AK56</f>
        <v>0</v>
      </c>
      <c r="AM57" s="173">
        <f>AM56-AL56</f>
        <v>0</v>
      </c>
      <c r="AN57" s="173">
        <f>AN56-AM56</f>
        <v>0</v>
      </c>
      <c r="AO57" s="173">
        <f>AO56-AN56</f>
        <v>0</v>
      </c>
      <c r="AP57" s="173">
        <f>AP56-AO56</f>
        <v>0</v>
      </c>
      <c r="AQ57" s="173">
        <f>AQ56-AP56</f>
        <v>0</v>
      </c>
      <c r="AR57" s="173">
        <f>AR56-AQ56</f>
        <v>0</v>
      </c>
      <c r="AS57" s="173">
        <f>AS56-AR56</f>
        <v>0</v>
      </c>
      <c r="AT57" s="173">
        <f>AT56-AS56</f>
        <v>0</v>
      </c>
      <c r="AU57" s="173">
        <f>AU56-AT56</f>
        <v>0</v>
      </c>
      <c r="AV57" s="173">
        <f>AV56-AU56</f>
        <v>0</v>
      </c>
      <c r="AW57" s="173">
        <f>AW56-AV56</f>
        <v>0</v>
      </c>
      <c r="AX57" s="173">
        <f>AX56-AW56</f>
        <v>0</v>
      </c>
      <c r="AY57" s="173">
        <f>AY56-AX56</f>
        <v>0</v>
      </c>
      <c r="AZ57" s="173">
        <f>AZ56-AY56</f>
        <v>0</v>
      </c>
    </row>
    <row r="58">
      <c r="B58" s="36" t="inlineStr">
        <is>
          <t>Cumulative cost of sales released (IAS 2)</t>
        </is>
      </c>
      <c r="C58" s="117" t="inlineStr">
        <is>
          <t>ETB</t>
        </is>
      </c>
      <c r="D58" s="169">
        <f>AZ58</f>
        <v>290067936.055125</v>
      </c>
      <c r="E58" s="173">
        <f>IF(SALE_AREA&gt;0,TDC_INV*E50/SALE_AREA*IF(REV_POLICY=2,E16,IF('20_Timeline'!E37&gt;=CONSTR_EFF,1,0)),0)</f>
        <v>0</v>
      </c>
      <c r="F58" s="173">
        <f>IF(SALE_AREA&gt;0,TDC_INV*F50/SALE_AREA*IF(REV_POLICY=2,F16,IF('20_Timeline'!F37&gt;=CONSTR_EFF,1,0)),0)</f>
        <v>0</v>
      </c>
      <c r="G58" s="173">
        <f>IF(SALE_AREA&gt;0,TDC_INV*G50/SALE_AREA*IF(REV_POLICY=2,G16,IF('20_Timeline'!G37&gt;=CONSTR_EFF,1,0)),0)</f>
        <v>0</v>
      </c>
      <c r="H58" s="173">
        <f>IF(SALE_AREA&gt;0,TDC_INV*H50/SALE_AREA*IF(REV_POLICY=2,H16,IF('20_Timeline'!H37&gt;=CONSTR_EFF,1,0)),0)</f>
        <v>0</v>
      </c>
      <c r="I58" s="173">
        <f>IF(SALE_AREA&gt;0,TDC_INV*I50/SALE_AREA*IF(REV_POLICY=2,I16,IF('20_Timeline'!I37&gt;=CONSTR_EFF,1,0)),0)</f>
        <v>0</v>
      </c>
      <c r="J58" s="173">
        <f>IF(SALE_AREA&gt;0,TDC_INV*J50/SALE_AREA*IF(REV_POLICY=2,J16,IF('20_Timeline'!J37&gt;=CONSTR_EFF,1,0)),0)</f>
        <v>0</v>
      </c>
      <c r="K58" s="173">
        <f>IF(SALE_AREA&gt;0,TDC_INV*K50/SALE_AREA*IF(REV_POLICY=2,K16,IF('20_Timeline'!K37&gt;=CONSTR_EFF,1,0)),0)</f>
        <v>0</v>
      </c>
      <c r="L58" s="173">
        <f>IF(SALE_AREA&gt;0,TDC_INV*L50/SALE_AREA*IF(REV_POLICY=2,L16,IF('20_Timeline'!L37&gt;=CONSTR_EFF,1,0)),0)</f>
        <v>0</v>
      </c>
      <c r="M58" s="173">
        <f>IF(SALE_AREA&gt;0,TDC_INV*M50/SALE_AREA*IF(REV_POLICY=2,M16,IF('20_Timeline'!M37&gt;=CONSTR_EFF,1,0)),0)</f>
        <v>0</v>
      </c>
      <c r="N58" s="173">
        <f>IF(SALE_AREA&gt;0,TDC_INV*N50/SALE_AREA*IF(REV_POLICY=2,N16,IF('20_Timeline'!N37&gt;=CONSTR_EFF,1,0)),0)</f>
        <v>0</v>
      </c>
      <c r="O58" s="173">
        <f>IF(SALE_AREA&gt;0,TDC_INV*O50/SALE_AREA*IF(REV_POLICY=2,O16,IF('20_Timeline'!O37&gt;=CONSTR_EFF,1,0)),0)</f>
        <v>0</v>
      </c>
      <c r="P58" s="173">
        <f>IF(SALE_AREA&gt;0,TDC_INV*P50/SALE_AREA*IF(REV_POLICY=2,P16,IF('20_Timeline'!P37&gt;=CONSTR_EFF,1,0)),0)</f>
        <v>0</v>
      </c>
      <c r="Q58" s="173">
        <f>IF(SALE_AREA&gt;0,TDC_INV*Q50/SALE_AREA*IF(REV_POLICY=2,Q16,IF('20_Timeline'!Q37&gt;=CONSTR_EFF,1,0)),0)</f>
        <v>0</v>
      </c>
      <c r="R58" s="173">
        <f>IF(SALE_AREA&gt;0,TDC_INV*R50/SALE_AREA*IF(REV_POLICY=2,R16,IF('20_Timeline'!R37&gt;=CONSTR_EFF,1,0)),0)</f>
        <v>0</v>
      </c>
      <c r="S58" s="173">
        <f>IF(SALE_AREA&gt;0,TDC_INV*S50/SALE_AREA*IF(REV_POLICY=2,S16,IF('20_Timeline'!S37&gt;=CONSTR_EFF,1,0)),0)</f>
        <v>0</v>
      </c>
      <c r="T58" s="173">
        <f>IF(SALE_AREA&gt;0,TDC_INV*T50/SALE_AREA*IF(REV_POLICY=2,T16,IF('20_Timeline'!T37&gt;=CONSTR_EFF,1,0)),0)</f>
        <v>0</v>
      </c>
      <c r="U58" s="173">
        <f>IF(SALE_AREA&gt;0,TDC_INV*U50/SALE_AREA*IF(REV_POLICY=2,U16,IF('20_Timeline'!U37&gt;=CONSTR_EFF,1,0)),0)</f>
        <v>0</v>
      </c>
      <c r="V58" s="173">
        <f>IF(SALE_AREA&gt;0,TDC_INV*V50/SALE_AREA*IF(REV_POLICY=2,V16,IF('20_Timeline'!V37&gt;=CONSTR_EFF,1,0)),0)</f>
        <v>0</v>
      </c>
      <c r="W58" s="173">
        <f>IF(SALE_AREA&gt;0,TDC_INV*W50/SALE_AREA*IF(REV_POLICY=2,W16,IF('20_Timeline'!W37&gt;=CONSTR_EFF,1,0)),0)</f>
        <v>0</v>
      </c>
      <c r="X58" s="173">
        <f>IF(SALE_AREA&gt;0,TDC_INV*X50/SALE_AREA*IF(REV_POLICY=2,X16,IF('20_Timeline'!X37&gt;=CONSTR_EFF,1,0)),0)</f>
        <v>0</v>
      </c>
      <c r="Y58" s="173">
        <f>IF(SALE_AREA&gt;0,TDC_INV*Y50/SALE_AREA*IF(REV_POLICY=2,Y16,IF('20_Timeline'!Y37&gt;=CONSTR_EFF,1,0)),0)</f>
        <v>0</v>
      </c>
      <c r="Z58" s="173">
        <f>IF(SALE_AREA&gt;0,TDC_INV*Z50/SALE_AREA*IF(REV_POLICY=2,Z16,IF('20_Timeline'!Z37&gt;=CONSTR_EFF,1,0)),0)</f>
        <v>0</v>
      </c>
      <c r="AA58" s="173">
        <f>IF(SALE_AREA&gt;0,TDC_INV*AA50/SALE_AREA*IF(REV_POLICY=2,AA16,IF('20_Timeline'!AA37&gt;=CONSTR_EFF,1,0)),0)</f>
        <v>0</v>
      </c>
      <c r="AB58" s="173">
        <f>IF(SALE_AREA&gt;0,TDC_INV*AB50/SALE_AREA*IF(REV_POLICY=2,AB16,IF('20_Timeline'!AB37&gt;=CONSTR_EFF,1,0)),0)</f>
        <v>0</v>
      </c>
      <c r="AC58" s="173">
        <f>IF(SALE_AREA&gt;0,TDC_INV*AC50/SALE_AREA*IF(REV_POLICY=2,AC16,IF('20_Timeline'!AC37&gt;=CONSTR_EFF,1,0)),0)</f>
        <v>0</v>
      </c>
      <c r="AD58" s="173">
        <f>IF(SALE_AREA&gt;0,TDC_INV*AD50/SALE_AREA*IF(REV_POLICY=2,AD16,IF('20_Timeline'!AD37&gt;=CONSTR_EFF,1,0)),0)</f>
        <v>0</v>
      </c>
      <c r="AE58" s="173">
        <f>IF(SALE_AREA&gt;0,TDC_INV*AE50/SALE_AREA*IF(REV_POLICY=2,AE16,IF('20_Timeline'!AE37&gt;=CONSTR_EFF,1,0)),0)</f>
        <v>0</v>
      </c>
      <c r="AF58" s="173">
        <f>IF(SALE_AREA&gt;0,TDC_INV*AF50/SALE_AREA*IF(REV_POLICY=2,AF16,IF('20_Timeline'!AF37&gt;=CONSTR_EFF,1,0)),0)</f>
        <v>0</v>
      </c>
      <c r="AG58" s="173">
        <f>IF(SALE_AREA&gt;0,TDC_INV*AG50/SALE_AREA*IF(REV_POLICY=2,AG16,IF('20_Timeline'!AG37&gt;=CONSTR_EFF,1,0)),0)</f>
        <v>0</v>
      </c>
      <c r="AH58" s="173">
        <f>IF(SALE_AREA&gt;0,TDC_INV*AH50/SALE_AREA*IF(REV_POLICY=2,AH16,IF('20_Timeline'!AH37&gt;=CONSTR_EFF,1,0)),0)</f>
        <v>290067936.055125</v>
      </c>
      <c r="AI58" s="173">
        <f>IF(SALE_AREA&gt;0,TDC_INV*AI50/SALE_AREA*IF(REV_POLICY=2,AI16,IF('20_Timeline'!AI37&gt;=CONSTR_EFF,1,0)),0)</f>
        <v>290067936.055125</v>
      </c>
      <c r="AJ58" s="173">
        <f>IF(SALE_AREA&gt;0,TDC_INV*AJ50/SALE_AREA*IF(REV_POLICY=2,AJ16,IF('20_Timeline'!AJ37&gt;=CONSTR_EFF,1,0)),0)</f>
        <v>290067936.055125</v>
      </c>
      <c r="AK58" s="173">
        <f>IF(SALE_AREA&gt;0,TDC_INV*AK50/SALE_AREA*IF(REV_POLICY=2,AK16,IF('20_Timeline'!AK37&gt;=CONSTR_EFF,1,0)),0)</f>
        <v>290067936.055125</v>
      </c>
      <c r="AL58" s="173">
        <f>IF(SALE_AREA&gt;0,TDC_INV*AL50/SALE_AREA*IF(REV_POLICY=2,AL16,IF('20_Timeline'!AL37&gt;=CONSTR_EFF,1,0)),0)</f>
        <v>290067936.055125</v>
      </c>
      <c r="AM58" s="173">
        <f>IF(SALE_AREA&gt;0,TDC_INV*AM50/SALE_AREA*IF(REV_POLICY=2,AM16,IF('20_Timeline'!AM37&gt;=CONSTR_EFF,1,0)),0)</f>
        <v>290067936.055125</v>
      </c>
      <c r="AN58" s="173">
        <f>IF(SALE_AREA&gt;0,TDC_INV*AN50/SALE_AREA*IF(REV_POLICY=2,AN16,IF('20_Timeline'!AN37&gt;=CONSTR_EFF,1,0)),0)</f>
        <v>290067936.055125</v>
      </c>
      <c r="AO58" s="173">
        <f>IF(SALE_AREA&gt;0,TDC_INV*AO50/SALE_AREA*IF(REV_POLICY=2,AO16,IF('20_Timeline'!AO37&gt;=CONSTR_EFF,1,0)),0)</f>
        <v>290067936.055125</v>
      </c>
      <c r="AP58" s="173">
        <f>IF(SALE_AREA&gt;0,TDC_INV*AP50/SALE_AREA*IF(REV_POLICY=2,AP16,IF('20_Timeline'!AP37&gt;=CONSTR_EFF,1,0)),0)</f>
        <v>290067936.055125</v>
      </c>
      <c r="AQ58" s="173">
        <f>IF(SALE_AREA&gt;0,TDC_INV*AQ50/SALE_AREA*IF(REV_POLICY=2,AQ16,IF('20_Timeline'!AQ37&gt;=CONSTR_EFF,1,0)),0)</f>
        <v>290067936.055125</v>
      </c>
      <c r="AR58" s="173">
        <f>IF(SALE_AREA&gt;0,TDC_INV*AR50/SALE_AREA*IF(REV_POLICY=2,AR16,IF('20_Timeline'!AR37&gt;=CONSTR_EFF,1,0)),0)</f>
        <v>290067936.055125</v>
      </c>
      <c r="AS58" s="173">
        <f>IF(SALE_AREA&gt;0,TDC_INV*AS50/SALE_AREA*IF(REV_POLICY=2,AS16,IF('20_Timeline'!AS37&gt;=CONSTR_EFF,1,0)),0)</f>
        <v>290067936.055125</v>
      </c>
      <c r="AT58" s="173">
        <f>IF(SALE_AREA&gt;0,TDC_INV*AT50/SALE_AREA*IF(REV_POLICY=2,AT16,IF('20_Timeline'!AT37&gt;=CONSTR_EFF,1,0)),0)</f>
        <v>290067936.055125</v>
      </c>
      <c r="AU58" s="173">
        <f>IF(SALE_AREA&gt;0,TDC_INV*AU50/SALE_AREA*IF(REV_POLICY=2,AU16,IF('20_Timeline'!AU37&gt;=CONSTR_EFF,1,0)),0)</f>
        <v>290067936.055125</v>
      </c>
      <c r="AV58" s="173">
        <f>IF(SALE_AREA&gt;0,TDC_INV*AV50/SALE_AREA*IF(REV_POLICY=2,AV16,IF('20_Timeline'!AV37&gt;=CONSTR_EFF,1,0)),0)</f>
        <v>290067936.055125</v>
      </c>
      <c r="AW58" s="173">
        <f>IF(SALE_AREA&gt;0,TDC_INV*AW50/SALE_AREA*IF(REV_POLICY=2,AW16,IF('20_Timeline'!AW37&gt;=CONSTR_EFF,1,0)),0)</f>
        <v>290067936.055125</v>
      </c>
      <c r="AX58" s="173">
        <f>IF(SALE_AREA&gt;0,TDC_INV*AX50/SALE_AREA*IF(REV_POLICY=2,AX16,IF('20_Timeline'!AX37&gt;=CONSTR_EFF,1,0)),0)</f>
        <v>290067936.055125</v>
      </c>
      <c r="AY58" s="173">
        <f>IF(SALE_AREA&gt;0,TDC_INV*AY50/SALE_AREA*IF(REV_POLICY=2,AY16,IF('20_Timeline'!AY37&gt;=CONSTR_EFF,1,0)),0)</f>
        <v>290067936.055125</v>
      </c>
      <c r="AZ58" s="173">
        <f>IF(SALE_AREA&gt;0,TDC_INV*AZ50/SALE_AREA*IF(REV_POLICY=2,AZ16,IF('20_Timeline'!AZ37&gt;=CONSTR_EFF,1,0)),0)</f>
        <v>290067936.055125</v>
      </c>
    </row>
    <row r="59">
      <c r="B59" s="36" t="inlineStr">
        <is>
          <t>Presale cost of sales</t>
        </is>
      </c>
      <c r="C59" s="117" t="inlineStr">
        <is>
          <t>ETB</t>
        </is>
      </c>
      <c r="D59" s="169">
        <f>SUM(E59:AZ59)</f>
        <v>290067936.055125</v>
      </c>
      <c r="E59" s="173">
        <f>E58-0</f>
        <v>0</v>
      </c>
      <c r="F59" s="173">
        <f>F58-E58</f>
        <v>0</v>
      </c>
      <c r="G59" s="173">
        <f>G58-F58</f>
        <v>0</v>
      </c>
      <c r="H59" s="173">
        <f>H58-G58</f>
        <v>0</v>
      </c>
      <c r="I59" s="173">
        <f>I58-H58</f>
        <v>0</v>
      </c>
      <c r="J59" s="173">
        <f>J58-I58</f>
        <v>0</v>
      </c>
      <c r="K59" s="173">
        <f>K58-J58</f>
        <v>0</v>
      </c>
      <c r="L59" s="173">
        <f>L58-K58</f>
        <v>0</v>
      </c>
      <c r="M59" s="173">
        <f>M58-L58</f>
        <v>0</v>
      </c>
      <c r="N59" s="173">
        <f>N58-M58</f>
        <v>0</v>
      </c>
      <c r="O59" s="173">
        <f>O58-N58</f>
        <v>0</v>
      </c>
      <c r="P59" s="173">
        <f>P58-O58</f>
        <v>0</v>
      </c>
      <c r="Q59" s="173">
        <f>Q58-P58</f>
        <v>0</v>
      </c>
      <c r="R59" s="173">
        <f>R58-Q58</f>
        <v>0</v>
      </c>
      <c r="S59" s="173">
        <f>S58-R58</f>
        <v>0</v>
      </c>
      <c r="T59" s="173">
        <f>T58-S58</f>
        <v>0</v>
      </c>
      <c r="U59" s="173">
        <f>U58-T58</f>
        <v>0</v>
      </c>
      <c r="V59" s="173">
        <f>V58-U58</f>
        <v>0</v>
      </c>
      <c r="W59" s="173">
        <f>W58-V58</f>
        <v>0</v>
      </c>
      <c r="X59" s="173">
        <f>X58-W58</f>
        <v>0</v>
      </c>
      <c r="Y59" s="173">
        <f>Y58-X58</f>
        <v>0</v>
      </c>
      <c r="Z59" s="173">
        <f>Z58-Y58</f>
        <v>0</v>
      </c>
      <c r="AA59" s="173">
        <f>AA58-Z58</f>
        <v>0</v>
      </c>
      <c r="AB59" s="173">
        <f>AB58-AA58</f>
        <v>0</v>
      </c>
      <c r="AC59" s="173">
        <f>AC58-AB58</f>
        <v>0</v>
      </c>
      <c r="AD59" s="173">
        <f>AD58-AC58</f>
        <v>0</v>
      </c>
      <c r="AE59" s="173">
        <f>AE58-AD58</f>
        <v>0</v>
      </c>
      <c r="AF59" s="173">
        <f>AF58-AE58</f>
        <v>0</v>
      </c>
      <c r="AG59" s="173">
        <f>AG58-AF58</f>
        <v>0</v>
      </c>
      <c r="AH59" s="173">
        <f>AH58-AG58</f>
        <v>290067936.055125</v>
      </c>
      <c r="AI59" s="173">
        <f>AI58-AH58</f>
        <v>0</v>
      </c>
      <c r="AJ59" s="173">
        <f>AJ58-AI58</f>
        <v>0</v>
      </c>
      <c r="AK59" s="173">
        <f>AK58-AJ58</f>
        <v>0</v>
      </c>
      <c r="AL59" s="173">
        <f>AL58-AK58</f>
        <v>0</v>
      </c>
      <c r="AM59" s="173">
        <f>AM58-AL58</f>
        <v>0</v>
      </c>
      <c r="AN59" s="173">
        <f>AN58-AM58</f>
        <v>0</v>
      </c>
      <c r="AO59" s="173">
        <f>AO58-AN58</f>
        <v>0</v>
      </c>
      <c r="AP59" s="173">
        <f>AP58-AO58</f>
        <v>0</v>
      </c>
      <c r="AQ59" s="173">
        <f>AQ58-AP58</f>
        <v>0</v>
      </c>
      <c r="AR59" s="173">
        <f>AR58-AQ58</f>
        <v>0</v>
      </c>
      <c r="AS59" s="173">
        <f>AS58-AR58</f>
        <v>0</v>
      </c>
      <c r="AT59" s="173">
        <f>AT58-AS58</f>
        <v>0</v>
      </c>
      <c r="AU59" s="173">
        <f>AU58-AT58</f>
        <v>0</v>
      </c>
      <c r="AV59" s="173">
        <f>AV58-AU58</f>
        <v>0</v>
      </c>
      <c r="AW59" s="173">
        <f>AW58-AV58</f>
        <v>0</v>
      </c>
      <c r="AX59" s="173">
        <f>AX58-AW58</f>
        <v>0</v>
      </c>
      <c r="AY59" s="173">
        <f>AY58-AX58</f>
        <v>0</v>
      </c>
      <c r="AZ59" s="173">
        <f>AZ58-AY58</f>
        <v>0</v>
      </c>
    </row>
    <row r="60" ht="20" customHeight="1">
      <c r="B60" s="113" t="inlineStr">
        <is>
          <t>Funding waterfall: (1) presales → (2) equity → (3) debt → (4) top-up / gap</t>
        </is>
      </c>
      <c r="C60" s="37" t="inlineStr">
        <is>
          <t>የገንዘብ ምንጭ ቅደም ተከተል</t>
        </is>
      </c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</row>
    <row r="61">
      <c r="B61" s="36" t="inlineStr">
        <is>
          <t>Presale cash usable for construction</t>
        </is>
      </c>
      <c r="C61" s="117" t="inlineStr">
        <is>
          <t>ETB</t>
        </is>
      </c>
      <c r="D61" s="169">
        <f>SUM(E61:AZ61)</f>
        <v>261950285.277459</v>
      </c>
      <c r="E61" s="173">
        <f>E11*IF(PRESALE_USE=1,PRESALE_USE_PCT,0)*E55</f>
        <v>2061258.90736342</v>
      </c>
      <c r="F61" s="173">
        <f>F11*IF(PRESALE_USE=1,PRESALE_USE_PCT,0)*F55</f>
        <v>2099120.81293539</v>
      </c>
      <c r="G61" s="173">
        <f>G11*IF(PRESALE_USE=1,PRESALE_USE_PCT,0)*G55</f>
        <v>2164176.38222184</v>
      </c>
      <c r="H61" s="173">
        <f>H11*IF(PRESALE_USE=1,PRESALE_USE_PCT,0)*H55</f>
        <v>2263265.11078112</v>
      </c>
      <c r="I61" s="173">
        <f>I11*IF(PRESALE_USE=1,PRESALE_USE_PCT,0)*I55</f>
        <v>2403775.91079151</v>
      </c>
      <c r="J61" s="173">
        <f>J11*IF(PRESALE_USE=1,PRESALE_USE_PCT,0)*J55</f>
        <v>2593181.42557041</v>
      </c>
      <c r="K61" s="173">
        <f>K11*IF(PRESALE_USE=1,PRESALE_USE_PCT,0)*K55</f>
        <v>2838300.74723732</v>
      </c>
      <c r="L61" s="173">
        <f>L11*IF(PRESALE_USE=1,PRESALE_USE_PCT,0)*L55</f>
        <v>3144266.76660925</v>
      </c>
      <c r="M61" s="173">
        <f>M11*IF(PRESALE_USE=1,PRESALE_USE_PCT,0)*M55</f>
        <v>3513238.65176285</v>
      </c>
      <c r="N61" s="173">
        <f>N11*IF(PRESALE_USE=1,PRESALE_USE_PCT,0)*N55</f>
        <v>3943001.05420236</v>
      </c>
      <c r="O61" s="173">
        <f>O11*IF(PRESALE_USE=1,PRESALE_USE_PCT,0)*O55</f>
        <v>4425715.37705053</v>
      </c>
      <c r="P61" s="173">
        <f>P11*IF(PRESALE_USE=1,PRESALE_USE_PCT,0)*P55</f>
        <v>4947194.72891336</v>
      </c>
      <c r="Q61" s="173">
        <f>Q11*IF(PRESALE_USE=1,PRESALE_USE_PCT,0)*Q55</f>
        <v>5487099.40365786</v>
      </c>
      <c r="R61" s="173">
        <f>R11*IF(PRESALE_USE=1,PRESALE_USE_PCT,0)*R55</f>
        <v>6020330.2985454</v>
      </c>
      <c r="S61" s="173">
        <f>S11*IF(PRESALE_USE=1,PRESALE_USE_PCT,0)*S55</f>
        <v>6519614.21136932</v>
      </c>
      <c r="T61" s="173">
        <f>T11*IF(PRESALE_USE=1,PRESALE_USE_PCT,0)*T55</f>
        <v>6958893.55446929</v>
      </c>
      <c r="U61" s="173">
        <f>U11*IF(PRESALE_USE=1,PRESALE_USE_PCT,0)*U55</f>
        <v>7316803.96755257</v>
      </c>
      <c r="V61" s="173">
        <f>V11*IF(PRESALE_USE=1,PRESALE_USE_PCT,0)*V55</f>
        <v>7579413.59030424</v>
      </c>
      <c r="W61" s="173">
        <f>W11*IF(PRESALE_USE=1,PRESALE_USE_PCT,0)*W55</f>
        <v>7741587.48333688</v>
      </c>
      <c r="X61" s="173">
        <f>X11*IF(PRESALE_USE=1,PRESALE_USE_PCT,0)*X55</f>
        <v>7806759.55772146</v>
      </c>
      <c r="Y61" s="173">
        <f>Y11*IF(PRESALE_USE=1,PRESALE_USE_PCT,0)*Y55</f>
        <v>7785356.19577622</v>
      </c>
      <c r="Z61" s="173">
        <f>Z11*IF(PRESALE_USE=1,PRESALE_USE_PCT,0)*Z55</f>
        <v>7692429.94290425</v>
      </c>
      <c r="AA61" s="173">
        <f>AA11*IF(PRESALE_USE=1,PRESALE_USE_PCT,0)*AA55</f>
        <v>7545136.72624811</v>
      </c>
      <c r="AB61" s="173">
        <f>AB11*IF(PRESALE_USE=1,PRESALE_USE_PCT,0)*AB55</f>
        <v>7360559.1936824</v>
      </c>
      <c r="AC61" s="173">
        <f>AC11*IF(PRESALE_USE=1,PRESALE_USE_PCT,0)*AC55</f>
        <v>10563780.0669018</v>
      </c>
      <c r="AD61" s="173">
        <f>AD11*IF(PRESALE_USE=1,PRESALE_USE_PCT,0)*AD55</f>
        <v>10437022.959969</v>
      </c>
      <c r="AE61" s="173">
        <f>AE11*IF(PRESALE_USE=1,PRESALE_USE_PCT,0)*AE55</f>
        <v>10285829.6081056</v>
      </c>
      <c r="AF61" s="173">
        <f>AF11*IF(PRESALE_USE=1,PRESALE_USE_PCT,0)*AF55</f>
        <v>10122038.7924071</v>
      </c>
      <c r="AG61" s="173">
        <f>AG11*IF(PRESALE_USE=1,PRESALE_USE_PCT,0)*AG55</f>
        <v>9954875.53338703</v>
      </c>
      <c r="AH61" s="173">
        <f>AH11*IF(PRESALE_USE=1,PRESALE_USE_PCT,0)*AH55</f>
        <v>88376258.3156814</v>
      </c>
      <c r="AI61" s="173">
        <f>AI11*IF(PRESALE_USE=1,PRESALE_USE_PCT,0)*AI55</f>
        <v>0</v>
      </c>
      <c r="AJ61" s="173">
        <f>AJ11*IF(PRESALE_USE=1,PRESALE_USE_PCT,0)*AJ55</f>
        <v>0</v>
      </c>
      <c r="AK61" s="173">
        <f>AK11*IF(PRESALE_USE=1,PRESALE_USE_PCT,0)*AK55</f>
        <v>0</v>
      </c>
      <c r="AL61" s="173">
        <f>AL11*IF(PRESALE_USE=1,PRESALE_USE_PCT,0)*AL55</f>
        <v>0</v>
      </c>
      <c r="AM61" s="173">
        <f>AM11*IF(PRESALE_USE=1,PRESALE_USE_PCT,0)*AM55</f>
        <v>0</v>
      </c>
      <c r="AN61" s="173">
        <f>AN11*IF(PRESALE_USE=1,PRESALE_USE_PCT,0)*AN55</f>
        <v>0</v>
      </c>
      <c r="AO61" s="173">
        <f>AO11*IF(PRESALE_USE=1,PRESALE_USE_PCT,0)*AO55</f>
        <v>0</v>
      </c>
      <c r="AP61" s="173">
        <f>AP11*IF(PRESALE_USE=1,PRESALE_USE_PCT,0)*AP55</f>
        <v>0</v>
      </c>
      <c r="AQ61" s="173">
        <f>AQ11*IF(PRESALE_USE=1,PRESALE_USE_PCT,0)*AQ55</f>
        <v>0</v>
      </c>
      <c r="AR61" s="173">
        <f>AR11*IF(PRESALE_USE=1,PRESALE_USE_PCT,0)*AR55</f>
        <v>0</v>
      </c>
      <c r="AS61" s="173">
        <f>AS11*IF(PRESALE_USE=1,PRESALE_USE_PCT,0)*AS55</f>
        <v>0</v>
      </c>
      <c r="AT61" s="173">
        <f>AT11*IF(PRESALE_USE=1,PRESALE_USE_PCT,0)*AT55</f>
        <v>0</v>
      </c>
      <c r="AU61" s="173">
        <f>AU11*IF(PRESALE_USE=1,PRESALE_USE_PCT,0)*AU55</f>
        <v>0</v>
      </c>
      <c r="AV61" s="173">
        <f>AV11*IF(PRESALE_USE=1,PRESALE_USE_PCT,0)*AV55</f>
        <v>0</v>
      </c>
      <c r="AW61" s="173">
        <f>AW11*IF(PRESALE_USE=1,PRESALE_USE_PCT,0)*AW55</f>
        <v>0</v>
      </c>
      <c r="AX61" s="173">
        <f>AX11*IF(PRESALE_USE=1,PRESALE_USE_PCT,0)*AX55</f>
        <v>0</v>
      </c>
      <c r="AY61" s="173">
        <f>AY11*IF(PRESALE_USE=1,PRESALE_USE_PCT,0)*AY55</f>
        <v>0</v>
      </c>
      <c r="AZ61" s="173">
        <f>AZ11*IF(PRESALE_USE=1,PRESALE_USE_PCT,0)*AZ55</f>
        <v>0</v>
      </c>
    </row>
    <row r="62">
      <c r="B62" s="36" t="inlineStr">
        <is>
          <t>Presale pool – opening</t>
        </is>
      </c>
      <c r="C62" s="117" t="inlineStr">
        <is>
          <t>ETB</t>
        </is>
      </c>
      <c r="E62" s="173">
        <f>0</f>
        <v>0</v>
      </c>
      <c r="F62" s="170">
        <f>E64</f>
        <v>0</v>
      </c>
      <c r="G62" s="170">
        <f>F64</f>
        <v>714182.884548663</v>
      </c>
      <c r="H62" s="170">
        <f>G64</f>
        <v>407967.481664527</v>
      </c>
      <c r="I62" s="170">
        <f>H64</f>
        <v>0</v>
      </c>
      <c r="J62" s="170">
        <f>I64</f>
        <v>0</v>
      </c>
      <c r="K62" s="170">
        <f>J64</f>
        <v>0</v>
      </c>
      <c r="L62" s="170">
        <f>K64</f>
        <v>0</v>
      </c>
      <c r="M62" s="170">
        <f>L64</f>
        <v>0</v>
      </c>
      <c r="N62" s="170">
        <f>M64</f>
        <v>0</v>
      </c>
      <c r="O62" s="170">
        <f>N64</f>
        <v>0</v>
      </c>
      <c r="P62" s="170">
        <f>O64</f>
        <v>0</v>
      </c>
      <c r="Q62" s="170">
        <f>P64</f>
        <v>0</v>
      </c>
      <c r="R62" s="170">
        <f>Q64</f>
        <v>0</v>
      </c>
      <c r="S62" s="170">
        <f>R64</f>
        <v>0</v>
      </c>
      <c r="T62" s="170">
        <f>S64</f>
        <v>0</v>
      </c>
      <c r="U62" s="170">
        <f>T64</f>
        <v>0</v>
      </c>
      <c r="V62" s="170">
        <f>U64</f>
        <v>0</v>
      </c>
      <c r="W62" s="170">
        <f>V64</f>
        <v>0</v>
      </c>
      <c r="X62" s="170">
        <f>W64</f>
        <v>0</v>
      </c>
      <c r="Y62" s="170">
        <f>X64</f>
        <v>0</v>
      </c>
      <c r="Z62" s="170">
        <f>Y64</f>
        <v>0</v>
      </c>
      <c r="AA62" s="170">
        <f>Z64</f>
        <v>0</v>
      </c>
      <c r="AB62" s="170">
        <f>AA64</f>
        <v>0</v>
      </c>
      <c r="AC62" s="170">
        <f>AB64</f>
        <v>0</v>
      </c>
      <c r="AD62" s="170">
        <f>AC64</f>
        <v>0</v>
      </c>
      <c r="AE62" s="170">
        <f>AD64</f>
        <v>3762372.36198484</v>
      </c>
      <c r="AF62" s="170">
        <f>AE64</f>
        <v>9221901.03390571</v>
      </c>
      <c r="AG62" s="170">
        <f>AF64</f>
        <v>16141894.9573226</v>
      </c>
      <c r="AH62" s="170">
        <f>AG64</f>
        <v>24299706.3832577</v>
      </c>
      <c r="AI62" s="170">
        <f>AH64</f>
        <v>105447664.950783</v>
      </c>
      <c r="AJ62" s="170">
        <f>AI64</f>
        <v>105447664.950783</v>
      </c>
      <c r="AK62" s="170">
        <f>AJ64</f>
        <v>105447664.950783</v>
      </c>
      <c r="AL62" s="170">
        <f>AK64</f>
        <v>105447664.950783</v>
      </c>
      <c r="AM62" s="170">
        <f>AL64</f>
        <v>105447664.950783</v>
      </c>
      <c r="AN62" s="170">
        <f>AM64</f>
        <v>105447664.950783</v>
      </c>
      <c r="AO62" s="170">
        <f>AN64</f>
        <v>105447664.950783</v>
      </c>
      <c r="AP62" s="170">
        <f>AO64</f>
        <v>105447664.950783</v>
      </c>
      <c r="AQ62" s="170">
        <f>AP64</f>
        <v>105447664.950783</v>
      </c>
      <c r="AR62" s="170">
        <f>AQ64</f>
        <v>105447664.950783</v>
      </c>
      <c r="AS62" s="170">
        <f>AR64</f>
        <v>105447664.950783</v>
      </c>
      <c r="AT62" s="170">
        <f>AS64</f>
        <v>105447664.950783</v>
      </c>
      <c r="AU62" s="170">
        <f>AT64</f>
        <v>105447664.950783</v>
      </c>
      <c r="AV62" s="170">
        <f>AU64</f>
        <v>105447664.950783</v>
      </c>
      <c r="AW62" s="170">
        <f>AV64</f>
        <v>105447664.950783</v>
      </c>
      <c r="AX62" s="170">
        <f>AW64</f>
        <v>105447664.950783</v>
      </c>
      <c r="AY62" s="170">
        <f>AX64</f>
        <v>105447664.950783</v>
      </c>
      <c r="AZ62" s="170">
        <f>AY64</f>
        <v>105447664.950783</v>
      </c>
    </row>
    <row r="63">
      <c r="B63" s="36" t="inlineStr">
        <is>
          <t>(1) Presale cash used</t>
        </is>
      </c>
      <c r="C63" s="117" t="inlineStr">
        <is>
          <t>ETB</t>
        </is>
      </c>
      <c r="D63" s="169">
        <f>SUM(E63:AZ63)</f>
        <v>156502620.326677</v>
      </c>
      <c r="E63" s="173">
        <f>MIN(E41,E62+E61)</f>
        <v>2061258.90736342</v>
      </c>
      <c r="F63" s="173">
        <f>MIN(F41,F62+F61)</f>
        <v>1384937.92838673</v>
      </c>
      <c r="G63" s="173">
        <f>MIN(G41,G62+G61)</f>
        <v>2470391.78510597</v>
      </c>
      <c r="H63" s="173">
        <f>MIN(H41,H62+H61)</f>
        <v>2671232.59244564</v>
      </c>
      <c r="I63" s="173">
        <f>MIN(I41,I62+I61)</f>
        <v>2403775.91079151</v>
      </c>
      <c r="J63" s="173">
        <f>MIN(J41,J62+J61)</f>
        <v>2593181.42557041</v>
      </c>
      <c r="K63" s="173">
        <f>MIN(K41,K62+K61)</f>
        <v>2838300.74723732</v>
      </c>
      <c r="L63" s="173">
        <f>MIN(L41,L62+L61)</f>
        <v>3144266.76660925</v>
      </c>
      <c r="M63" s="173">
        <f>MIN(M41,M62+M61)</f>
        <v>3513238.65176285</v>
      </c>
      <c r="N63" s="173">
        <f>MIN(N41,N62+N61)</f>
        <v>3943001.05420236</v>
      </c>
      <c r="O63" s="173">
        <f>MIN(O41,O62+O61)</f>
        <v>4425715.37705053</v>
      </c>
      <c r="P63" s="173">
        <f>MIN(P41,P62+P61)</f>
        <v>4947194.72891336</v>
      </c>
      <c r="Q63" s="173">
        <f>MIN(Q41,Q62+Q61)</f>
        <v>5487099.40365786</v>
      </c>
      <c r="R63" s="173">
        <f>MIN(R41,R62+R61)</f>
        <v>6020330.2985454</v>
      </c>
      <c r="S63" s="173">
        <f>MIN(S41,S62+S61)</f>
        <v>6519614.21136932</v>
      </c>
      <c r="T63" s="173">
        <f>MIN(T41,T62+T61)</f>
        <v>6958893.55446929</v>
      </c>
      <c r="U63" s="173">
        <f>MIN(U41,U62+U61)</f>
        <v>7316803.96755257</v>
      </c>
      <c r="V63" s="173">
        <f>MIN(V41,V62+V61)</f>
        <v>7579413.59030424</v>
      </c>
      <c r="W63" s="173">
        <f>MIN(W41,W62+W61)</f>
        <v>7741587.48333688</v>
      </c>
      <c r="X63" s="173">
        <f>MIN(X41,X62+X61)</f>
        <v>7806759.55772146</v>
      </c>
      <c r="Y63" s="173">
        <f>MIN(Y41,Y62+Y61)</f>
        <v>7785356.19577622</v>
      </c>
      <c r="Z63" s="173">
        <f>MIN(Z41,Z62+Z61)</f>
        <v>7692429.94290425</v>
      </c>
      <c r="AA63" s="173">
        <f>MIN(AA41,AA62+AA61)</f>
        <v>7545136.72624811</v>
      </c>
      <c r="AB63" s="173">
        <f>MIN(AB41,AB62+AB61)</f>
        <v>7360559.1936824</v>
      </c>
      <c r="AC63" s="173">
        <f>MIN(AC41,AC62+AC61)</f>
        <v>10563780.0669018</v>
      </c>
      <c r="AD63" s="173">
        <f>MIN(AD41,AD62+AD61)</f>
        <v>6674650.59798417</v>
      </c>
      <c r="AE63" s="173">
        <f>MIN(AE41,AE62+AE61)</f>
        <v>4826300.93618473</v>
      </c>
      <c r="AF63" s="173">
        <f>MIN(AF41,AF62+AF61)</f>
        <v>3202044.86899014</v>
      </c>
      <c r="AG63" s="173">
        <f>MIN(AG41,AG62+AG61)</f>
        <v>1797064.10745199</v>
      </c>
      <c r="AH63" s="173">
        <f>MIN(AH41,AH62+AH61)</f>
        <v>7228299.74815648</v>
      </c>
      <c r="AI63" s="173">
        <f>MIN(AI41,AI62+AI61)</f>
        <v>0</v>
      </c>
      <c r="AJ63" s="173">
        <f>MIN(AJ41,AJ62+AJ61)</f>
        <v>0</v>
      </c>
      <c r="AK63" s="173">
        <f>MIN(AK41,AK62+AK61)</f>
        <v>0</v>
      </c>
      <c r="AL63" s="173">
        <f>MIN(AL41,AL62+AL61)</f>
        <v>0</v>
      </c>
      <c r="AM63" s="173">
        <f>MIN(AM41,AM62+AM61)</f>
        <v>0</v>
      </c>
      <c r="AN63" s="173">
        <f>MIN(AN41,AN62+AN61)</f>
        <v>0</v>
      </c>
      <c r="AO63" s="173">
        <f>MIN(AO41,AO62+AO61)</f>
        <v>0</v>
      </c>
      <c r="AP63" s="173">
        <f>MIN(AP41,AP62+AP61)</f>
        <v>0</v>
      </c>
      <c r="AQ63" s="173">
        <f>MIN(AQ41,AQ62+AQ61)</f>
        <v>0</v>
      </c>
      <c r="AR63" s="173">
        <f>MIN(AR41,AR62+AR61)</f>
        <v>0</v>
      </c>
      <c r="AS63" s="173">
        <f>MIN(AS41,AS62+AS61)</f>
        <v>0</v>
      </c>
      <c r="AT63" s="173">
        <f>MIN(AT41,AT62+AT61)</f>
        <v>0</v>
      </c>
      <c r="AU63" s="173">
        <f>MIN(AU41,AU62+AU61)</f>
        <v>0</v>
      </c>
      <c r="AV63" s="173">
        <f>MIN(AV41,AV62+AV61)</f>
        <v>0</v>
      </c>
      <c r="AW63" s="173">
        <f>MIN(AW41,AW62+AW61)</f>
        <v>0</v>
      </c>
      <c r="AX63" s="173">
        <f>MIN(AX41,AX62+AX61)</f>
        <v>0</v>
      </c>
      <c r="AY63" s="173">
        <f>MIN(AY41,AY62+AY61)</f>
        <v>0</v>
      </c>
      <c r="AZ63" s="173">
        <f>MIN(AZ41,AZ62+AZ61)</f>
        <v>0</v>
      </c>
    </row>
    <row r="64">
      <c r="B64" s="36" t="inlineStr">
        <is>
          <t>Presale pool – closing</t>
        </is>
      </c>
      <c r="C64" s="117" t="inlineStr">
        <is>
          <t>ETB</t>
        </is>
      </c>
      <c r="D64" s="169">
        <f>AZ64</f>
        <v>105447664.950783</v>
      </c>
      <c r="E64" s="173">
        <f>E62+E61-E63</f>
        <v>0</v>
      </c>
      <c r="F64" s="173">
        <f>F62+F61-F63</f>
        <v>714182.884548663</v>
      </c>
      <c r="G64" s="173">
        <f>G62+G61-G63</f>
        <v>407967.481664527</v>
      </c>
      <c r="H64" s="173">
        <f>H62+H61-H63</f>
        <v>0</v>
      </c>
      <c r="I64" s="173">
        <f>I62+I61-I63</f>
        <v>0</v>
      </c>
      <c r="J64" s="173">
        <f>J62+J61-J63</f>
        <v>0</v>
      </c>
      <c r="K64" s="173">
        <f>K62+K61-K63</f>
        <v>0</v>
      </c>
      <c r="L64" s="173">
        <f>L62+L61-L63</f>
        <v>0</v>
      </c>
      <c r="M64" s="173">
        <f>M62+M61-M63</f>
        <v>0</v>
      </c>
      <c r="N64" s="173">
        <f>N62+N61-N63</f>
        <v>0</v>
      </c>
      <c r="O64" s="173">
        <f>O62+O61-O63</f>
        <v>0</v>
      </c>
      <c r="P64" s="173">
        <f>P62+P61-P63</f>
        <v>0</v>
      </c>
      <c r="Q64" s="173">
        <f>Q62+Q61-Q63</f>
        <v>0</v>
      </c>
      <c r="R64" s="173">
        <f>R62+R61-R63</f>
        <v>0</v>
      </c>
      <c r="S64" s="173">
        <f>S62+S61-S63</f>
        <v>0</v>
      </c>
      <c r="T64" s="173">
        <f>T62+T61-T63</f>
        <v>0</v>
      </c>
      <c r="U64" s="173">
        <f>U62+U61-U63</f>
        <v>0</v>
      </c>
      <c r="V64" s="173">
        <f>V62+V61-V63</f>
        <v>0</v>
      </c>
      <c r="W64" s="173">
        <f>W62+W61-W63</f>
        <v>0</v>
      </c>
      <c r="X64" s="173">
        <f>X62+X61-X63</f>
        <v>0</v>
      </c>
      <c r="Y64" s="173">
        <f>Y62+Y61-Y63</f>
        <v>0</v>
      </c>
      <c r="Z64" s="173">
        <f>Z62+Z61-Z63</f>
        <v>0</v>
      </c>
      <c r="AA64" s="173">
        <f>AA62+AA61-AA63</f>
        <v>0</v>
      </c>
      <c r="AB64" s="173">
        <f>AB62+AB61-AB63</f>
        <v>0</v>
      </c>
      <c r="AC64" s="173">
        <f>AC62+AC61-AC63</f>
        <v>0</v>
      </c>
      <c r="AD64" s="173">
        <f>AD62+AD61-AD63</f>
        <v>3762372.36198484</v>
      </c>
      <c r="AE64" s="173">
        <f>AE62+AE61-AE63</f>
        <v>9221901.03390571</v>
      </c>
      <c r="AF64" s="173">
        <f>AF62+AF61-AF63</f>
        <v>16141894.9573226</v>
      </c>
      <c r="AG64" s="173">
        <f>AG62+AG61-AG63</f>
        <v>24299706.3832577</v>
      </c>
      <c r="AH64" s="173">
        <f>AH62+AH61-AH63</f>
        <v>105447664.950783</v>
      </c>
      <c r="AI64" s="173">
        <f>AI62+AI61-AI63</f>
        <v>105447664.950783</v>
      </c>
      <c r="AJ64" s="173">
        <f>AJ62+AJ61-AJ63</f>
        <v>105447664.950783</v>
      </c>
      <c r="AK64" s="173">
        <f>AK62+AK61-AK63</f>
        <v>105447664.950783</v>
      </c>
      <c r="AL64" s="173">
        <f>AL62+AL61-AL63</f>
        <v>105447664.950783</v>
      </c>
      <c r="AM64" s="173">
        <f>AM62+AM61-AM63</f>
        <v>105447664.950783</v>
      </c>
      <c r="AN64" s="173">
        <f>AN62+AN61-AN63</f>
        <v>105447664.950783</v>
      </c>
      <c r="AO64" s="173">
        <f>AO62+AO61-AO63</f>
        <v>105447664.950783</v>
      </c>
      <c r="AP64" s="173">
        <f>AP62+AP61-AP63</f>
        <v>105447664.950783</v>
      </c>
      <c r="AQ64" s="173">
        <f>AQ62+AQ61-AQ63</f>
        <v>105447664.950783</v>
      </c>
      <c r="AR64" s="173">
        <f>AR62+AR61-AR63</f>
        <v>105447664.950783</v>
      </c>
      <c r="AS64" s="173">
        <f>AS62+AS61-AS63</f>
        <v>105447664.950783</v>
      </c>
      <c r="AT64" s="173">
        <f>AT62+AT61-AT63</f>
        <v>105447664.950783</v>
      </c>
      <c r="AU64" s="173">
        <f>AU62+AU61-AU63</f>
        <v>105447664.950783</v>
      </c>
      <c r="AV64" s="173">
        <f>AV62+AV61-AV63</f>
        <v>105447664.950783</v>
      </c>
      <c r="AW64" s="173">
        <f>AW62+AW61-AW63</f>
        <v>105447664.950783</v>
      </c>
      <c r="AX64" s="173">
        <f>AX62+AX61-AX63</f>
        <v>105447664.950783</v>
      </c>
      <c r="AY64" s="173">
        <f>AY62+AY61-AY63</f>
        <v>105447664.950783</v>
      </c>
      <c r="AZ64" s="173">
        <f>AZ62+AZ61-AZ63</f>
        <v>105447664.950783</v>
      </c>
    </row>
    <row r="65">
      <c r="B65" s="36" t="inlineStr">
        <is>
          <t>Need after presales</t>
        </is>
      </c>
      <c r="C65" s="117" t="inlineStr">
        <is>
          <t>ETB</t>
        </is>
      </c>
      <c r="D65" s="169">
        <f>SUM(E65:AZ65)</f>
        <v>292492705.68931</v>
      </c>
      <c r="E65" s="173">
        <f>E41-E63</f>
        <v>27305144.9530201</v>
      </c>
      <c r="F65" s="173">
        <f>F41-F63</f>
        <v>0</v>
      </c>
      <c r="G65" s="173">
        <f>G41-G63</f>
        <v>0</v>
      </c>
      <c r="H65" s="173">
        <f>H41-H63</f>
        <v>1102705.58068981</v>
      </c>
      <c r="I65" s="173">
        <f>I41-I63</f>
        <v>2908987.31386829</v>
      </c>
      <c r="J65" s="173">
        <f>J41-J63</f>
        <v>4501739.64927235</v>
      </c>
      <c r="K65" s="173">
        <f>K41-K63</f>
        <v>6275933.92369838</v>
      </c>
      <c r="L65" s="173">
        <f>L41-L63</f>
        <v>8200361.08830184</v>
      </c>
      <c r="M65" s="173">
        <f>M41-M63</f>
        <v>10221522.8552967</v>
      </c>
      <c r="N65" s="173">
        <f>N41-N63</f>
        <v>12261359.3100384</v>
      </c>
      <c r="O65" s="173">
        <f>O41-O63</f>
        <v>14218281.924227</v>
      </c>
      <c r="P65" s="173">
        <f>P41-P63</f>
        <v>15972866.9106031</v>
      </c>
      <c r="Q65" s="173">
        <f>Q41-Q63</f>
        <v>31348792.636243</v>
      </c>
      <c r="R65" s="173">
        <f>R41-R63</f>
        <v>18378187.0614827</v>
      </c>
      <c r="S65" s="173">
        <f>S41-S63</f>
        <v>18818831.1801209</v>
      </c>
      <c r="T65" s="173">
        <f>T41-T63</f>
        <v>18669347.5540331</v>
      </c>
      <c r="U65" s="173">
        <f>U41-U63</f>
        <v>17922816.1348499</v>
      </c>
      <c r="V65" s="173">
        <f>V41-V63</f>
        <v>16631978.073508</v>
      </c>
      <c r="W65" s="173">
        <f>W41-W63</f>
        <v>14890592.4547727</v>
      </c>
      <c r="X65" s="173">
        <f>X41-X63</f>
        <v>12817577.2370365</v>
      </c>
      <c r="Y65" s="173">
        <f>Y41-Y63</f>
        <v>10541993.4698985</v>
      </c>
      <c r="Z65" s="173">
        <f>Z41-Z63</f>
        <v>8187253.36360757</v>
      </c>
      <c r="AA65" s="173">
        <f>AA41-AA63</f>
        <v>5859525.30007807</v>
      </c>
      <c r="AB65" s="173">
        <f>AB41-AB63</f>
        <v>3641369.55080535</v>
      </c>
      <c r="AC65" s="173">
        <f>AC41-AC63</f>
        <v>11815538.1638576</v>
      </c>
      <c r="AD65" s="173">
        <f>AD41-AD63</f>
        <v>0</v>
      </c>
      <c r="AE65" s="173">
        <f>AE41-AE63</f>
        <v>0</v>
      </c>
      <c r="AF65" s="173">
        <f>AF41-AF63</f>
        <v>0</v>
      </c>
      <c r="AG65" s="173">
        <f>AG41-AG63</f>
        <v>0</v>
      </c>
      <c r="AH65" s="173">
        <f>AH41-AH63</f>
        <v>0</v>
      </c>
      <c r="AI65" s="173">
        <f>AI41-AI63</f>
        <v>0</v>
      </c>
      <c r="AJ65" s="173">
        <f>AJ41-AJ63</f>
        <v>0</v>
      </c>
      <c r="AK65" s="173">
        <f>AK41-AK63</f>
        <v>0</v>
      </c>
      <c r="AL65" s="173">
        <f>AL41-AL63</f>
        <v>0</v>
      </c>
      <c r="AM65" s="173">
        <f>AM41-AM63</f>
        <v>0</v>
      </c>
      <c r="AN65" s="173">
        <f>AN41-AN63</f>
        <v>0</v>
      </c>
      <c r="AO65" s="173">
        <f>AO41-AO63</f>
        <v>0</v>
      </c>
      <c r="AP65" s="173">
        <f>AP41-AP63</f>
        <v>0</v>
      </c>
      <c r="AQ65" s="173">
        <f>AQ41-AQ63</f>
        <v>0</v>
      </c>
      <c r="AR65" s="173">
        <f>AR41-AR63</f>
        <v>0</v>
      </c>
      <c r="AS65" s="173">
        <f>AS41-AS63</f>
        <v>0</v>
      </c>
      <c r="AT65" s="173">
        <f>AT41-AT63</f>
        <v>0</v>
      </c>
      <c r="AU65" s="173">
        <f>AU41-AU63</f>
        <v>0</v>
      </c>
      <c r="AV65" s="173">
        <f>AV41-AV63</f>
        <v>0</v>
      </c>
      <c r="AW65" s="173">
        <f>AW41-AW63</f>
        <v>0</v>
      </c>
      <c r="AX65" s="173">
        <f>AX41-AX63</f>
        <v>0</v>
      </c>
      <c r="AY65" s="173">
        <f>AY41-AY63</f>
        <v>0</v>
      </c>
      <c r="AZ65" s="173">
        <f>AZ41-AZ63</f>
        <v>0</v>
      </c>
    </row>
    <row r="66">
      <c r="B66" s="36" t="inlineStr">
        <is>
          <t>(2) Equity draw</t>
        </is>
      </c>
      <c r="C66" s="117" t="inlineStr">
        <is>
          <t>ETB</t>
        </is>
      </c>
      <c r="D66" s="169">
        <f>SUM(E66:AZ66)</f>
        <v>176878493.455735</v>
      </c>
      <c r="E66" s="173">
        <f>MIN(E65*IF(DRAW_ORDER=1,1,EQ_SHARE),MAX(0,EQ_COMMIT-0))</f>
        <v>27305144.9530201</v>
      </c>
      <c r="F66" s="173">
        <f>MIN(F65*IF(DRAW_ORDER=1,1,EQ_SHARE),MAX(0,EQ_COMMIT-E70))</f>
        <v>0</v>
      </c>
      <c r="G66" s="173">
        <f>MIN(G65*IF(DRAW_ORDER=1,1,EQ_SHARE),MAX(0,EQ_COMMIT-F70))</f>
        <v>0</v>
      </c>
      <c r="H66" s="173">
        <f>MIN(H65*IF(DRAW_ORDER=1,1,EQ_SHARE),MAX(0,EQ_COMMIT-G70))</f>
        <v>1102705.58068981</v>
      </c>
      <c r="I66" s="173">
        <f>MIN(I65*IF(DRAW_ORDER=1,1,EQ_SHARE),MAX(0,EQ_COMMIT-H70))</f>
        <v>2908987.31386829</v>
      </c>
      <c r="J66" s="173">
        <f>MIN(J65*IF(DRAW_ORDER=1,1,EQ_SHARE),MAX(0,EQ_COMMIT-I70))</f>
        <v>4501739.64927235</v>
      </c>
      <c r="K66" s="173">
        <f>MIN(K65*IF(DRAW_ORDER=1,1,EQ_SHARE),MAX(0,EQ_COMMIT-J70))</f>
        <v>6275933.92369838</v>
      </c>
      <c r="L66" s="173">
        <f>MIN(L65*IF(DRAW_ORDER=1,1,EQ_SHARE),MAX(0,EQ_COMMIT-K70))</f>
        <v>8200361.08830184</v>
      </c>
      <c r="M66" s="173">
        <f>MIN(M65*IF(DRAW_ORDER=1,1,EQ_SHARE),MAX(0,EQ_COMMIT-L70))</f>
        <v>10221522.8552967</v>
      </c>
      <c r="N66" s="173">
        <f>MIN(N65*IF(DRAW_ORDER=1,1,EQ_SHARE),MAX(0,EQ_COMMIT-M70))</f>
        <v>12261359.3100384</v>
      </c>
      <c r="O66" s="173">
        <f>MIN(O65*IF(DRAW_ORDER=1,1,EQ_SHARE),MAX(0,EQ_COMMIT-N70))</f>
        <v>14218281.924227</v>
      </c>
      <c r="P66" s="173">
        <f>MIN(P65*IF(DRAW_ORDER=1,1,EQ_SHARE),MAX(0,EQ_COMMIT-O70))</f>
        <v>15972866.9106031</v>
      </c>
      <c r="Q66" s="173">
        <f>MIN(Q65*IF(DRAW_ORDER=1,1,EQ_SHARE),MAX(0,EQ_COMMIT-P70))</f>
        <v>31348792.636243</v>
      </c>
      <c r="R66" s="173">
        <f>MIN(R65*IF(DRAW_ORDER=1,1,EQ_SHARE),MAX(0,EQ_COMMIT-Q70))</f>
        <v>18378187.0614827</v>
      </c>
      <c r="S66" s="173">
        <f>MIN(S65*IF(DRAW_ORDER=1,1,EQ_SHARE),MAX(0,EQ_COMMIT-R70))</f>
        <v>18818831.1801209</v>
      </c>
      <c r="T66" s="173">
        <f>MIN(T65*IF(DRAW_ORDER=1,1,EQ_SHARE),MAX(0,EQ_COMMIT-S70))</f>
        <v>5363779.0688729</v>
      </c>
      <c r="U66" s="173">
        <f>MIN(U65*IF(DRAW_ORDER=1,1,EQ_SHARE),MAX(0,EQ_COMMIT-T70))</f>
        <v>0</v>
      </c>
      <c r="V66" s="173">
        <f>MIN(V65*IF(DRAW_ORDER=1,1,EQ_SHARE),MAX(0,EQ_COMMIT-U70))</f>
        <v>0</v>
      </c>
      <c r="W66" s="173">
        <f>MIN(W65*IF(DRAW_ORDER=1,1,EQ_SHARE),MAX(0,EQ_COMMIT-V70))</f>
        <v>0</v>
      </c>
      <c r="X66" s="173">
        <f>MIN(X65*IF(DRAW_ORDER=1,1,EQ_SHARE),MAX(0,EQ_COMMIT-W70))</f>
        <v>0</v>
      </c>
      <c r="Y66" s="173">
        <f>MIN(Y65*IF(DRAW_ORDER=1,1,EQ_SHARE),MAX(0,EQ_COMMIT-X70))</f>
        <v>0</v>
      </c>
      <c r="Z66" s="173">
        <f>MIN(Z65*IF(DRAW_ORDER=1,1,EQ_SHARE),MAX(0,EQ_COMMIT-Y70))</f>
        <v>0</v>
      </c>
      <c r="AA66" s="173">
        <f>MIN(AA65*IF(DRAW_ORDER=1,1,EQ_SHARE),MAX(0,EQ_COMMIT-Z70))</f>
        <v>0</v>
      </c>
      <c r="AB66" s="173">
        <f>MIN(AB65*IF(DRAW_ORDER=1,1,EQ_SHARE),MAX(0,EQ_COMMIT-AA70))</f>
        <v>0</v>
      </c>
      <c r="AC66" s="173">
        <f>MIN(AC65*IF(DRAW_ORDER=1,1,EQ_SHARE),MAX(0,EQ_COMMIT-AB70))</f>
        <v>0</v>
      </c>
      <c r="AD66" s="173">
        <f>MIN(AD65*IF(DRAW_ORDER=1,1,EQ_SHARE),MAX(0,EQ_COMMIT-AC70))</f>
        <v>0</v>
      </c>
      <c r="AE66" s="173">
        <f>MIN(AE65*IF(DRAW_ORDER=1,1,EQ_SHARE),MAX(0,EQ_COMMIT-AD70))</f>
        <v>0</v>
      </c>
      <c r="AF66" s="173">
        <f>MIN(AF65*IF(DRAW_ORDER=1,1,EQ_SHARE),MAX(0,EQ_COMMIT-AE70))</f>
        <v>0</v>
      </c>
      <c r="AG66" s="173">
        <f>MIN(AG65*IF(DRAW_ORDER=1,1,EQ_SHARE),MAX(0,EQ_COMMIT-AF70))</f>
        <v>0</v>
      </c>
      <c r="AH66" s="173">
        <f>MIN(AH65*IF(DRAW_ORDER=1,1,EQ_SHARE),MAX(0,EQ_COMMIT-AG70))</f>
        <v>0</v>
      </c>
      <c r="AI66" s="173">
        <f>MIN(AI65*IF(DRAW_ORDER=1,1,EQ_SHARE),MAX(0,EQ_COMMIT-AH70))</f>
        <v>0</v>
      </c>
      <c r="AJ66" s="173">
        <f>MIN(AJ65*IF(DRAW_ORDER=1,1,EQ_SHARE),MAX(0,EQ_COMMIT-AI70))</f>
        <v>0</v>
      </c>
      <c r="AK66" s="173">
        <f>MIN(AK65*IF(DRAW_ORDER=1,1,EQ_SHARE),MAX(0,EQ_COMMIT-AJ70))</f>
        <v>0</v>
      </c>
      <c r="AL66" s="173">
        <f>MIN(AL65*IF(DRAW_ORDER=1,1,EQ_SHARE),MAX(0,EQ_COMMIT-AK70))</f>
        <v>0</v>
      </c>
      <c r="AM66" s="173">
        <f>MIN(AM65*IF(DRAW_ORDER=1,1,EQ_SHARE),MAX(0,EQ_COMMIT-AL70))</f>
        <v>0</v>
      </c>
      <c r="AN66" s="173">
        <f>MIN(AN65*IF(DRAW_ORDER=1,1,EQ_SHARE),MAX(0,EQ_COMMIT-AM70))</f>
        <v>0</v>
      </c>
      <c r="AO66" s="173">
        <f>MIN(AO65*IF(DRAW_ORDER=1,1,EQ_SHARE),MAX(0,EQ_COMMIT-AN70))</f>
        <v>0</v>
      </c>
      <c r="AP66" s="173">
        <f>MIN(AP65*IF(DRAW_ORDER=1,1,EQ_SHARE),MAX(0,EQ_COMMIT-AO70))</f>
        <v>0</v>
      </c>
      <c r="AQ66" s="173">
        <f>MIN(AQ65*IF(DRAW_ORDER=1,1,EQ_SHARE),MAX(0,EQ_COMMIT-AP70))</f>
        <v>0</v>
      </c>
      <c r="AR66" s="173">
        <f>MIN(AR65*IF(DRAW_ORDER=1,1,EQ_SHARE),MAX(0,EQ_COMMIT-AQ70))</f>
        <v>0</v>
      </c>
      <c r="AS66" s="173">
        <f>MIN(AS65*IF(DRAW_ORDER=1,1,EQ_SHARE),MAX(0,EQ_COMMIT-AR70))</f>
        <v>0</v>
      </c>
      <c r="AT66" s="173">
        <f>MIN(AT65*IF(DRAW_ORDER=1,1,EQ_SHARE),MAX(0,EQ_COMMIT-AS70))</f>
        <v>0</v>
      </c>
      <c r="AU66" s="173">
        <f>MIN(AU65*IF(DRAW_ORDER=1,1,EQ_SHARE),MAX(0,EQ_COMMIT-AT70))</f>
        <v>0</v>
      </c>
      <c r="AV66" s="173">
        <f>MIN(AV65*IF(DRAW_ORDER=1,1,EQ_SHARE),MAX(0,EQ_COMMIT-AU70))</f>
        <v>0</v>
      </c>
      <c r="AW66" s="173">
        <f>MIN(AW65*IF(DRAW_ORDER=1,1,EQ_SHARE),MAX(0,EQ_COMMIT-AV70))</f>
        <v>0</v>
      </c>
      <c r="AX66" s="173">
        <f>MIN(AX65*IF(DRAW_ORDER=1,1,EQ_SHARE),MAX(0,EQ_COMMIT-AW70))</f>
        <v>0</v>
      </c>
      <c r="AY66" s="173">
        <f>MIN(AY65*IF(DRAW_ORDER=1,1,EQ_SHARE),MAX(0,EQ_COMMIT-AX70))</f>
        <v>0</v>
      </c>
      <c r="AZ66" s="173">
        <f>MIN(AZ65*IF(DRAW_ORDER=1,1,EQ_SHARE),MAX(0,EQ_COMMIT-AY70))</f>
        <v>0</v>
      </c>
    </row>
    <row r="67">
      <c r="B67" s="36" t="inlineStr">
        <is>
          <t>(3) Debt draw</t>
        </is>
      </c>
      <c r="C67" s="117" t="inlineStr">
        <is>
          <t>ETB</t>
        </is>
      </c>
      <c r="D67" s="169">
        <f>SUM(E67:AZ67)</f>
        <v>115614212.233574</v>
      </c>
      <c r="E67" s="173">
        <f>MIN(E65-E66,MAX(0,DEBT_CAP-0))</f>
        <v>0</v>
      </c>
      <c r="F67" s="173">
        <f>MIN(F65-F66,MAX(0,DEBT_CAP-E71))</f>
        <v>0</v>
      </c>
      <c r="G67" s="173">
        <f>MIN(G65-G66,MAX(0,DEBT_CAP-F71))</f>
        <v>0</v>
      </c>
      <c r="H67" s="173">
        <f>MIN(H65-H66,MAX(0,DEBT_CAP-G71))</f>
        <v>0</v>
      </c>
      <c r="I67" s="173">
        <f>MIN(I65-I66,MAX(0,DEBT_CAP-H71))</f>
        <v>0</v>
      </c>
      <c r="J67" s="173">
        <f>MIN(J65-J66,MAX(0,DEBT_CAP-I71))</f>
        <v>0</v>
      </c>
      <c r="K67" s="173">
        <f>MIN(K65-K66,MAX(0,DEBT_CAP-J71))</f>
        <v>0</v>
      </c>
      <c r="L67" s="173">
        <f>MIN(L65-L66,MAX(0,DEBT_CAP-K71))</f>
        <v>0</v>
      </c>
      <c r="M67" s="173">
        <f>MIN(M65-M66,MAX(0,DEBT_CAP-L71))</f>
        <v>0</v>
      </c>
      <c r="N67" s="173">
        <f>MIN(N65-N66,MAX(0,DEBT_CAP-M71))</f>
        <v>0</v>
      </c>
      <c r="O67" s="173">
        <f>MIN(O65-O66,MAX(0,DEBT_CAP-N71))</f>
        <v>0</v>
      </c>
      <c r="P67" s="173">
        <f>MIN(P65-P66,MAX(0,DEBT_CAP-O71))</f>
        <v>0</v>
      </c>
      <c r="Q67" s="173">
        <f>MIN(Q65-Q66,MAX(0,DEBT_CAP-P71))</f>
        <v>0</v>
      </c>
      <c r="R67" s="173">
        <f>MIN(R65-R66,MAX(0,DEBT_CAP-Q71))</f>
        <v>0</v>
      </c>
      <c r="S67" s="173">
        <f>MIN(S65-S66,MAX(0,DEBT_CAP-R71))</f>
        <v>0</v>
      </c>
      <c r="T67" s="173">
        <f>MIN(T65-T66,MAX(0,DEBT_CAP-S71))</f>
        <v>13305568.4851602</v>
      </c>
      <c r="U67" s="173">
        <f>MIN(U65-U66,MAX(0,DEBT_CAP-T71))</f>
        <v>17922816.1348499</v>
      </c>
      <c r="V67" s="173">
        <f>MIN(V65-V66,MAX(0,DEBT_CAP-U71))</f>
        <v>16631978.073508</v>
      </c>
      <c r="W67" s="173">
        <f>MIN(W65-W66,MAX(0,DEBT_CAP-V71))</f>
        <v>14890592.4547727</v>
      </c>
      <c r="X67" s="173">
        <f>MIN(X65-X66,MAX(0,DEBT_CAP-W71))</f>
        <v>12817577.2370365</v>
      </c>
      <c r="Y67" s="173">
        <f>MIN(Y65-Y66,MAX(0,DEBT_CAP-X71))</f>
        <v>10541993.4698985</v>
      </c>
      <c r="Z67" s="173">
        <f>MIN(Z65-Z66,MAX(0,DEBT_CAP-Y71))</f>
        <v>8187253.36360757</v>
      </c>
      <c r="AA67" s="173">
        <f>MIN(AA65-AA66,MAX(0,DEBT_CAP-Z71))</f>
        <v>5859525.30007807</v>
      </c>
      <c r="AB67" s="173">
        <f>MIN(AB65-AB66,MAX(0,DEBT_CAP-AA71))</f>
        <v>3641369.55080535</v>
      </c>
      <c r="AC67" s="173">
        <f>MIN(AC65-AC66,MAX(0,DEBT_CAP-AB71))</f>
        <v>11815538.1638576</v>
      </c>
      <c r="AD67" s="173">
        <f>MIN(AD65-AD66,MAX(0,DEBT_CAP-AC71))</f>
        <v>0</v>
      </c>
      <c r="AE67" s="173">
        <f>MIN(AE65-AE66,MAX(0,DEBT_CAP-AD71))</f>
        <v>0</v>
      </c>
      <c r="AF67" s="173">
        <f>MIN(AF65-AF66,MAX(0,DEBT_CAP-AE71))</f>
        <v>0</v>
      </c>
      <c r="AG67" s="173">
        <f>MIN(AG65-AG66,MAX(0,DEBT_CAP-AF71))</f>
        <v>0</v>
      </c>
      <c r="AH67" s="173">
        <f>MIN(AH65-AH66,MAX(0,DEBT_CAP-AG71))</f>
        <v>0</v>
      </c>
      <c r="AI67" s="173">
        <f>MIN(AI65-AI66,MAX(0,DEBT_CAP-AH71))</f>
        <v>0</v>
      </c>
      <c r="AJ67" s="173">
        <f>MIN(AJ65-AJ66,MAX(0,DEBT_CAP-AI71))</f>
        <v>0</v>
      </c>
      <c r="AK67" s="173">
        <f>MIN(AK65-AK66,MAX(0,DEBT_CAP-AJ71))</f>
        <v>0</v>
      </c>
      <c r="AL67" s="173">
        <f>MIN(AL65-AL66,MAX(0,DEBT_CAP-AK71))</f>
        <v>0</v>
      </c>
      <c r="AM67" s="173">
        <f>MIN(AM65-AM66,MAX(0,DEBT_CAP-AL71))</f>
        <v>0</v>
      </c>
      <c r="AN67" s="173">
        <f>MIN(AN65-AN66,MAX(0,DEBT_CAP-AM71))</f>
        <v>0</v>
      </c>
      <c r="AO67" s="173">
        <f>MIN(AO65-AO66,MAX(0,DEBT_CAP-AN71))</f>
        <v>0</v>
      </c>
      <c r="AP67" s="173">
        <f>MIN(AP65-AP66,MAX(0,DEBT_CAP-AO71))</f>
        <v>0</v>
      </c>
      <c r="AQ67" s="173">
        <f>MIN(AQ65-AQ66,MAX(0,DEBT_CAP-AP71))</f>
        <v>0</v>
      </c>
      <c r="AR67" s="173">
        <f>MIN(AR65-AR66,MAX(0,DEBT_CAP-AQ71))</f>
        <v>0</v>
      </c>
      <c r="AS67" s="173">
        <f>MIN(AS65-AS66,MAX(0,DEBT_CAP-AR71))</f>
        <v>0</v>
      </c>
      <c r="AT67" s="173">
        <f>MIN(AT65-AT66,MAX(0,DEBT_CAP-AS71))</f>
        <v>0</v>
      </c>
      <c r="AU67" s="173">
        <f>MIN(AU65-AU66,MAX(0,DEBT_CAP-AT71))</f>
        <v>0</v>
      </c>
      <c r="AV67" s="173">
        <f>MIN(AV65-AV66,MAX(0,DEBT_CAP-AU71))</f>
        <v>0</v>
      </c>
      <c r="AW67" s="173">
        <f>MIN(AW65-AW66,MAX(0,DEBT_CAP-AV71))</f>
        <v>0</v>
      </c>
      <c r="AX67" s="173">
        <f>MIN(AX65-AX66,MAX(0,DEBT_CAP-AW71))</f>
        <v>0</v>
      </c>
      <c r="AY67" s="173">
        <f>MIN(AY65-AY66,MAX(0,DEBT_CAP-AX71))</f>
        <v>0</v>
      </c>
      <c r="AZ67" s="173">
        <f>MIN(AZ65-AZ66,MAX(0,DEBT_CAP-AY71))</f>
        <v>0</v>
      </c>
    </row>
    <row r="68">
      <c r="B68" s="36" t="inlineStr">
        <is>
          <t>(2b) Equity – pro-rata balance</t>
        </is>
      </c>
      <c r="C68" s="117" t="inlineStr">
        <is>
          <t>ETB</t>
        </is>
      </c>
      <c r="D68" s="169">
        <f>SUM(E68:AZ68)</f>
        <v>0</v>
      </c>
      <c r="E68" s="173">
        <f>IF(DRAW_ORDER=2,MIN(E65-E66-E67,MAX(0,EQ_COMMIT-0-E66)),0)</f>
        <v>0</v>
      </c>
      <c r="F68" s="173">
        <f>IF(DRAW_ORDER=2,MIN(F65-F66-F67,MAX(0,EQ_COMMIT-E70-F66)),0)</f>
        <v>0</v>
      </c>
      <c r="G68" s="173">
        <f>IF(DRAW_ORDER=2,MIN(G65-G66-G67,MAX(0,EQ_COMMIT-F70-G66)),0)</f>
        <v>0</v>
      </c>
      <c r="H68" s="173">
        <f>IF(DRAW_ORDER=2,MIN(H65-H66-H67,MAX(0,EQ_COMMIT-G70-H66)),0)</f>
        <v>0</v>
      </c>
      <c r="I68" s="173">
        <f>IF(DRAW_ORDER=2,MIN(I65-I66-I67,MAX(0,EQ_COMMIT-H70-I66)),0)</f>
        <v>0</v>
      </c>
      <c r="J68" s="173">
        <f>IF(DRAW_ORDER=2,MIN(J65-J66-J67,MAX(0,EQ_COMMIT-I70-J66)),0)</f>
        <v>0</v>
      </c>
      <c r="K68" s="173">
        <f>IF(DRAW_ORDER=2,MIN(K65-K66-K67,MAX(0,EQ_COMMIT-J70-K66)),0)</f>
        <v>0</v>
      </c>
      <c r="L68" s="173">
        <f>IF(DRAW_ORDER=2,MIN(L65-L66-L67,MAX(0,EQ_COMMIT-K70-L66)),0)</f>
        <v>0</v>
      </c>
      <c r="M68" s="173">
        <f>IF(DRAW_ORDER=2,MIN(M65-M66-M67,MAX(0,EQ_COMMIT-L70-M66)),0)</f>
        <v>0</v>
      </c>
      <c r="N68" s="173">
        <f>IF(DRAW_ORDER=2,MIN(N65-N66-N67,MAX(0,EQ_COMMIT-M70-N66)),0)</f>
        <v>0</v>
      </c>
      <c r="O68" s="173">
        <f>IF(DRAW_ORDER=2,MIN(O65-O66-O67,MAX(0,EQ_COMMIT-N70-O66)),0)</f>
        <v>0</v>
      </c>
      <c r="P68" s="173">
        <f>IF(DRAW_ORDER=2,MIN(P65-P66-P67,MAX(0,EQ_COMMIT-O70-P66)),0)</f>
        <v>0</v>
      </c>
      <c r="Q68" s="173">
        <f>IF(DRAW_ORDER=2,MIN(Q65-Q66-Q67,MAX(0,EQ_COMMIT-P70-Q66)),0)</f>
        <v>0</v>
      </c>
      <c r="R68" s="173">
        <f>IF(DRAW_ORDER=2,MIN(R65-R66-R67,MAX(0,EQ_COMMIT-Q70-R66)),0)</f>
        <v>0</v>
      </c>
      <c r="S68" s="173">
        <f>IF(DRAW_ORDER=2,MIN(S65-S66-S67,MAX(0,EQ_COMMIT-R70-S66)),0)</f>
        <v>0</v>
      </c>
      <c r="T68" s="173">
        <f>IF(DRAW_ORDER=2,MIN(T65-T66-T67,MAX(0,EQ_COMMIT-S70-T66)),0)</f>
        <v>0</v>
      </c>
      <c r="U68" s="173">
        <f>IF(DRAW_ORDER=2,MIN(U65-U66-U67,MAX(0,EQ_COMMIT-T70-U66)),0)</f>
        <v>0</v>
      </c>
      <c r="V68" s="173">
        <f>IF(DRAW_ORDER=2,MIN(V65-V66-V67,MAX(0,EQ_COMMIT-U70-V66)),0)</f>
        <v>0</v>
      </c>
      <c r="W68" s="173">
        <f>IF(DRAW_ORDER=2,MIN(W65-W66-W67,MAX(0,EQ_COMMIT-V70-W66)),0)</f>
        <v>0</v>
      </c>
      <c r="X68" s="173">
        <f>IF(DRAW_ORDER=2,MIN(X65-X66-X67,MAX(0,EQ_COMMIT-W70-X66)),0)</f>
        <v>0</v>
      </c>
      <c r="Y68" s="173">
        <f>IF(DRAW_ORDER=2,MIN(Y65-Y66-Y67,MAX(0,EQ_COMMIT-X70-Y66)),0)</f>
        <v>0</v>
      </c>
      <c r="Z68" s="173">
        <f>IF(DRAW_ORDER=2,MIN(Z65-Z66-Z67,MAX(0,EQ_COMMIT-Y70-Z66)),0)</f>
        <v>0</v>
      </c>
      <c r="AA68" s="173">
        <f>IF(DRAW_ORDER=2,MIN(AA65-AA66-AA67,MAX(0,EQ_COMMIT-Z70-AA66)),0)</f>
        <v>0</v>
      </c>
      <c r="AB68" s="173">
        <f>IF(DRAW_ORDER=2,MIN(AB65-AB66-AB67,MAX(0,EQ_COMMIT-AA70-AB66)),0)</f>
        <v>0</v>
      </c>
      <c r="AC68" s="173">
        <f>IF(DRAW_ORDER=2,MIN(AC65-AC66-AC67,MAX(0,EQ_COMMIT-AB70-AC66)),0)</f>
        <v>0</v>
      </c>
      <c r="AD68" s="173">
        <f>IF(DRAW_ORDER=2,MIN(AD65-AD66-AD67,MAX(0,EQ_COMMIT-AC70-AD66)),0)</f>
        <v>0</v>
      </c>
      <c r="AE68" s="173">
        <f>IF(DRAW_ORDER=2,MIN(AE65-AE66-AE67,MAX(0,EQ_COMMIT-AD70-AE66)),0)</f>
        <v>0</v>
      </c>
      <c r="AF68" s="173">
        <f>IF(DRAW_ORDER=2,MIN(AF65-AF66-AF67,MAX(0,EQ_COMMIT-AE70-AF66)),0)</f>
        <v>0</v>
      </c>
      <c r="AG68" s="173">
        <f>IF(DRAW_ORDER=2,MIN(AG65-AG66-AG67,MAX(0,EQ_COMMIT-AF70-AG66)),0)</f>
        <v>0</v>
      </c>
      <c r="AH68" s="173">
        <f>IF(DRAW_ORDER=2,MIN(AH65-AH66-AH67,MAX(0,EQ_COMMIT-AG70-AH66)),0)</f>
        <v>0</v>
      </c>
      <c r="AI68" s="173">
        <f>IF(DRAW_ORDER=2,MIN(AI65-AI66-AI67,MAX(0,EQ_COMMIT-AH70-AI66)),0)</f>
        <v>0</v>
      </c>
      <c r="AJ68" s="173">
        <f>IF(DRAW_ORDER=2,MIN(AJ65-AJ66-AJ67,MAX(0,EQ_COMMIT-AI70-AJ66)),0)</f>
        <v>0</v>
      </c>
      <c r="AK68" s="173">
        <f>IF(DRAW_ORDER=2,MIN(AK65-AK66-AK67,MAX(0,EQ_COMMIT-AJ70-AK66)),0)</f>
        <v>0</v>
      </c>
      <c r="AL68" s="173">
        <f>IF(DRAW_ORDER=2,MIN(AL65-AL66-AL67,MAX(0,EQ_COMMIT-AK70-AL66)),0)</f>
        <v>0</v>
      </c>
      <c r="AM68" s="173">
        <f>IF(DRAW_ORDER=2,MIN(AM65-AM66-AM67,MAX(0,EQ_COMMIT-AL70-AM66)),0)</f>
        <v>0</v>
      </c>
      <c r="AN68" s="173">
        <f>IF(DRAW_ORDER=2,MIN(AN65-AN66-AN67,MAX(0,EQ_COMMIT-AM70-AN66)),0)</f>
        <v>0</v>
      </c>
      <c r="AO68" s="173">
        <f>IF(DRAW_ORDER=2,MIN(AO65-AO66-AO67,MAX(0,EQ_COMMIT-AN70-AO66)),0)</f>
        <v>0</v>
      </c>
      <c r="AP68" s="173">
        <f>IF(DRAW_ORDER=2,MIN(AP65-AP66-AP67,MAX(0,EQ_COMMIT-AO70-AP66)),0)</f>
        <v>0</v>
      </c>
      <c r="AQ68" s="173">
        <f>IF(DRAW_ORDER=2,MIN(AQ65-AQ66-AQ67,MAX(0,EQ_COMMIT-AP70-AQ66)),0)</f>
        <v>0</v>
      </c>
      <c r="AR68" s="173">
        <f>IF(DRAW_ORDER=2,MIN(AR65-AR66-AR67,MAX(0,EQ_COMMIT-AQ70-AR66)),0)</f>
        <v>0</v>
      </c>
      <c r="AS68" s="173">
        <f>IF(DRAW_ORDER=2,MIN(AS65-AS66-AS67,MAX(0,EQ_COMMIT-AR70-AS66)),0)</f>
        <v>0</v>
      </c>
      <c r="AT68" s="173">
        <f>IF(DRAW_ORDER=2,MIN(AT65-AT66-AT67,MAX(0,EQ_COMMIT-AS70-AT66)),0)</f>
        <v>0</v>
      </c>
      <c r="AU68" s="173">
        <f>IF(DRAW_ORDER=2,MIN(AU65-AU66-AU67,MAX(0,EQ_COMMIT-AT70-AU66)),0)</f>
        <v>0</v>
      </c>
      <c r="AV68" s="173">
        <f>IF(DRAW_ORDER=2,MIN(AV65-AV66-AV67,MAX(0,EQ_COMMIT-AU70-AV66)),0)</f>
        <v>0</v>
      </c>
      <c r="AW68" s="173">
        <f>IF(DRAW_ORDER=2,MIN(AW65-AW66-AW67,MAX(0,EQ_COMMIT-AV70-AW66)),0)</f>
        <v>0</v>
      </c>
      <c r="AX68" s="173">
        <f>IF(DRAW_ORDER=2,MIN(AX65-AX66-AX67,MAX(0,EQ_COMMIT-AW70-AX66)),0)</f>
        <v>0</v>
      </c>
      <c r="AY68" s="173">
        <f>IF(DRAW_ORDER=2,MIN(AY65-AY66-AY67,MAX(0,EQ_COMMIT-AX70-AY66)),0)</f>
        <v>0</v>
      </c>
      <c r="AZ68" s="173">
        <f>IF(DRAW_ORDER=2,MIN(AZ65-AZ66-AZ67,MAX(0,EQ_COMMIT-AY70-AZ66)),0)</f>
        <v>0</v>
      </c>
    </row>
    <row r="69">
      <c r="B69" s="36" t="inlineStr">
        <is>
          <t>(4) Sponsor top-up / funding gap</t>
        </is>
      </c>
      <c r="C69" s="117" t="inlineStr">
        <is>
          <t>ETB</t>
        </is>
      </c>
      <c r="D69" s="169">
        <f>SUM(E69:AZ69)</f>
        <v>0</v>
      </c>
      <c r="E69" s="173">
        <f>E65-E66-E67-E68</f>
        <v>0</v>
      </c>
      <c r="F69" s="173">
        <f>F65-F66-F67-F68</f>
        <v>0</v>
      </c>
      <c r="G69" s="173">
        <f>G65-G66-G67-G68</f>
        <v>0</v>
      </c>
      <c r="H69" s="173">
        <f>H65-H66-H67-H68</f>
        <v>0</v>
      </c>
      <c r="I69" s="173">
        <f>I65-I66-I67-I68</f>
        <v>0</v>
      </c>
      <c r="J69" s="173">
        <f>J65-J66-J67-J68</f>
        <v>0</v>
      </c>
      <c r="K69" s="173">
        <f>K65-K66-K67-K68</f>
        <v>0</v>
      </c>
      <c r="L69" s="173">
        <f>L65-L66-L67-L68</f>
        <v>0</v>
      </c>
      <c r="M69" s="173">
        <f>M65-M66-M67-M68</f>
        <v>0</v>
      </c>
      <c r="N69" s="173">
        <f>N65-N66-N67-N68</f>
        <v>0</v>
      </c>
      <c r="O69" s="173">
        <f>O65-O66-O67-O68</f>
        <v>0</v>
      </c>
      <c r="P69" s="173">
        <f>P65-P66-P67-P68</f>
        <v>0</v>
      </c>
      <c r="Q69" s="173">
        <f>Q65-Q66-Q67-Q68</f>
        <v>0</v>
      </c>
      <c r="R69" s="173">
        <f>R65-R66-R67-R68</f>
        <v>0</v>
      </c>
      <c r="S69" s="173">
        <f>S65-S66-S67-S68</f>
        <v>0</v>
      </c>
      <c r="T69" s="173">
        <f>T65-T66-T67-T68</f>
        <v>0</v>
      </c>
      <c r="U69" s="173">
        <f>U65-U66-U67-U68</f>
        <v>0</v>
      </c>
      <c r="V69" s="173">
        <f>V65-V66-V67-V68</f>
        <v>0</v>
      </c>
      <c r="W69" s="173">
        <f>W65-W66-W67-W68</f>
        <v>0</v>
      </c>
      <c r="X69" s="173">
        <f>X65-X66-X67-X68</f>
        <v>0</v>
      </c>
      <c r="Y69" s="173">
        <f>Y65-Y66-Y67-Y68</f>
        <v>0</v>
      </c>
      <c r="Z69" s="173">
        <f>Z65-Z66-Z67-Z68</f>
        <v>0</v>
      </c>
      <c r="AA69" s="173">
        <f>AA65-AA66-AA67-AA68</f>
        <v>0</v>
      </c>
      <c r="AB69" s="173">
        <f>AB65-AB66-AB67-AB68</f>
        <v>0</v>
      </c>
      <c r="AC69" s="173">
        <f>AC65-AC66-AC67-AC68</f>
        <v>0</v>
      </c>
      <c r="AD69" s="173">
        <f>AD65-AD66-AD67-AD68</f>
        <v>0</v>
      </c>
      <c r="AE69" s="173">
        <f>AE65-AE66-AE67-AE68</f>
        <v>0</v>
      </c>
      <c r="AF69" s="173">
        <f>AF65-AF66-AF67-AF68</f>
        <v>0</v>
      </c>
      <c r="AG69" s="173">
        <f>AG65-AG66-AG67-AG68</f>
        <v>0</v>
      </c>
      <c r="AH69" s="173">
        <f>AH65-AH66-AH67-AH68</f>
        <v>0</v>
      </c>
      <c r="AI69" s="173">
        <f>AI65-AI66-AI67-AI68</f>
        <v>0</v>
      </c>
      <c r="AJ69" s="173">
        <f>AJ65-AJ66-AJ67-AJ68</f>
        <v>0</v>
      </c>
      <c r="AK69" s="173">
        <f>AK65-AK66-AK67-AK68</f>
        <v>0</v>
      </c>
      <c r="AL69" s="173">
        <f>AL65-AL66-AL67-AL68</f>
        <v>0</v>
      </c>
      <c r="AM69" s="173">
        <f>AM65-AM66-AM67-AM68</f>
        <v>0</v>
      </c>
      <c r="AN69" s="173">
        <f>AN65-AN66-AN67-AN68</f>
        <v>0</v>
      </c>
      <c r="AO69" s="173">
        <f>AO65-AO66-AO67-AO68</f>
        <v>0</v>
      </c>
      <c r="AP69" s="173">
        <f>AP65-AP66-AP67-AP68</f>
        <v>0</v>
      </c>
      <c r="AQ69" s="173">
        <f>AQ65-AQ66-AQ67-AQ68</f>
        <v>0</v>
      </c>
      <c r="AR69" s="173">
        <f>AR65-AR66-AR67-AR68</f>
        <v>0</v>
      </c>
      <c r="AS69" s="173">
        <f>AS65-AS66-AS67-AS68</f>
        <v>0</v>
      </c>
      <c r="AT69" s="173">
        <f>AT65-AT66-AT67-AT68</f>
        <v>0</v>
      </c>
      <c r="AU69" s="173">
        <f>AU65-AU66-AU67-AU68</f>
        <v>0</v>
      </c>
      <c r="AV69" s="173">
        <f>AV65-AV66-AV67-AV68</f>
        <v>0</v>
      </c>
      <c r="AW69" s="173">
        <f>AW65-AW66-AW67-AW68</f>
        <v>0</v>
      </c>
      <c r="AX69" s="173">
        <f>AX65-AX66-AX67-AX68</f>
        <v>0</v>
      </c>
      <c r="AY69" s="173">
        <f>AY65-AY66-AY67-AY68</f>
        <v>0</v>
      </c>
      <c r="AZ69" s="173">
        <f>AZ65-AZ66-AZ67-AZ68</f>
        <v>0</v>
      </c>
    </row>
    <row r="70">
      <c r="B70" s="36" t="inlineStr">
        <is>
          <t>Cumulative committed equity drawn</t>
        </is>
      </c>
      <c r="C70" s="117" t="inlineStr">
        <is>
          <t>ETB</t>
        </is>
      </c>
      <c r="D70" s="169">
        <f>AZ70</f>
        <v>176878493.455735</v>
      </c>
      <c r="E70" s="173">
        <f>0+E66+E68</f>
        <v>27305144.9530201</v>
      </c>
      <c r="F70" s="173">
        <f>E70+F66+F68</f>
        <v>27305144.9530201</v>
      </c>
      <c r="G70" s="173">
        <f>F70+G66+G68</f>
        <v>27305144.9530201</v>
      </c>
      <c r="H70" s="173">
        <f>G70+H66+H68</f>
        <v>28407850.5337099</v>
      </c>
      <c r="I70" s="173">
        <f>H70+I66+I68</f>
        <v>31316837.8475782</v>
      </c>
      <c r="J70" s="173">
        <f>I70+J66+J68</f>
        <v>35818577.4968505</v>
      </c>
      <c r="K70" s="173">
        <f>J70+K66+K68</f>
        <v>42094511.4205489</v>
      </c>
      <c r="L70" s="173">
        <f>K70+L66+L68</f>
        <v>50294872.5088507</v>
      </c>
      <c r="M70" s="173">
        <f>L70+M66+M68</f>
        <v>60516395.3641474</v>
      </c>
      <c r="N70" s="173">
        <f>M70+N66+N68</f>
        <v>72777754.6741858</v>
      </c>
      <c r="O70" s="173">
        <f>N70+O66+O68</f>
        <v>86996036.5984128</v>
      </c>
      <c r="P70" s="173">
        <f>O70+P66+P68</f>
        <v>102968903.509016</v>
      </c>
      <c r="Q70" s="173">
        <f>P70+Q66+Q68</f>
        <v>134317696.145259</v>
      </c>
      <c r="R70" s="173">
        <f>Q70+R66+R68</f>
        <v>152695883.206742</v>
      </c>
      <c r="S70" s="173">
        <f>R70+S66+S68</f>
        <v>171514714.386862</v>
      </c>
      <c r="T70" s="173">
        <f>S70+T66+T68</f>
        <v>176878493.455735</v>
      </c>
      <c r="U70" s="173">
        <f>T70+U66+U68</f>
        <v>176878493.455735</v>
      </c>
      <c r="V70" s="173">
        <f>U70+V66+V68</f>
        <v>176878493.455735</v>
      </c>
      <c r="W70" s="173">
        <f>V70+W66+W68</f>
        <v>176878493.455735</v>
      </c>
      <c r="X70" s="173">
        <f>W70+X66+X68</f>
        <v>176878493.455735</v>
      </c>
      <c r="Y70" s="173">
        <f>X70+Y66+Y68</f>
        <v>176878493.455735</v>
      </c>
      <c r="Z70" s="173">
        <f>Y70+Z66+Z68</f>
        <v>176878493.455735</v>
      </c>
      <c r="AA70" s="173">
        <f>Z70+AA66+AA68</f>
        <v>176878493.455735</v>
      </c>
      <c r="AB70" s="173">
        <f>AA70+AB66+AB68</f>
        <v>176878493.455735</v>
      </c>
      <c r="AC70" s="173">
        <f>AB70+AC66+AC68</f>
        <v>176878493.455735</v>
      </c>
      <c r="AD70" s="173">
        <f>AC70+AD66+AD68</f>
        <v>176878493.455735</v>
      </c>
      <c r="AE70" s="173">
        <f>AD70+AE66+AE68</f>
        <v>176878493.455735</v>
      </c>
      <c r="AF70" s="173">
        <f>AE70+AF66+AF68</f>
        <v>176878493.455735</v>
      </c>
      <c r="AG70" s="173">
        <f>AF70+AG66+AG68</f>
        <v>176878493.455735</v>
      </c>
      <c r="AH70" s="173">
        <f>AG70+AH66+AH68</f>
        <v>176878493.455735</v>
      </c>
      <c r="AI70" s="173">
        <f>AH70+AI66+AI68</f>
        <v>176878493.455735</v>
      </c>
      <c r="AJ70" s="173">
        <f>AI70+AJ66+AJ68</f>
        <v>176878493.455735</v>
      </c>
      <c r="AK70" s="173">
        <f>AJ70+AK66+AK68</f>
        <v>176878493.455735</v>
      </c>
      <c r="AL70" s="173">
        <f>AK70+AL66+AL68</f>
        <v>176878493.455735</v>
      </c>
      <c r="AM70" s="173">
        <f>AL70+AM66+AM68</f>
        <v>176878493.455735</v>
      </c>
      <c r="AN70" s="173">
        <f>AM70+AN66+AN68</f>
        <v>176878493.455735</v>
      </c>
      <c r="AO70" s="173">
        <f>AN70+AO66+AO68</f>
        <v>176878493.455735</v>
      </c>
      <c r="AP70" s="173">
        <f>AO70+AP66+AP68</f>
        <v>176878493.455735</v>
      </c>
      <c r="AQ70" s="173">
        <f>AP70+AQ66+AQ68</f>
        <v>176878493.455735</v>
      </c>
      <c r="AR70" s="173">
        <f>AQ70+AR66+AR68</f>
        <v>176878493.455735</v>
      </c>
      <c r="AS70" s="173">
        <f>AR70+AS66+AS68</f>
        <v>176878493.455735</v>
      </c>
      <c r="AT70" s="173">
        <f>AS70+AT66+AT68</f>
        <v>176878493.455735</v>
      </c>
      <c r="AU70" s="173">
        <f>AT70+AU66+AU68</f>
        <v>176878493.455735</v>
      </c>
      <c r="AV70" s="173">
        <f>AU70+AV66+AV68</f>
        <v>176878493.455735</v>
      </c>
      <c r="AW70" s="173">
        <f>AV70+AW66+AW68</f>
        <v>176878493.455735</v>
      </c>
      <c r="AX70" s="173">
        <f>AW70+AX66+AX68</f>
        <v>176878493.455735</v>
      </c>
      <c r="AY70" s="173">
        <f>AX70+AY66+AY68</f>
        <v>176878493.455735</v>
      </c>
      <c r="AZ70" s="173">
        <f>AY70+AZ66+AZ68</f>
        <v>176878493.455735</v>
      </c>
    </row>
    <row r="71">
      <c r="B71" s="36" t="inlineStr">
        <is>
          <t>Cumulative debt drawn</t>
        </is>
      </c>
      <c r="C71" s="117" t="inlineStr">
        <is>
          <t>ETB</t>
        </is>
      </c>
      <c r="D71" s="169">
        <f>AZ71</f>
        <v>115614212.233574</v>
      </c>
      <c r="E71" s="173">
        <f>0+E67</f>
        <v>0</v>
      </c>
      <c r="F71" s="173">
        <f>E71+F67</f>
        <v>0</v>
      </c>
      <c r="G71" s="173">
        <f>F71+G67</f>
        <v>0</v>
      </c>
      <c r="H71" s="173">
        <f>G71+H67</f>
        <v>0</v>
      </c>
      <c r="I71" s="173">
        <f>H71+I67</f>
        <v>0</v>
      </c>
      <c r="J71" s="173">
        <f>I71+J67</f>
        <v>0</v>
      </c>
      <c r="K71" s="173">
        <f>J71+K67</f>
        <v>0</v>
      </c>
      <c r="L71" s="173">
        <f>K71+L67</f>
        <v>0</v>
      </c>
      <c r="M71" s="173">
        <f>L71+M67</f>
        <v>0</v>
      </c>
      <c r="N71" s="173">
        <f>M71+N67</f>
        <v>0</v>
      </c>
      <c r="O71" s="173">
        <f>N71+O67</f>
        <v>0</v>
      </c>
      <c r="P71" s="173">
        <f>O71+P67</f>
        <v>0</v>
      </c>
      <c r="Q71" s="173">
        <f>P71+Q67</f>
        <v>0</v>
      </c>
      <c r="R71" s="173">
        <f>Q71+R67</f>
        <v>0</v>
      </c>
      <c r="S71" s="173">
        <f>R71+S67</f>
        <v>0</v>
      </c>
      <c r="T71" s="173">
        <f>S71+T67</f>
        <v>13305568.4851602</v>
      </c>
      <c r="U71" s="173">
        <f>T71+U67</f>
        <v>31228384.6200101</v>
      </c>
      <c r="V71" s="173">
        <f>U71+V67</f>
        <v>47860362.6935181</v>
      </c>
      <c r="W71" s="173">
        <f>V71+W67</f>
        <v>62750955.1482908</v>
      </c>
      <c r="X71" s="173">
        <f>W71+X67</f>
        <v>75568532.3853272</v>
      </c>
      <c r="Y71" s="173">
        <f>X71+Y67</f>
        <v>86110525.8552257</v>
      </c>
      <c r="Z71" s="173">
        <f>Y71+Z67</f>
        <v>94297779.2188333</v>
      </c>
      <c r="AA71" s="173">
        <f>Z71+AA67</f>
        <v>100157304.518911</v>
      </c>
      <c r="AB71" s="173">
        <f>AA71+AB67</f>
        <v>103798674.069717</v>
      </c>
      <c r="AC71" s="173">
        <f>AB71+AC67</f>
        <v>115614212.233574</v>
      </c>
      <c r="AD71" s="173">
        <f>AC71+AD67</f>
        <v>115614212.233574</v>
      </c>
      <c r="AE71" s="173">
        <f>AD71+AE67</f>
        <v>115614212.233574</v>
      </c>
      <c r="AF71" s="173">
        <f>AE71+AF67</f>
        <v>115614212.233574</v>
      </c>
      <c r="AG71" s="173">
        <f>AF71+AG67</f>
        <v>115614212.233574</v>
      </c>
      <c r="AH71" s="173">
        <f>AG71+AH67</f>
        <v>115614212.233574</v>
      </c>
      <c r="AI71" s="173">
        <f>AH71+AI67</f>
        <v>115614212.233574</v>
      </c>
      <c r="AJ71" s="173">
        <f>AI71+AJ67</f>
        <v>115614212.233574</v>
      </c>
      <c r="AK71" s="173">
        <f>AJ71+AK67</f>
        <v>115614212.233574</v>
      </c>
      <c r="AL71" s="173">
        <f>AK71+AL67</f>
        <v>115614212.233574</v>
      </c>
      <c r="AM71" s="173">
        <f>AL71+AM67</f>
        <v>115614212.233574</v>
      </c>
      <c r="AN71" s="173">
        <f>AM71+AN67</f>
        <v>115614212.233574</v>
      </c>
      <c r="AO71" s="173">
        <f>AN71+AO67</f>
        <v>115614212.233574</v>
      </c>
      <c r="AP71" s="173">
        <f>AO71+AP67</f>
        <v>115614212.233574</v>
      </c>
      <c r="AQ71" s="173">
        <f>AP71+AQ67</f>
        <v>115614212.233574</v>
      </c>
      <c r="AR71" s="173">
        <f>AQ71+AR67</f>
        <v>115614212.233574</v>
      </c>
      <c r="AS71" s="173">
        <f>AR71+AS67</f>
        <v>115614212.233574</v>
      </c>
      <c r="AT71" s="173">
        <f>AS71+AT67</f>
        <v>115614212.233574</v>
      </c>
      <c r="AU71" s="173">
        <f>AT71+AU67</f>
        <v>115614212.233574</v>
      </c>
      <c r="AV71" s="173">
        <f>AU71+AV67</f>
        <v>115614212.233574</v>
      </c>
      <c r="AW71" s="173">
        <f>AV71+AW67</f>
        <v>115614212.233574</v>
      </c>
      <c r="AX71" s="173">
        <f>AW71+AX67</f>
        <v>115614212.233574</v>
      </c>
      <c r="AY71" s="173">
        <f>AX71+AY67</f>
        <v>115614212.233574</v>
      </c>
      <c r="AZ71" s="173">
        <f>AY71+AZ67</f>
        <v>115614212.233574</v>
      </c>
    </row>
    <row r="72">
      <c r="B72" s="36" t="inlineStr">
        <is>
          <t>Total equity in (incl. top-up)</t>
        </is>
      </c>
      <c r="C72" s="117" t="inlineStr">
        <is>
          <t>ETB</t>
        </is>
      </c>
      <c r="D72" s="169">
        <f>SUM(E72:AZ72)</f>
        <v>176878493.455735</v>
      </c>
      <c r="E72" s="173">
        <f>E66+E68+E69</f>
        <v>27305144.9530201</v>
      </c>
      <c r="F72" s="173">
        <f>F66+F68+F69</f>
        <v>0</v>
      </c>
      <c r="G72" s="173">
        <f>G66+G68+G69</f>
        <v>0</v>
      </c>
      <c r="H72" s="173">
        <f>H66+H68+H69</f>
        <v>1102705.58068981</v>
      </c>
      <c r="I72" s="173">
        <f>I66+I68+I69</f>
        <v>2908987.31386829</v>
      </c>
      <c r="J72" s="173">
        <f>J66+J68+J69</f>
        <v>4501739.64927235</v>
      </c>
      <c r="K72" s="173">
        <f>K66+K68+K69</f>
        <v>6275933.92369838</v>
      </c>
      <c r="L72" s="173">
        <f>L66+L68+L69</f>
        <v>8200361.08830184</v>
      </c>
      <c r="M72" s="173">
        <f>M66+M68+M69</f>
        <v>10221522.8552967</v>
      </c>
      <c r="N72" s="173">
        <f>N66+N68+N69</f>
        <v>12261359.3100384</v>
      </c>
      <c r="O72" s="173">
        <f>O66+O68+O69</f>
        <v>14218281.924227</v>
      </c>
      <c r="P72" s="173">
        <f>P66+P68+P69</f>
        <v>15972866.9106031</v>
      </c>
      <c r="Q72" s="173">
        <f>Q66+Q68+Q69</f>
        <v>31348792.636243</v>
      </c>
      <c r="R72" s="173">
        <f>R66+R68+R69</f>
        <v>18378187.0614827</v>
      </c>
      <c r="S72" s="173">
        <f>S66+S68+S69</f>
        <v>18818831.1801209</v>
      </c>
      <c r="T72" s="173">
        <f>T66+T68+T69</f>
        <v>5363779.0688729</v>
      </c>
      <c r="U72" s="173">
        <f>U66+U68+U69</f>
        <v>0</v>
      </c>
      <c r="V72" s="173">
        <f>V66+V68+V69</f>
        <v>0</v>
      </c>
      <c r="W72" s="173">
        <f>W66+W68+W69</f>
        <v>0</v>
      </c>
      <c r="X72" s="173">
        <f>X66+X68+X69</f>
        <v>0</v>
      </c>
      <c r="Y72" s="173">
        <f>Y66+Y68+Y69</f>
        <v>0</v>
      </c>
      <c r="Z72" s="173">
        <f>Z66+Z68+Z69</f>
        <v>0</v>
      </c>
      <c r="AA72" s="173">
        <f>AA66+AA68+AA69</f>
        <v>0</v>
      </c>
      <c r="AB72" s="173">
        <f>AB66+AB68+AB69</f>
        <v>0</v>
      </c>
      <c r="AC72" s="173">
        <f>AC66+AC68+AC69</f>
        <v>0</v>
      </c>
      <c r="AD72" s="173">
        <f>AD66+AD68+AD69</f>
        <v>0</v>
      </c>
      <c r="AE72" s="173">
        <f>AE66+AE68+AE69</f>
        <v>0</v>
      </c>
      <c r="AF72" s="173">
        <f>AF66+AF68+AF69</f>
        <v>0</v>
      </c>
      <c r="AG72" s="173">
        <f>AG66+AG68+AG69</f>
        <v>0</v>
      </c>
      <c r="AH72" s="173">
        <f>AH66+AH68+AH69</f>
        <v>0</v>
      </c>
      <c r="AI72" s="173">
        <f>AI66+AI68+AI69</f>
        <v>0</v>
      </c>
      <c r="AJ72" s="173">
        <f>AJ66+AJ68+AJ69</f>
        <v>0</v>
      </c>
      <c r="AK72" s="173">
        <f>AK66+AK68+AK69</f>
        <v>0</v>
      </c>
      <c r="AL72" s="173">
        <f>AL66+AL68+AL69</f>
        <v>0</v>
      </c>
      <c r="AM72" s="173">
        <f>AM66+AM68+AM69</f>
        <v>0</v>
      </c>
      <c r="AN72" s="173">
        <f>AN66+AN68+AN69</f>
        <v>0</v>
      </c>
      <c r="AO72" s="173">
        <f>AO66+AO68+AO69</f>
        <v>0</v>
      </c>
      <c r="AP72" s="173">
        <f>AP66+AP68+AP69</f>
        <v>0</v>
      </c>
      <c r="AQ72" s="173">
        <f>AQ66+AQ68+AQ69</f>
        <v>0</v>
      </c>
      <c r="AR72" s="173">
        <f>AR66+AR68+AR69</f>
        <v>0</v>
      </c>
      <c r="AS72" s="173">
        <f>AS66+AS68+AS69</f>
        <v>0</v>
      </c>
      <c r="AT72" s="173">
        <f>AT66+AT68+AT69</f>
        <v>0</v>
      </c>
      <c r="AU72" s="173">
        <f>AU66+AU68+AU69</f>
        <v>0</v>
      </c>
      <c r="AV72" s="173">
        <f>AV66+AV68+AV69</f>
        <v>0</v>
      </c>
      <c r="AW72" s="173">
        <f>AW66+AW68+AW69</f>
        <v>0</v>
      </c>
      <c r="AX72" s="173">
        <f>AX66+AX68+AX69</f>
        <v>0</v>
      </c>
      <c r="AY72" s="173">
        <f>AY66+AY68+AY69</f>
        <v>0</v>
      </c>
      <c r="AZ72" s="173">
        <f>AZ66+AZ68+AZ69</f>
        <v>0</v>
      </c>
    </row>
    <row r="73">
      <c r="B73" s="36" t="inlineStr">
        <is>
          <t>Presale cash held (pool + escrow), cumulative</t>
        </is>
      </c>
      <c r="C73" s="117" t="inlineStr">
        <is>
          <t>ETB</t>
        </is>
      </c>
      <c r="D73" s="169">
        <f>AZ73</f>
        <v>170935236.270147</v>
      </c>
      <c r="E73" s="173">
        <f>0+E55-E63</f>
        <v>515314.726840855</v>
      </c>
      <c r="F73" s="173">
        <f>E73+F55-F63</f>
        <v>1754277.81462337</v>
      </c>
      <c r="G73" s="173">
        <f>F73+G55-G63</f>
        <v>1989106.50729469</v>
      </c>
      <c r="H73" s="173">
        <f>G73+H55-H63</f>
        <v>2146955.30332544</v>
      </c>
      <c r="I73" s="173">
        <f>H73+I55-I63</f>
        <v>2747899.28102332</v>
      </c>
      <c r="J73" s="173">
        <f>I73+J55-J63</f>
        <v>3396194.63741592</v>
      </c>
      <c r="K73" s="173">
        <f>J73+K55-K63</f>
        <v>4105769.82422525</v>
      </c>
      <c r="L73" s="173">
        <f>K73+L55-L63</f>
        <v>4891836.51587756</v>
      </c>
      <c r="M73" s="173">
        <f>L73+M55-M63</f>
        <v>5770146.17881828</v>
      </c>
      <c r="N73" s="173">
        <f>M73+N55-N63</f>
        <v>6755896.44236886</v>
      </c>
      <c r="O73" s="173">
        <f>N73+O55-O63</f>
        <v>7862325.2866315</v>
      </c>
      <c r="P73" s="173">
        <f>O73+P55-P63</f>
        <v>9099123.96885984</v>
      </c>
      <c r="Q73" s="173">
        <f>P73+Q55-Q63</f>
        <v>10470898.8197743</v>
      </c>
      <c r="R73" s="173">
        <f>Q73+R55-R63</f>
        <v>11975981.3944107</v>
      </c>
      <c r="S73" s="173">
        <f>R73+S55-S63</f>
        <v>13605884.947253</v>
      </c>
      <c r="T73" s="173">
        <f>S73+T55-T63</f>
        <v>15345608.3358703</v>
      </c>
      <c r="U73" s="173">
        <f>T73+U55-U63</f>
        <v>17174809.3277584</v>
      </c>
      <c r="V73" s="173">
        <f>U73+V55-V63</f>
        <v>19069662.7253345</v>
      </c>
      <c r="W73" s="173">
        <f>V73+W55-W63</f>
        <v>21005059.5961687</v>
      </c>
      <c r="X73" s="173">
        <f>W73+X55-X63</f>
        <v>22956749.4855991</v>
      </c>
      <c r="Y73" s="173">
        <f>X73+Y55-Y63</f>
        <v>24903088.5345431</v>
      </c>
      <c r="Z73" s="173">
        <f>Y73+Z55-Z63</f>
        <v>26826196.0202692</v>
      </c>
      <c r="AA73" s="173">
        <f>Z73+AA55-AA63</f>
        <v>28712480.2018312</v>
      </c>
      <c r="AB73" s="173">
        <f>AA73+AB55-AB63</f>
        <v>30552620.0002518</v>
      </c>
      <c r="AC73" s="173">
        <f>AB73+AC55-AC63</f>
        <v>33193565.0169773</v>
      </c>
      <c r="AD73" s="173">
        <f>AC73+AD55-AD63</f>
        <v>39565193.1189544</v>
      </c>
      <c r="AE73" s="173">
        <f>AD73+AE55-AE63</f>
        <v>47596179.1929016</v>
      </c>
      <c r="AF73" s="173">
        <f>AE73+AF55-AF63</f>
        <v>57046682.8144203</v>
      </c>
      <c r="AG73" s="173">
        <f>AF73+AG55-AG63</f>
        <v>67693213.1237021</v>
      </c>
      <c r="AH73" s="173">
        <f>AG73+AH55-AH63</f>
        <v>170935236.270147</v>
      </c>
      <c r="AI73" s="173">
        <f>AH73+AI55-AI63</f>
        <v>170935236.270147</v>
      </c>
      <c r="AJ73" s="173">
        <f>AI73+AJ55-AJ63</f>
        <v>170935236.270147</v>
      </c>
      <c r="AK73" s="173">
        <f>AJ73+AK55-AK63</f>
        <v>170935236.270147</v>
      </c>
      <c r="AL73" s="173">
        <f>AK73+AL55-AL63</f>
        <v>170935236.270147</v>
      </c>
      <c r="AM73" s="173">
        <f>AL73+AM55-AM63</f>
        <v>170935236.270147</v>
      </c>
      <c r="AN73" s="173">
        <f>AM73+AN55-AN63</f>
        <v>170935236.270147</v>
      </c>
      <c r="AO73" s="173">
        <f>AN73+AO55-AO63</f>
        <v>170935236.270147</v>
      </c>
      <c r="AP73" s="173">
        <f>AO73+AP55-AP63</f>
        <v>170935236.270147</v>
      </c>
      <c r="AQ73" s="173">
        <f>AP73+AQ55-AQ63</f>
        <v>170935236.270147</v>
      </c>
      <c r="AR73" s="173">
        <f>AQ73+AR55-AR63</f>
        <v>170935236.270147</v>
      </c>
      <c r="AS73" s="173">
        <f>AR73+AS55-AS63</f>
        <v>170935236.270147</v>
      </c>
      <c r="AT73" s="173">
        <f>AS73+AT55-AT63</f>
        <v>170935236.270147</v>
      </c>
      <c r="AU73" s="173">
        <f>AT73+AU55-AU63</f>
        <v>170935236.270147</v>
      </c>
      <c r="AV73" s="173">
        <f>AU73+AV55-AV63</f>
        <v>170935236.270147</v>
      </c>
      <c r="AW73" s="173">
        <f>AV73+AW55-AW63</f>
        <v>170935236.270147</v>
      </c>
      <c r="AX73" s="173">
        <f>AW73+AX55-AX63</f>
        <v>170935236.270147</v>
      </c>
      <c r="AY73" s="173">
        <f>AX73+AY55-AY63</f>
        <v>170935236.270147</v>
      </c>
      <c r="AZ73" s="173">
        <f>AY73+AZ55-AZ63</f>
        <v>170935236.270147</v>
      </c>
    </row>
    <row r="74">
      <c r="B74" s="36" t="inlineStr">
        <is>
          <t>Sources − uses (should be 0)</t>
        </is>
      </c>
      <c r="C74" s="117" t="inlineStr">
        <is>
          <t>ETB</t>
        </is>
      </c>
      <c r="D74" s="169">
        <f>SUM(E74:AZ74)</f>
        <v>0</v>
      </c>
      <c r="E74" s="173">
        <f>E63+E72+E67-E41</f>
        <v>0</v>
      </c>
      <c r="F74" s="173">
        <f>F63+F72+F67-F41</f>
        <v>0</v>
      </c>
      <c r="G74" s="173">
        <f>G63+G72+G67-G41</f>
        <v>0</v>
      </c>
      <c r="H74" s="173">
        <f>H63+H72+H67-H41</f>
        <v>0</v>
      </c>
      <c r="I74" s="173">
        <f>I63+I72+I67-I41</f>
        <v>0</v>
      </c>
      <c r="J74" s="173">
        <f>J63+J72+J67-J41</f>
        <v>0</v>
      </c>
      <c r="K74" s="173">
        <f>K63+K72+K67-K41</f>
        <v>0</v>
      </c>
      <c r="L74" s="173">
        <f>L63+L72+L67-L41</f>
        <v>0</v>
      </c>
      <c r="M74" s="173">
        <f>M63+M72+M67-M41</f>
        <v>0</v>
      </c>
      <c r="N74" s="173">
        <f>N63+N72+N67-N41</f>
        <v>0</v>
      </c>
      <c r="O74" s="173">
        <f>O63+O72+O67-O41</f>
        <v>0</v>
      </c>
      <c r="P74" s="173">
        <f>P63+P72+P67-P41</f>
        <v>0</v>
      </c>
      <c r="Q74" s="173">
        <f>Q63+Q72+Q67-Q41</f>
        <v>0</v>
      </c>
      <c r="R74" s="173">
        <f>R63+R72+R67-R41</f>
        <v>0</v>
      </c>
      <c r="S74" s="173">
        <f>S63+S72+S67-S41</f>
        <v>0</v>
      </c>
      <c r="T74" s="173">
        <f>T63+T72+T67-T41</f>
        <v>0</v>
      </c>
      <c r="U74" s="173">
        <f>U63+U72+U67-U41</f>
        <v>0</v>
      </c>
      <c r="V74" s="173">
        <f>V63+V72+V67-V41</f>
        <v>0</v>
      </c>
      <c r="W74" s="173">
        <f>W63+W72+W67-W41</f>
        <v>0</v>
      </c>
      <c r="X74" s="173">
        <f>X63+X72+X67-X41</f>
        <v>0</v>
      </c>
      <c r="Y74" s="173">
        <f>Y63+Y72+Y67-Y41</f>
        <v>0</v>
      </c>
      <c r="Z74" s="173">
        <f>Z63+Z72+Z67-Z41</f>
        <v>0</v>
      </c>
      <c r="AA74" s="173">
        <f>AA63+AA72+AA67-AA41</f>
        <v>0</v>
      </c>
      <c r="AB74" s="173">
        <f>AB63+AB72+AB67-AB41</f>
        <v>0</v>
      </c>
      <c r="AC74" s="173">
        <f>AC63+AC72+AC67-AC41</f>
        <v>0</v>
      </c>
      <c r="AD74" s="173">
        <f>AD63+AD72+AD67-AD41</f>
        <v>0</v>
      </c>
      <c r="AE74" s="173">
        <f>AE63+AE72+AE67-AE41</f>
        <v>0</v>
      </c>
      <c r="AF74" s="173">
        <f>AF63+AF72+AF67-AF41</f>
        <v>0</v>
      </c>
      <c r="AG74" s="173">
        <f>AG63+AG72+AG67-AG41</f>
        <v>0</v>
      </c>
      <c r="AH74" s="173">
        <f>AH63+AH72+AH67-AH41</f>
        <v>0</v>
      </c>
      <c r="AI74" s="173">
        <f>AI63+AI72+AI67-AI41</f>
        <v>0</v>
      </c>
      <c r="AJ74" s="173">
        <f>AJ63+AJ72+AJ67-AJ41</f>
        <v>0</v>
      </c>
      <c r="AK74" s="173">
        <f>AK63+AK72+AK67-AK41</f>
        <v>0</v>
      </c>
      <c r="AL74" s="173">
        <f>AL63+AL72+AL67-AL41</f>
        <v>0</v>
      </c>
      <c r="AM74" s="173">
        <f>AM63+AM72+AM67-AM41</f>
        <v>0</v>
      </c>
      <c r="AN74" s="173">
        <f>AN63+AN72+AN67-AN41</f>
        <v>0</v>
      </c>
      <c r="AO74" s="173">
        <f>AO63+AO72+AO67-AO41</f>
        <v>0</v>
      </c>
      <c r="AP74" s="173">
        <f>AP63+AP72+AP67-AP41</f>
        <v>0</v>
      </c>
      <c r="AQ74" s="173">
        <f>AQ63+AQ72+AQ67-AQ41</f>
        <v>0</v>
      </c>
      <c r="AR74" s="173">
        <f>AR63+AR72+AR67-AR41</f>
        <v>0</v>
      </c>
      <c r="AS74" s="173">
        <f>AS63+AS72+AS67-AS41</f>
        <v>0</v>
      </c>
      <c r="AT74" s="173">
        <f>AT63+AT72+AT67-AT41</f>
        <v>0</v>
      </c>
      <c r="AU74" s="173">
        <f>AU63+AU72+AU67-AU41</f>
        <v>0</v>
      </c>
      <c r="AV74" s="173">
        <f>AV63+AV72+AV67-AV41</f>
        <v>0</v>
      </c>
      <c r="AW74" s="173">
        <f>AW63+AW72+AW67-AW41</f>
        <v>0</v>
      </c>
      <c r="AX74" s="173">
        <f>AX63+AX72+AX67-AX41</f>
        <v>0</v>
      </c>
      <c r="AY74" s="173">
        <f>AY63+AY72+AY67-AY41</f>
        <v>0</v>
      </c>
      <c r="AZ74" s="173">
        <f>AZ63+AZ72+AZ67-AZ41</f>
        <v>0</v>
      </c>
    </row>
    <row r="76" ht="20" customHeight="1">
      <c r="B76" s="113" t="inlineStr">
        <is>
          <t>Funding scalars</t>
        </is>
      </c>
      <c r="C76" s="37" t="inlineStr">
        <is>
          <t>የገንዘብ ማጠቃለያ</t>
        </is>
      </c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</row>
    <row r="77">
      <c r="B77" s="36" t="inlineStr">
        <is>
          <t>User profile total (construction months)</t>
        </is>
      </c>
      <c r="C77" s="117" t="inlineStr">
        <is>
          <t>%</t>
        </is>
      </c>
      <c r="D77" s="154">
        <f>SUMPRODUCT(E14:AZ14,E11:AZ11)</f>
        <v>0</v>
      </c>
    </row>
    <row r="78">
      <c r="B78" s="36" t="inlineStr">
        <is>
          <t>Funding base (need excl. IDC &amp; finance fees)</t>
        </is>
      </c>
      <c r="C78" s="117" t="inlineStr">
        <is>
          <t>ETB</t>
        </is>
      </c>
      <c r="D78" s="173">
        <f>$D$39</f>
        <v>442196233.639338</v>
      </c>
    </row>
    <row r="79">
      <c r="B79" s="36" t="inlineStr">
        <is>
          <t>Equity commitment</t>
        </is>
      </c>
      <c r="C79" s="117" t="inlineStr">
        <is>
          <t>ETB</t>
        </is>
      </c>
      <c r="D79" s="173">
        <f>IF(PROJECT_MODE=0,SAVINGS+FAMILY,EQ_PCT*FUND_BASE)</f>
        <v>176878493.455735</v>
      </c>
    </row>
    <row r="80">
      <c r="B80" s="36" t="inlineStr">
        <is>
          <t>Debt facility (cap)</t>
        </is>
      </c>
      <c r="C80" s="117" t="inlineStr">
        <is>
          <t>ETB</t>
        </is>
      </c>
      <c r="D80" s="173">
        <f>IF(PROJECT_MODE=0,HOME_LOAN,IF(LOAN_CAP&gt;0,MIN(LOAN_CAP,(1-EQ_PCT)*FUND_BASE),(1-EQ_PCT)*FUND_BASE))</f>
        <v>265317740.183603</v>
      </c>
    </row>
    <row r="81">
      <c r="B81" s="36" t="inlineStr">
        <is>
          <t>Equity share for pro-rata draws</t>
        </is>
      </c>
      <c r="C81" s="117" t="inlineStr">
        <is>
          <t>%</t>
        </is>
      </c>
      <c r="D81" s="154">
        <f>IF(EQ_COMMIT+DEBT_CAP&gt;0,EQ_COMMIT/(EQ_COMMIT+DEBT_CAP),1)</f>
        <v>0.4</v>
      </c>
    </row>
    <row r="82">
      <c r="B82" s="36" t="inlineStr">
        <is>
          <t>Peak cumulative funding requirement</t>
        </is>
      </c>
      <c r="C82" s="117" t="inlineStr">
        <is>
          <t>ETB</t>
        </is>
      </c>
      <c r="D82" s="172">
        <f>$D$42</f>
        <v>448995326.015986</v>
      </c>
    </row>
    <row r="83">
      <c r="B83" s="36" t="inlineStr">
        <is>
          <t>Equity drawn (committed)</t>
        </is>
      </c>
      <c r="C83" s="117" t="inlineStr">
        <is>
          <t>ETB</t>
        </is>
      </c>
      <c r="D83" s="173">
        <f>$D$70</f>
        <v>176878493.455735</v>
      </c>
    </row>
    <row r="84">
      <c r="B84" s="36" t="inlineStr">
        <is>
          <t>Debt drawn</t>
        </is>
      </c>
      <c r="C84" s="117" t="inlineStr">
        <is>
          <t>ETB</t>
        </is>
      </c>
      <c r="D84" s="173">
        <f>$D$71</f>
        <v>115614212.233574</v>
      </c>
    </row>
    <row r="85">
      <c r="B85" s="36" t="inlineStr">
        <is>
          <t>Sponsor top-up / funding gap</t>
        </is>
      </c>
      <c r="C85" s="117" t="inlineStr">
        <is>
          <t>ETB</t>
        </is>
      </c>
      <c r="D85" s="172">
        <f>$D$69</f>
        <v>0</v>
      </c>
    </row>
    <row r="86">
      <c r="B86" s="36" t="inlineStr">
        <is>
          <t>Presale cash used for construction</t>
        </is>
      </c>
      <c r="C86" s="117" t="inlineStr">
        <is>
          <t>ETB</t>
        </is>
      </c>
      <c r="D86" s="173">
        <f>$D$63</f>
        <v>156502620.326677</v>
      </c>
    </row>
    <row r="87">
      <c r="B87" s="36" t="inlineStr">
        <is>
          <t>Handover collections at completion</t>
        </is>
      </c>
      <c r="C87" s="117" t="inlineStr">
        <is>
          <t>ETB</t>
        </is>
      </c>
      <c r="D87" s="173">
        <f>$D$54</f>
        <v>98231356.9790472</v>
      </c>
    </row>
    <row r="88">
      <c r="B88" s="36" t="inlineStr">
        <is>
          <t>Total retention withheld</t>
        </is>
      </c>
      <c r="C88" s="117" t="inlineStr">
        <is>
          <t>ETB</t>
        </is>
      </c>
      <c r="D88" s="173">
        <f>$D$33</f>
        <v>15966117.4361199</v>
      </c>
    </row>
    <row r="89">
      <c r="B89" s="36" t="inlineStr">
        <is>
          <t>Land paid in cash in month 1</t>
        </is>
      </c>
      <c r="C89" s="117" t="inlineStr">
        <is>
          <t>ETB</t>
        </is>
      </c>
      <c r="D89" s="173">
        <f>$D$34</f>
        <v>15000000</v>
      </c>
    </row>
    <row r="90">
      <c r="B90" s="36" t="inlineStr">
        <is>
          <t>Sources − uses (should be 0)</t>
        </is>
      </c>
      <c r="C90" s="117" t="inlineStr">
        <is>
          <t>ETB</t>
        </is>
      </c>
      <c r="D90" s="173">
        <f>$D$74</f>
        <v>0</v>
      </c>
    </row>
  </sheetData>
  <printOptions horizontalCentered="1"/>
  <pageMargins left="0.4" right="0.4" top="0.6" bottom="0.6" header="0.5" footer="0.5"/>
  <pageSetup orientation="landscape" paperSize="9" fitToHeight="0" fitToWidth="4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6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24 · Revenue – sales, rent, other income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ገቢ – ሽያጭ፣ ኪራይና ሌሎች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Presale bands (effective after scenario, capped at 100%)</t>
        </is>
      </c>
      <c r="C10" s="37" t="inlineStr">
        <is>
          <t>የቅድመ-ሽያጭ ድርሻ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Presale band 1 – raw</t>
        </is>
      </c>
      <c r="C11" s="117" t="inlineStr">
        <is>
          <t>%</t>
        </is>
      </c>
      <c r="D11" s="154">
        <f>PRESALE_1*D_PRESALE_F*IF('20_Timeline'!E15&gt;0,1,0)</f>
        <v>0.25</v>
      </c>
    </row>
    <row r="12">
      <c r="B12" s="36" t="inlineStr">
        <is>
          <t>Presale band 2 – raw</t>
        </is>
      </c>
      <c r="C12" s="117" t="inlineStr">
        <is>
          <t>%</t>
        </is>
      </c>
      <c r="D12" s="154">
        <f>PRESALE_2*D_PRESALE_F*IF('20_Timeline'!F15&gt;0,1,0)</f>
        <v>0.25</v>
      </c>
    </row>
    <row r="13">
      <c r="B13" s="36" t="inlineStr">
        <is>
          <t>Presale band 3 – raw</t>
        </is>
      </c>
      <c r="C13" s="117" t="inlineStr">
        <is>
          <t>%</t>
        </is>
      </c>
      <c r="D13" s="154">
        <f>PRESALE_3*D_PRESALE_F*IF('20_Timeline'!G15&gt;0,1,0)</f>
        <v>0.2</v>
      </c>
    </row>
    <row r="14">
      <c r="B14" s="36" t="inlineStr">
        <is>
          <t>Presale band 4 – raw</t>
        </is>
      </c>
      <c r="C14" s="117" t="inlineStr">
        <is>
          <t>%</t>
        </is>
      </c>
      <c r="D14" s="154">
        <f>PRESALE_4*D_PRESALE_F*IF('20_Timeline'!H15&gt;0,1,0)</f>
        <v>0</v>
      </c>
    </row>
    <row r="15">
      <c r="B15" s="36" t="inlineStr">
        <is>
          <t>Presales raw total</t>
        </is>
      </c>
      <c r="C15" s="117" t="inlineStr">
        <is>
          <t>%</t>
        </is>
      </c>
      <c r="D15" s="154">
        <f>SUM(D11:D14)</f>
        <v>0.7</v>
      </c>
    </row>
    <row r="16">
      <c r="B16" s="36" t="inlineStr">
        <is>
          <t>Presale band 1 – effective</t>
        </is>
      </c>
      <c r="C16" s="117" t="inlineStr">
        <is>
          <t>%</t>
        </is>
      </c>
      <c r="D16" s="154">
        <f>D11*IF(D15&gt;1,1/D15,1)</f>
        <v>0.25</v>
      </c>
    </row>
    <row r="17">
      <c r="B17" s="36" t="inlineStr">
        <is>
          <t>Presale band 2 – effective</t>
        </is>
      </c>
      <c r="C17" s="117" t="inlineStr">
        <is>
          <t>%</t>
        </is>
      </c>
      <c r="D17" s="154">
        <f>D12*IF(D15&gt;1,1/D15,1)</f>
        <v>0.25</v>
      </c>
    </row>
    <row r="18">
      <c r="B18" s="36" t="inlineStr">
        <is>
          <t>Presale band 3 – effective</t>
        </is>
      </c>
      <c r="C18" s="117" t="inlineStr">
        <is>
          <t>%</t>
        </is>
      </c>
      <c r="D18" s="154">
        <f>D13*IF(D15&gt;1,1/D15,1)</f>
        <v>0.2</v>
      </c>
    </row>
    <row r="19">
      <c r="B19" s="36" t="inlineStr">
        <is>
          <t>Presale band 4 – effective</t>
        </is>
      </c>
      <c r="C19" s="117" t="inlineStr">
        <is>
          <t>%</t>
        </is>
      </c>
      <c r="D19" s="154">
        <f>D14*IF(D15&gt;1,1/D15,1)</f>
        <v>0</v>
      </c>
    </row>
    <row r="20">
      <c r="B20" s="36" t="inlineStr">
        <is>
          <t>Total presold share</t>
        </is>
      </c>
      <c r="C20" s="117" t="inlineStr">
        <is>
          <t>%</t>
        </is>
      </c>
      <c r="D20" s="154">
        <f>SUM(PS_EFF)</f>
        <v>0.7</v>
      </c>
    </row>
    <row r="21">
      <c r="B21" s="36" t="inlineStr">
        <is>
          <t>Unsold area at completion</t>
        </is>
      </c>
      <c r="C21" s="117" t="inlineStr">
        <is>
          <t>m²</t>
        </is>
      </c>
      <c r="D21" s="173">
        <f>SALE_AREA*(1-PRESOLD)</f>
        <v>1008</v>
      </c>
    </row>
    <row r="22">
      <c r="B22" s="36" t="inlineStr">
        <is>
          <t>Absorption O1 – effective</t>
        </is>
      </c>
      <c r="C22" s="117" t="inlineStr">
        <is>
          <t>%</t>
        </is>
      </c>
      <c r="D22" s="154">
        <f>MIN(1,ABS_1*ABS_F)</f>
        <v>0.6</v>
      </c>
    </row>
    <row r="23">
      <c r="B23" s="36" t="inlineStr">
        <is>
          <t>Absorption O2 – effective</t>
        </is>
      </c>
      <c r="C23" s="117" t="inlineStr">
        <is>
          <t>%</t>
        </is>
      </c>
      <c r="D23" s="154">
        <f>MIN(1,ABS_2*ABS_F)</f>
        <v>0.4</v>
      </c>
    </row>
    <row r="24">
      <c r="B24" s="36" t="inlineStr">
        <is>
          <t>Absorption O3 – effective</t>
        </is>
      </c>
      <c r="C24" s="117" t="inlineStr">
        <is>
          <t>%</t>
        </is>
      </c>
      <c r="D24" s="154">
        <f>MIN(1,ABS_3*ABS_F)</f>
        <v>0</v>
      </c>
    </row>
    <row r="25">
      <c r="B25" s="36" t="inlineStr">
        <is>
          <t>Absorption O4 – effective</t>
        </is>
      </c>
      <c r="C25" s="117" t="inlineStr">
        <is>
          <t>%</t>
        </is>
      </c>
      <c r="D25" s="154">
        <f>MIN(1,ABS_4*ABS_F)</f>
        <v>0</v>
      </c>
    </row>
    <row r="27" ht="20" customHeight="1">
      <c r="B27" s="113" t="inlineStr">
        <is>
          <t>Sales – presales (from monthly sheet)</t>
        </is>
      </c>
      <c r="C27" s="37" t="inlineStr">
        <is>
          <t>ቅድመ-ሽያጭ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Area presold</t>
        </is>
      </c>
      <c r="C28" s="117" t="inlineStr">
        <is>
          <t>m²</t>
        </is>
      </c>
      <c r="D28" s="169">
        <f>SUM(E28:R28)</f>
        <v>2352</v>
      </c>
      <c r="E28" s="173">
        <f>SUMIFS('23_Construction'!$E$46:$AZ$46,'23_Construction'!$E$12:$AZ$12,'20_Timeline'!E11)</f>
        <v>840</v>
      </c>
      <c r="F28" s="173">
        <f>SUMIFS('23_Construction'!$E$46:$AZ$46,'23_Construction'!$E$12:$AZ$12,'20_Timeline'!F11)</f>
        <v>840</v>
      </c>
      <c r="G28" s="173">
        <f>SUMIFS('23_Construction'!$E$46:$AZ$46,'23_Construction'!$E$12:$AZ$12,'20_Timeline'!G11)</f>
        <v>672</v>
      </c>
      <c r="H28" s="173">
        <f>SUMIFS('23_Construction'!$E$46:$AZ$46,'23_Construction'!$E$12:$AZ$12,'20_Timeline'!H11)</f>
        <v>0</v>
      </c>
      <c r="I28" s="173">
        <f>SUMIFS('23_Construction'!$E$46:$AZ$46,'23_Construction'!$E$12:$AZ$12,'20_Timeline'!I11)</f>
        <v>0</v>
      </c>
      <c r="J28" s="173">
        <f>SUMIFS('23_Construction'!$E$46:$AZ$46,'23_Construction'!$E$12:$AZ$12,'20_Timeline'!J11)</f>
        <v>0</v>
      </c>
      <c r="K28" s="173">
        <f>SUMIFS('23_Construction'!$E$46:$AZ$46,'23_Construction'!$E$12:$AZ$12,'20_Timeline'!K11)</f>
        <v>0</v>
      </c>
      <c r="L28" s="173">
        <f>SUMIFS('23_Construction'!$E$46:$AZ$46,'23_Construction'!$E$12:$AZ$12,'20_Timeline'!L11)</f>
        <v>0</v>
      </c>
      <c r="M28" s="173">
        <f>SUMIFS('23_Construction'!$E$46:$AZ$46,'23_Construction'!$E$12:$AZ$12,'20_Timeline'!M11)</f>
        <v>0</v>
      </c>
      <c r="N28" s="173">
        <f>SUMIFS('23_Construction'!$E$46:$AZ$46,'23_Construction'!$E$12:$AZ$12,'20_Timeline'!N11)</f>
        <v>0</v>
      </c>
      <c r="O28" s="173">
        <f>SUMIFS('23_Construction'!$E$46:$AZ$46,'23_Construction'!$E$12:$AZ$12,'20_Timeline'!O11)</f>
        <v>0</v>
      </c>
      <c r="P28" s="173">
        <f>SUMIFS('23_Construction'!$E$46:$AZ$46,'23_Construction'!$E$12:$AZ$12,'20_Timeline'!P11)</f>
        <v>0</v>
      </c>
      <c r="Q28" s="173">
        <f>SUMIFS('23_Construction'!$E$46:$AZ$46,'23_Construction'!$E$12:$AZ$12,'20_Timeline'!Q11)</f>
        <v>0</v>
      </c>
      <c r="R28" s="173">
        <f>SUMIFS('23_Construction'!$E$46:$AZ$46,'23_Construction'!$E$12:$AZ$12,'20_Timeline'!R11)</f>
        <v>0</v>
      </c>
    </row>
    <row r="29">
      <c r="B29" s="36" t="inlineStr">
        <is>
          <t>Contract value signed</t>
        </is>
      </c>
      <c r="C29" s="117" t="inlineStr">
        <is>
          <t>ETB</t>
        </is>
      </c>
      <c r="D29" s="169">
        <f>SUM(E29:R29)</f>
        <v>327437856.596824</v>
      </c>
      <c r="E29" s="173">
        <f>SUMIFS('23_Construction'!$E$48:$AZ$48,'23_Construction'!$E$12:$AZ$12,'20_Timeline'!E11)</f>
        <v>107535101.450162</v>
      </c>
      <c r="F29" s="173">
        <f>SUMIFS('23_Construction'!$E$48:$AZ$48,'23_Construction'!$E$12:$AZ$12,'20_Timeline'!F11)</f>
        <v>118288611.595178</v>
      </c>
      <c r="G29" s="173">
        <f>SUMIFS('23_Construction'!$E$48:$AZ$48,'23_Construction'!$E$12:$AZ$12,'20_Timeline'!G11)</f>
        <v>101614143.551484</v>
      </c>
      <c r="H29" s="173">
        <f>SUMIFS('23_Construction'!$E$48:$AZ$48,'23_Construction'!$E$12:$AZ$12,'20_Timeline'!H11)</f>
        <v>0</v>
      </c>
      <c r="I29" s="173">
        <f>SUMIFS('23_Construction'!$E$48:$AZ$48,'23_Construction'!$E$12:$AZ$12,'20_Timeline'!I11)</f>
        <v>0</v>
      </c>
      <c r="J29" s="173">
        <f>SUMIFS('23_Construction'!$E$48:$AZ$48,'23_Construction'!$E$12:$AZ$12,'20_Timeline'!J11)</f>
        <v>0</v>
      </c>
      <c r="K29" s="173">
        <f>SUMIFS('23_Construction'!$E$48:$AZ$48,'23_Construction'!$E$12:$AZ$12,'20_Timeline'!K11)</f>
        <v>0</v>
      </c>
      <c r="L29" s="173">
        <f>SUMIFS('23_Construction'!$E$48:$AZ$48,'23_Construction'!$E$12:$AZ$12,'20_Timeline'!L11)</f>
        <v>0</v>
      </c>
      <c r="M29" s="173">
        <f>SUMIFS('23_Construction'!$E$48:$AZ$48,'23_Construction'!$E$12:$AZ$12,'20_Timeline'!M11)</f>
        <v>0</v>
      </c>
      <c r="N29" s="173">
        <f>SUMIFS('23_Construction'!$E$48:$AZ$48,'23_Construction'!$E$12:$AZ$12,'20_Timeline'!N11)</f>
        <v>0</v>
      </c>
      <c r="O29" s="173">
        <f>SUMIFS('23_Construction'!$E$48:$AZ$48,'23_Construction'!$E$12:$AZ$12,'20_Timeline'!O11)</f>
        <v>0</v>
      </c>
      <c r="P29" s="173">
        <f>SUMIFS('23_Construction'!$E$48:$AZ$48,'23_Construction'!$E$12:$AZ$12,'20_Timeline'!P11)</f>
        <v>0</v>
      </c>
      <c r="Q29" s="173">
        <f>SUMIFS('23_Construction'!$E$48:$AZ$48,'23_Construction'!$E$12:$AZ$12,'20_Timeline'!Q11)</f>
        <v>0</v>
      </c>
      <c r="R29" s="173">
        <f>SUMIFS('23_Construction'!$E$48:$AZ$48,'23_Construction'!$E$12:$AZ$12,'20_Timeline'!R11)</f>
        <v>0</v>
      </c>
    </row>
    <row r="30">
      <c r="B30" s="36" t="inlineStr">
        <is>
          <t>Presale collections</t>
        </is>
      </c>
      <c r="C30" s="117" t="inlineStr">
        <is>
          <t>ETB</t>
        </is>
      </c>
      <c r="D30" s="169">
        <f>SUM(E30:R30)</f>
        <v>327437856.596824</v>
      </c>
      <c r="E30" s="173">
        <f>SUMIFS('23_Construction'!$E$55:$AZ$55,'23_Construction'!$E$12:$AZ$12,'20_Timeline'!E11)</f>
        <v>45495619.8442992</v>
      </c>
      <c r="F30" s="173">
        <f>SUMIFS('23_Construction'!$E$55:$AZ$55,'23_Construction'!$E$12:$AZ$12,'20_Timeline'!F11)</f>
        <v>107267480.15696</v>
      </c>
      <c r="G30" s="173">
        <f>SUMIFS('23_Construction'!$E$55:$AZ$55,'23_Construction'!$E$12:$AZ$12,'20_Timeline'!G11)</f>
        <v>174674756.595565</v>
      </c>
      <c r="H30" s="173">
        <f>SUMIFS('23_Construction'!$E$55:$AZ$55,'23_Construction'!$E$12:$AZ$12,'20_Timeline'!H11)</f>
        <v>0</v>
      </c>
      <c r="I30" s="173">
        <f>SUMIFS('23_Construction'!$E$55:$AZ$55,'23_Construction'!$E$12:$AZ$12,'20_Timeline'!I11)</f>
        <v>0</v>
      </c>
      <c r="J30" s="173">
        <f>SUMIFS('23_Construction'!$E$55:$AZ$55,'23_Construction'!$E$12:$AZ$12,'20_Timeline'!J11)</f>
        <v>0</v>
      </c>
      <c r="K30" s="173">
        <f>SUMIFS('23_Construction'!$E$55:$AZ$55,'23_Construction'!$E$12:$AZ$12,'20_Timeline'!K11)</f>
        <v>0</v>
      </c>
      <c r="L30" s="173">
        <f>SUMIFS('23_Construction'!$E$55:$AZ$55,'23_Construction'!$E$12:$AZ$12,'20_Timeline'!L11)</f>
        <v>0</v>
      </c>
      <c r="M30" s="173">
        <f>SUMIFS('23_Construction'!$E$55:$AZ$55,'23_Construction'!$E$12:$AZ$12,'20_Timeline'!M11)</f>
        <v>0</v>
      </c>
      <c r="N30" s="173">
        <f>SUMIFS('23_Construction'!$E$55:$AZ$55,'23_Construction'!$E$12:$AZ$12,'20_Timeline'!N11)</f>
        <v>0</v>
      </c>
      <c r="O30" s="173">
        <f>SUMIFS('23_Construction'!$E$55:$AZ$55,'23_Construction'!$E$12:$AZ$12,'20_Timeline'!O11)</f>
        <v>0</v>
      </c>
      <c r="P30" s="173">
        <f>SUMIFS('23_Construction'!$E$55:$AZ$55,'23_Construction'!$E$12:$AZ$12,'20_Timeline'!P11)</f>
        <v>0</v>
      </c>
      <c r="Q30" s="173">
        <f>SUMIFS('23_Construction'!$E$55:$AZ$55,'23_Construction'!$E$12:$AZ$12,'20_Timeline'!Q11)</f>
        <v>0</v>
      </c>
      <c r="R30" s="173">
        <f>SUMIFS('23_Construction'!$E$55:$AZ$55,'23_Construction'!$E$12:$AZ$12,'20_Timeline'!R11)</f>
        <v>0</v>
      </c>
    </row>
    <row r="31">
      <c r="B31" s="36" t="inlineStr">
        <is>
          <t>Presale revenue recognised</t>
        </is>
      </c>
      <c r="C31" s="117" t="inlineStr">
        <is>
          <t>ETB</t>
        </is>
      </c>
      <c r="D31" s="169">
        <f>SUM(E31:R31)</f>
        <v>327437856.596824</v>
      </c>
      <c r="E31" s="173">
        <f>SUMIFS('23_Construction'!$E$57:$AZ$57,'23_Construction'!$E$12:$AZ$12,'20_Timeline'!E11)</f>
        <v>0</v>
      </c>
      <c r="F31" s="173">
        <f>SUMIFS('23_Construction'!$E$57:$AZ$57,'23_Construction'!$E$12:$AZ$12,'20_Timeline'!F11)</f>
        <v>0</v>
      </c>
      <c r="G31" s="173">
        <f>SUMIFS('23_Construction'!$E$57:$AZ$57,'23_Construction'!$E$12:$AZ$12,'20_Timeline'!G11)</f>
        <v>327437856.596824</v>
      </c>
      <c r="H31" s="173">
        <f>SUMIFS('23_Construction'!$E$57:$AZ$57,'23_Construction'!$E$12:$AZ$12,'20_Timeline'!H11)</f>
        <v>0</v>
      </c>
      <c r="I31" s="173">
        <f>SUMIFS('23_Construction'!$E$57:$AZ$57,'23_Construction'!$E$12:$AZ$12,'20_Timeline'!I11)</f>
        <v>0</v>
      </c>
      <c r="J31" s="173">
        <f>SUMIFS('23_Construction'!$E$57:$AZ$57,'23_Construction'!$E$12:$AZ$12,'20_Timeline'!J11)</f>
        <v>0</v>
      </c>
      <c r="K31" s="173">
        <f>SUMIFS('23_Construction'!$E$57:$AZ$57,'23_Construction'!$E$12:$AZ$12,'20_Timeline'!K11)</f>
        <v>0</v>
      </c>
      <c r="L31" s="173">
        <f>SUMIFS('23_Construction'!$E$57:$AZ$57,'23_Construction'!$E$12:$AZ$12,'20_Timeline'!L11)</f>
        <v>0</v>
      </c>
      <c r="M31" s="173">
        <f>SUMIFS('23_Construction'!$E$57:$AZ$57,'23_Construction'!$E$12:$AZ$12,'20_Timeline'!M11)</f>
        <v>0</v>
      </c>
      <c r="N31" s="173">
        <f>SUMIFS('23_Construction'!$E$57:$AZ$57,'23_Construction'!$E$12:$AZ$12,'20_Timeline'!N11)</f>
        <v>0</v>
      </c>
      <c r="O31" s="173">
        <f>SUMIFS('23_Construction'!$E$57:$AZ$57,'23_Construction'!$E$12:$AZ$12,'20_Timeline'!O11)</f>
        <v>0</v>
      </c>
      <c r="P31" s="173">
        <f>SUMIFS('23_Construction'!$E$57:$AZ$57,'23_Construction'!$E$12:$AZ$12,'20_Timeline'!P11)</f>
        <v>0</v>
      </c>
      <c r="Q31" s="173">
        <f>SUMIFS('23_Construction'!$E$57:$AZ$57,'23_Construction'!$E$12:$AZ$12,'20_Timeline'!Q11)</f>
        <v>0</v>
      </c>
      <c r="R31" s="173">
        <f>SUMIFS('23_Construction'!$E$57:$AZ$57,'23_Construction'!$E$12:$AZ$12,'20_Timeline'!R11)</f>
        <v>0</v>
      </c>
    </row>
    <row r="32">
      <c r="B32" s="36" t="inlineStr">
        <is>
          <t>Presale cost of sales</t>
        </is>
      </c>
      <c r="C32" s="117" t="inlineStr">
        <is>
          <t>ETB</t>
        </is>
      </c>
      <c r="D32" s="169">
        <f>SUM(E32:R32)</f>
        <v>290067936.055125</v>
      </c>
      <c r="E32" s="173">
        <f>SUMIFS('23_Construction'!$E$59:$AZ$59,'23_Construction'!$E$12:$AZ$12,'20_Timeline'!E11)</f>
        <v>0</v>
      </c>
      <c r="F32" s="173">
        <f>SUMIFS('23_Construction'!$E$59:$AZ$59,'23_Construction'!$E$12:$AZ$12,'20_Timeline'!F11)</f>
        <v>0</v>
      </c>
      <c r="G32" s="173">
        <f>SUMIFS('23_Construction'!$E$59:$AZ$59,'23_Construction'!$E$12:$AZ$12,'20_Timeline'!G11)</f>
        <v>290067936.055125</v>
      </c>
      <c r="H32" s="173">
        <f>SUMIFS('23_Construction'!$E$59:$AZ$59,'23_Construction'!$E$12:$AZ$12,'20_Timeline'!H11)</f>
        <v>0</v>
      </c>
      <c r="I32" s="173">
        <f>SUMIFS('23_Construction'!$E$59:$AZ$59,'23_Construction'!$E$12:$AZ$12,'20_Timeline'!I11)</f>
        <v>0</v>
      </c>
      <c r="J32" s="173">
        <f>SUMIFS('23_Construction'!$E$59:$AZ$59,'23_Construction'!$E$12:$AZ$12,'20_Timeline'!J11)</f>
        <v>0</v>
      </c>
      <c r="K32" s="173">
        <f>SUMIFS('23_Construction'!$E$59:$AZ$59,'23_Construction'!$E$12:$AZ$12,'20_Timeline'!K11)</f>
        <v>0</v>
      </c>
      <c r="L32" s="173">
        <f>SUMIFS('23_Construction'!$E$59:$AZ$59,'23_Construction'!$E$12:$AZ$12,'20_Timeline'!L11)</f>
        <v>0</v>
      </c>
      <c r="M32" s="173">
        <f>SUMIFS('23_Construction'!$E$59:$AZ$59,'23_Construction'!$E$12:$AZ$12,'20_Timeline'!M11)</f>
        <v>0</v>
      </c>
      <c r="N32" s="173">
        <f>SUMIFS('23_Construction'!$E$59:$AZ$59,'23_Construction'!$E$12:$AZ$12,'20_Timeline'!N11)</f>
        <v>0</v>
      </c>
      <c r="O32" s="173">
        <f>SUMIFS('23_Construction'!$E$59:$AZ$59,'23_Construction'!$E$12:$AZ$12,'20_Timeline'!O11)</f>
        <v>0</v>
      </c>
      <c r="P32" s="173">
        <f>SUMIFS('23_Construction'!$E$59:$AZ$59,'23_Construction'!$E$12:$AZ$12,'20_Timeline'!P11)</f>
        <v>0</v>
      </c>
      <c r="Q32" s="173">
        <f>SUMIFS('23_Construction'!$E$59:$AZ$59,'23_Construction'!$E$12:$AZ$12,'20_Timeline'!Q11)</f>
        <v>0</v>
      </c>
      <c r="R32" s="173">
        <f>SUMIFS('23_Construction'!$E$59:$AZ$59,'23_Construction'!$E$12:$AZ$12,'20_Timeline'!R11)</f>
        <v>0</v>
      </c>
    </row>
    <row r="33" ht="20" customHeight="1">
      <c r="B33" s="113" t="inlineStr">
        <is>
          <t>Sales – after completion (point in time, cash on sale)</t>
        </is>
      </c>
      <c r="C33" s="37" t="inlineStr">
        <is>
          <t>ከግንባታ በኋላ ሽያጭ</t>
        </is>
      </c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</row>
    <row r="34">
      <c r="B34" s="36" t="inlineStr">
        <is>
          <t>Area sold</t>
        </is>
      </c>
      <c r="C34" s="117" t="inlineStr">
        <is>
          <t>m²</t>
        </is>
      </c>
      <c r="D34" s="169">
        <f>SUM(E34:R34)</f>
        <v>1008</v>
      </c>
      <c r="E34" s="173" t="n">
        <v>0</v>
      </c>
      <c r="F34" s="173" t="n">
        <v>0</v>
      </c>
      <c r="G34" s="173" t="n">
        <v>0</v>
      </c>
      <c r="H34" s="173" t="n">
        <v>0</v>
      </c>
      <c r="I34" s="173">
        <f>MIN(UNSOLD_AREA,UNSOLD_AREA*$D$22)</f>
        <v>604.8</v>
      </c>
      <c r="J34" s="173">
        <f>MIN(I35,UNSOLD_AREA*$D$23)</f>
        <v>403.2</v>
      </c>
      <c r="K34" s="173">
        <f>MIN(J35,UNSOLD_AREA*$D$24)</f>
        <v>0</v>
      </c>
      <c r="L34" s="173">
        <f>MIN(K35,UNSOLD_AREA*$D$25)</f>
        <v>0</v>
      </c>
      <c r="M34" s="170">
        <f>L35</f>
        <v>0</v>
      </c>
      <c r="N34" s="173" t="n">
        <v>0</v>
      </c>
      <c r="O34" s="173" t="n">
        <v>0</v>
      </c>
      <c r="P34" s="173" t="n">
        <v>0</v>
      </c>
      <c r="Q34" s="173" t="n">
        <v>0</v>
      </c>
      <c r="R34" s="173" t="n">
        <v>0</v>
      </c>
    </row>
    <row r="35">
      <c r="B35" s="36" t="inlineStr">
        <is>
          <t>Unsold area remaining</t>
        </is>
      </c>
      <c r="C35" s="117" t="inlineStr">
        <is>
          <t>m²</t>
        </is>
      </c>
      <c r="D35" s="169">
        <f>R35</f>
        <v>0</v>
      </c>
      <c r="E35" s="173" t="n">
        <v>0</v>
      </c>
      <c r="F35" s="173" t="n">
        <v>0</v>
      </c>
      <c r="G35" s="173" t="n">
        <v>0</v>
      </c>
      <c r="H35" s="173" t="n">
        <v>0</v>
      </c>
      <c r="I35" s="173">
        <f>UNSOLD_AREA-I34</f>
        <v>403.2</v>
      </c>
      <c r="J35" s="173">
        <f>I35-J34</f>
        <v>0</v>
      </c>
      <c r="K35" s="173">
        <f>J35-K34</f>
        <v>0</v>
      </c>
      <c r="L35" s="173">
        <f>K35-L34</f>
        <v>0</v>
      </c>
      <c r="M35" s="173">
        <f>L35-M34</f>
        <v>0</v>
      </c>
      <c r="N35" s="173">
        <f>M35-N34</f>
        <v>0</v>
      </c>
      <c r="O35" s="173">
        <f>N35-O34</f>
        <v>0</v>
      </c>
      <c r="P35" s="173">
        <f>O35-P34</f>
        <v>0</v>
      </c>
      <c r="Q35" s="173">
        <f>P35-Q34</f>
        <v>0</v>
      </c>
      <c r="R35" s="173">
        <f>Q35-R34</f>
        <v>0</v>
      </c>
    </row>
    <row r="36">
      <c r="B36" s="36" t="inlineStr">
        <is>
          <t>Sale price (escalated)</t>
        </is>
      </c>
      <c r="C36" s="117" t="inlineStr">
        <is>
          <t>ETB/m²</t>
        </is>
      </c>
      <c r="E36" s="173" t="n">
        <v>0</v>
      </c>
      <c r="F36" s="173" t="n">
        <v>0</v>
      </c>
      <c r="G36" s="173" t="n">
        <v>0</v>
      </c>
      <c r="H36" s="173" t="n">
        <v>0</v>
      </c>
      <c r="I36" s="173">
        <f>BLEND_PRICE*(1+PESC_EFF)^(CONSTR_EFF/12+'20_Timeline'!I14-0.5)</f>
        <v>166375</v>
      </c>
      <c r="J36" s="173">
        <f>BLEND_PRICE*(1+PESC_EFF)^(CONSTR_EFF/12+'20_Timeline'!J14-0.5)</f>
        <v>183012.5</v>
      </c>
      <c r="K36" s="173">
        <f>BLEND_PRICE*(1+PESC_EFF)^(CONSTR_EFF/12+'20_Timeline'!K14-0.5)</f>
        <v>201313.75</v>
      </c>
      <c r="L36" s="173">
        <f>BLEND_PRICE*(1+PESC_EFF)^(CONSTR_EFF/12+'20_Timeline'!L14-0.5)</f>
        <v>221445.125</v>
      </c>
      <c r="M36" s="173">
        <f>BLEND_PRICE*(1+PESC_EFF)^(CONSTR_EFF/12+'20_Timeline'!M14-0.5)</f>
        <v>243589.6375</v>
      </c>
      <c r="N36" s="173">
        <f>BLEND_PRICE*(1+PESC_EFF)^(CONSTR_EFF/12+'20_Timeline'!N14-0.5)</f>
        <v>267948.60125</v>
      </c>
      <c r="O36" s="173">
        <f>BLEND_PRICE*(1+PESC_EFF)^(CONSTR_EFF/12+'20_Timeline'!O14-0.5)</f>
        <v>294743.461375</v>
      </c>
      <c r="P36" s="173">
        <f>BLEND_PRICE*(1+PESC_EFF)^(CONSTR_EFF/12+'20_Timeline'!P14-0.5)</f>
        <v>324217.8075125</v>
      </c>
      <c r="Q36" s="173">
        <f>BLEND_PRICE*(1+PESC_EFF)^(CONSTR_EFF/12+'20_Timeline'!Q14-0.5)</f>
        <v>356639.58826375</v>
      </c>
      <c r="R36" s="173">
        <f>BLEND_PRICE*(1+PESC_EFF)^(CONSTR_EFF/12+'20_Timeline'!R14-0.5)</f>
        <v>392303.547090125</v>
      </c>
    </row>
    <row r="37">
      <c r="B37" s="36" t="inlineStr">
        <is>
          <t>Sales revenue = collections</t>
        </is>
      </c>
      <c r="C37" s="117" t="inlineStr">
        <is>
          <t>ETB</t>
        </is>
      </c>
      <c r="D37" s="169">
        <f>SUM(E37:R37)</f>
        <v>170925955.2</v>
      </c>
      <c r="E37" s="173">
        <f>E34*E36*(1-DEFAULT_EFF)</f>
        <v>0</v>
      </c>
      <c r="F37" s="173">
        <f>F34*F36*(1-DEFAULT_EFF)</f>
        <v>0</v>
      </c>
      <c r="G37" s="173">
        <f>G34*G36*(1-DEFAULT_EFF)</f>
        <v>0</v>
      </c>
      <c r="H37" s="173">
        <f>H34*H36*(1-DEFAULT_EFF)</f>
        <v>0</v>
      </c>
      <c r="I37" s="173">
        <f>I34*I36*(1-DEFAULT_EFF)</f>
        <v>98611128</v>
      </c>
      <c r="J37" s="173">
        <f>J34*J36*(1-DEFAULT_EFF)</f>
        <v>72314827.2</v>
      </c>
      <c r="K37" s="173">
        <f>K34*K36*(1-DEFAULT_EFF)</f>
        <v>0</v>
      </c>
      <c r="L37" s="173">
        <f>L34*L36*(1-DEFAULT_EFF)</f>
        <v>0</v>
      </c>
      <c r="M37" s="173">
        <f>M34*M36*(1-DEFAULT_EFF)</f>
        <v>0</v>
      </c>
      <c r="N37" s="173">
        <f>N34*N36*(1-DEFAULT_EFF)</f>
        <v>0</v>
      </c>
      <c r="O37" s="173">
        <f>O34*O36*(1-DEFAULT_EFF)</f>
        <v>0</v>
      </c>
      <c r="P37" s="173">
        <f>P34*P36*(1-DEFAULT_EFF)</f>
        <v>0</v>
      </c>
      <c r="Q37" s="173">
        <f>Q34*Q36*(1-DEFAULT_EFF)</f>
        <v>0</v>
      </c>
      <c r="R37" s="173">
        <f>R34*R36*(1-DEFAULT_EFF)</f>
        <v>0</v>
      </c>
    </row>
    <row r="38">
      <c r="B38" s="36" t="inlineStr">
        <is>
          <t>Cost of sales</t>
        </is>
      </c>
      <c r="C38" s="117" t="inlineStr">
        <is>
          <t>ETB</t>
        </is>
      </c>
      <c r="D38" s="169">
        <f>SUM(E38:R38)</f>
        <v>124314829.737911</v>
      </c>
      <c r="E38" s="173">
        <f>IF(SALE_AREA&gt;0,TDC_INV*E34/SALE_AREA,0)</f>
        <v>0</v>
      </c>
      <c r="F38" s="173">
        <f>IF(SALE_AREA&gt;0,TDC_INV*F34/SALE_AREA,0)</f>
        <v>0</v>
      </c>
      <c r="G38" s="173">
        <f>IF(SALE_AREA&gt;0,TDC_INV*G34/SALE_AREA,0)</f>
        <v>0</v>
      </c>
      <c r="H38" s="173">
        <f>IF(SALE_AREA&gt;0,TDC_INV*H34/SALE_AREA,0)</f>
        <v>0</v>
      </c>
      <c r="I38" s="173">
        <f>IF(SALE_AREA&gt;0,TDC_INV*I34/SALE_AREA,0)</f>
        <v>74588897.8427463</v>
      </c>
      <c r="J38" s="173">
        <f>IF(SALE_AREA&gt;0,TDC_INV*J34/SALE_AREA,0)</f>
        <v>49725931.8951642</v>
      </c>
      <c r="K38" s="173">
        <f>IF(SALE_AREA&gt;0,TDC_INV*K34/SALE_AREA,0)</f>
        <v>0</v>
      </c>
      <c r="L38" s="173">
        <f>IF(SALE_AREA&gt;0,TDC_INV*L34/SALE_AREA,0)</f>
        <v>0</v>
      </c>
      <c r="M38" s="173">
        <f>IF(SALE_AREA&gt;0,TDC_INV*M34/SALE_AREA,0)</f>
        <v>0</v>
      </c>
      <c r="N38" s="173">
        <f>IF(SALE_AREA&gt;0,TDC_INV*N34/SALE_AREA,0)</f>
        <v>0</v>
      </c>
      <c r="O38" s="173">
        <f>IF(SALE_AREA&gt;0,TDC_INV*O34/SALE_AREA,0)</f>
        <v>0</v>
      </c>
      <c r="P38" s="173">
        <f>IF(SALE_AREA&gt;0,TDC_INV*P34/SALE_AREA,0)</f>
        <v>0</v>
      </c>
      <c r="Q38" s="173">
        <f>IF(SALE_AREA&gt;0,TDC_INV*Q34/SALE_AREA,0)</f>
        <v>0</v>
      </c>
      <c r="R38" s="173">
        <f>IF(SALE_AREA&gt;0,TDC_INV*R34/SALE_AREA,0)</f>
        <v>0</v>
      </c>
    </row>
    <row r="39" ht="20" customHeight="1">
      <c r="B39" s="113" t="inlineStr">
        <is>
          <t>Sales totals and contract balances (IFRS 15)</t>
        </is>
      </c>
      <c r="C39" s="37" t="inlineStr">
        <is>
          <t>የሽያጭ ድምር</t>
        </is>
      </c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</row>
    <row r="40">
      <c r="B40" s="97" t="inlineStr">
        <is>
          <t>Sales revenue recognised</t>
        </is>
      </c>
      <c r="C40" s="180" t="inlineStr">
        <is>
          <t>ETB</t>
        </is>
      </c>
      <c r="D40" s="181">
        <f>SUM(E40:R40)</f>
        <v>498363811.796824</v>
      </c>
      <c r="E40" s="182">
        <f>E31+E37</f>
        <v>0</v>
      </c>
      <c r="F40" s="182">
        <f>F31+F37</f>
        <v>0</v>
      </c>
      <c r="G40" s="182">
        <f>G31+G37</f>
        <v>327437856.596824</v>
      </c>
      <c r="H40" s="182">
        <f>H31+H37</f>
        <v>0</v>
      </c>
      <c r="I40" s="182">
        <f>I31+I37</f>
        <v>98611128</v>
      </c>
      <c r="J40" s="182">
        <f>J31+J37</f>
        <v>72314827.2</v>
      </c>
      <c r="K40" s="182">
        <f>K31+K37</f>
        <v>0</v>
      </c>
      <c r="L40" s="182">
        <f>L31+L37</f>
        <v>0</v>
      </c>
      <c r="M40" s="182">
        <f>M31+M37</f>
        <v>0</v>
      </c>
      <c r="N40" s="182">
        <f>N31+N37</f>
        <v>0</v>
      </c>
      <c r="O40" s="182">
        <f>O31+O37</f>
        <v>0</v>
      </c>
      <c r="P40" s="182">
        <f>P31+P37</f>
        <v>0</v>
      </c>
      <c r="Q40" s="182">
        <f>Q31+Q37</f>
        <v>0</v>
      </c>
      <c r="R40" s="182">
        <f>R31+R37</f>
        <v>0</v>
      </c>
    </row>
    <row r="41">
      <c r="B41" s="36" t="inlineStr">
        <is>
          <t>Sales cash collected</t>
        </is>
      </c>
      <c r="C41" s="117" t="inlineStr">
        <is>
          <t>ETB</t>
        </is>
      </c>
      <c r="D41" s="169">
        <f>SUM(E41:R41)</f>
        <v>498363811.796824</v>
      </c>
      <c r="E41" s="173">
        <f>E30+E37</f>
        <v>45495619.8442992</v>
      </c>
      <c r="F41" s="173">
        <f>F30+F37</f>
        <v>107267480.15696</v>
      </c>
      <c r="G41" s="173">
        <f>G30+G37</f>
        <v>174674756.595565</v>
      </c>
      <c r="H41" s="173">
        <f>H30+H37</f>
        <v>0</v>
      </c>
      <c r="I41" s="173">
        <f>I30+I37</f>
        <v>98611128</v>
      </c>
      <c r="J41" s="173">
        <f>J30+J37</f>
        <v>72314827.2</v>
      </c>
      <c r="K41" s="173">
        <f>K30+K37</f>
        <v>0</v>
      </c>
      <c r="L41" s="173">
        <f>L30+L37</f>
        <v>0</v>
      </c>
      <c r="M41" s="173">
        <f>M30+M37</f>
        <v>0</v>
      </c>
      <c r="N41" s="173">
        <f>N30+N37</f>
        <v>0</v>
      </c>
      <c r="O41" s="173">
        <f>O30+O37</f>
        <v>0</v>
      </c>
      <c r="P41" s="173">
        <f>P30+P37</f>
        <v>0</v>
      </c>
      <c r="Q41" s="173">
        <f>Q30+Q37</f>
        <v>0</v>
      </c>
      <c r="R41" s="173">
        <f>R30+R37</f>
        <v>0</v>
      </c>
    </row>
    <row r="42">
      <c r="B42" s="36" t="inlineStr">
        <is>
          <t>Cost of sales (IAS 2)</t>
        </is>
      </c>
      <c r="C42" s="117" t="inlineStr">
        <is>
          <t>ETB</t>
        </is>
      </c>
      <c r="D42" s="169">
        <f>SUM(E42:R42)</f>
        <v>414382765.793035</v>
      </c>
      <c r="E42" s="173">
        <f>E32+E38</f>
        <v>0</v>
      </c>
      <c r="F42" s="173">
        <f>F32+F38</f>
        <v>0</v>
      </c>
      <c r="G42" s="173">
        <f>G32+G38</f>
        <v>290067936.055125</v>
      </c>
      <c r="H42" s="173">
        <f>H32+H38</f>
        <v>0</v>
      </c>
      <c r="I42" s="173">
        <f>I32+I38</f>
        <v>74588897.8427463</v>
      </c>
      <c r="J42" s="173">
        <f>J32+J38</f>
        <v>49725931.8951642</v>
      </c>
      <c r="K42" s="173">
        <f>K32+K38</f>
        <v>0</v>
      </c>
      <c r="L42" s="173">
        <f>L32+L38</f>
        <v>0</v>
      </c>
      <c r="M42" s="173">
        <f>M32+M38</f>
        <v>0</v>
      </c>
      <c r="N42" s="173">
        <f>N32+N38</f>
        <v>0</v>
      </c>
      <c r="O42" s="173">
        <f>O32+O38</f>
        <v>0</v>
      </c>
      <c r="P42" s="173">
        <f>P32+P38</f>
        <v>0</v>
      </c>
      <c r="Q42" s="173">
        <f>Q32+Q38</f>
        <v>0</v>
      </c>
      <c r="R42" s="173">
        <f>R32+R38</f>
        <v>0</v>
      </c>
    </row>
    <row r="43">
      <c r="B43" s="36" t="inlineStr">
        <is>
          <t>Contract value signed in period</t>
        </is>
      </c>
      <c r="C43" s="117" t="inlineStr">
        <is>
          <t>ETB</t>
        </is>
      </c>
      <c r="D43" s="169">
        <f>SUM(E43:R43)</f>
        <v>498363811.796824</v>
      </c>
      <c r="E43" s="173">
        <f>E29+E37</f>
        <v>107535101.450162</v>
      </c>
      <c r="F43" s="173">
        <f>F29+F37</f>
        <v>118288611.595178</v>
      </c>
      <c r="G43" s="173">
        <f>G29+G37</f>
        <v>101614143.551484</v>
      </c>
      <c r="H43" s="173">
        <f>H29+H37</f>
        <v>0</v>
      </c>
      <c r="I43" s="173">
        <f>I29+I37</f>
        <v>98611128</v>
      </c>
      <c r="J43" s="173">
        <f>J29+J37</f>
        <v>72314827.2</v>
      </c>
      <c r="K43" s="173">
        <f>K29+K37</f>
        <v>0</v>
      </c>
      <c r="L43" s="173">
        <f>L29+L37</f>
        <v>0</v>
      </c>
      <c r="M43" s="173">
        <f>M29+M37</f>
        <v>0</v>
      </c>
      <c r="N43" s="173">
        <f>N29+N37</f>
        <v>0</v>
      </c>
      <c r="O43" s="173">
        <f>O29+O37</f>
        <v>0</v>
      </c>
      <c r="P43" s="173">
        <f>P29+P37</f>
        <v>0</v>
      </c>
      <c r="Q43" s="173">
        <f>Q29+Q37</f>
        <v>0</v>
      </c>
      <c r="R43" s="173">
        <f>R29+R37</f>
        <v>0</v>
      </c>
    </row>
    <row r="44">
      <c r="B44" s="36" t="inlineStr">
        <is>
          <t>Sales commission</t>
        </is>
      </c>
      <c r="C44" s="117" t="inlineStr">
        <is>
          <t>ETB</t>
        </is>
      </c>
      <c r="D44" s="169">
        <f>SUM(E44:R44)</f>
        <v>9967276.23593648</v>
      </c>
      <c r="E44" s="173">
        <f>COMM_PCT*E40</f>
        <v>0</v>
      </c>
      <c r="F44" s="173">
        <f>COMM_PCT*F40</f>
        <v>0</v>
      </c>
      <c r="G44" s="173">
        <f>COMM_PCT*G40</f>
        <v>6548757.13193648</v>
      </c>
      <c r="H44" s="173">
        <f>COMM_PCT*H40</f>
        <v>0</v>
      </c>
      <c r="I44" s="173">
        <f>COMM_PCT*I40</f>
        <v>1972222.56</v>
      </c>
      <c r="J44" s="173">
        <f>COMM_PCT*J40</f>
        <v>1446296.544</v>
      </c>
      <c r="K44" s="173">
        <f>COMM_PCT*K40</f>
        <v>0</v>
      </c>
      <c r="L44" s="173">
        <f>COMM_PCT*L40</f>
        <v>0</v>
      </c>
      <c r="M44" s="173">
        <f>COMM_PCT*M40</f>
        <v>0</v>
      </c>
      <c r="N44" s="173">
        <f>COMM_PCT*N40</f>
        <v>0</v>
      </c>
      <c r="O44" s="173">
        <f>COMM_PCT*O40</f>
        <v>0</v>
      </c>
      <c r="P44" s="173">
        <f>COMM_PCT*P40</f>
        <v>0</v>
      </c>
      <c r="Q44" s="173">
        <f>COMM_PCT*Q40</f>
        <v>0</v>
      </c>
      <c r="R44" s="173">
        <f>COMM_PCT*R40</f>
        <v>0</v>
      </c>
    </row>
    <row r="45">
      <c r="B45" s="36" t="inlineStr">
        <is>
          <t>Marketing</t>
        </is>
      </c>
      <c r="C45" s="117" t="inlineStr">
        <is>
          <t>ETB</t>
        </is>
      </c>
      <c r="D45" s="169">
        <f>SUM(E45:R45)</f>
        <v>4983638.11796824</v>
      </c>
      <c r="E45" s="173">
        <f>MKT_PCT*E43</f>
        <v>1075351.01450162</v>
      </c>
      <c r="F45" s="173">
        <f>MKT_PCT*F43</f>
        <v>1182886.11595178</v>
      </c>
      <c r="G45" s="173">
        <f>MKT_PCT*G43</f>
        <v>1016141.43551484</v>
      </c>
      <c r="H45" s="173">
        <f>MKT_PCT*H43</f>
        <v>0</v>
      </c>
      <c r="I45" s="173">
        <f>MKT_PCT*I43</f>
        <v>986111.280000001</v>
      </c>
      <c r="J45" s="173">
        <f>MKT_PCT*J43</f>
        <v>723148.272</v>
      </c>
      <c r="K45" s="173">
        <f>MKT_PCT*K43</f>
        <v>0</v>
      </c>
      <c r="L45" s="173">
        <f>MKT_PCT*L43</f>
        <v>0</v>
      </c>
      <c r="M45" s="173">
        <f>MKT_PCT*M43</f>
        <v>0</v>
      </c>
      <c r="N45" s="173">
        <f>MKT_PCT*N43</f>
        <v>0</v>
      </c>
      <c r="O45" s="173">
        <f>MKT_PCT*O43</f>
        <v>0</v>
      </c>
      <c r="P45" s="173">
        <f>MKT_PCT*P43</f>
        <v>0</v>
      </c>
      <c r="Q45" s="173">
        <f>MKT_PCT*Q43</f>
        <v>0</v>
      </c>
      <c r="R45" s="173">
        <f>MKT_PCT*R43</f>
        <v>0</v>
      </c>
    </row>
    <row r="46">
      <c r="B46" s="36" t="inlineStr">
        <is>
          <t>Cumulative collections</t>
        </is>
      </c>
      <c r="C46" s="117" t="inlineStr">
        <is>
          <t>ETB</t>
        </is>
      </c>
      <c r="D46" s="169">
        <f>R46</f>
        <v>498363811.796824</v>
      </c>
      <c r="E46" s="173">
        <f>0+E41</f>
        <v>45495619.8442992</v>
      </c>
      <c r="F46" s="173">
        <f>E46+F41</f>
        <v>152763100.001259</v>
      </c>
      <c r="G46" s="173">
        <f>F46+G41</f>
        <v>327437856.596824</v>
      </c>
      <c r="H46" s="173">
        <f>G46+H41</f>
        <v>327437856.596824</v>
      </c>
      <c r="I46" s="173">
        <f>H46+I41</f>
        <v>426048984.596824</v>
      </c>
      <c r="J46" s="173">
        <f>I46+J41</f>
        <v>498363811.796824</v>
      </c>
      <c r="K46" s="173">
        <f>J46+K41</f>
        <v>498363811.796824</v>
      </c>
      <c r="L46" s="173">
        <f>K46+L41</f>
        <v>498363811.796824</v>
      </c>
      <c r="M46" s="173">
        <f>L46+M41</f>
        <v>498363811.796824</v>
      </c>
      <c r="N46" s="173">
        <f>M46+N41</f>
        <v>498363811.796824</v>
      </c>
      <c r="O46" s="173">
        <f>N46+O41</f>
        <v>498363811.796824</v>
      </c>
      <c r="P46" s="173">
        <f>O46+P41</f>
        <v>498363811.796824</v>
      </c>
      <c r="Q46" s="173">
        <f>P46+Q41</f>
        <v>498363811.796824</v>
      </c>
      <c r="R46" s="173">
        <f>Q46+R41</f>
        <v>498363811.796824</v>
      </c>
    </row>
    <row r="47">
      <c r="B47" s="36" t="inlineStr">
        <is>
          <t>Cumulative revenue</t>
        </is>
      </c>
      <c r="C47" s="117" t="inlineStr">
        <is>
          <t>ETB</t>
        </is>
      </c>
      <c r="D47" s="169">
        <f>R47</f>
        <v>498363811.796824</v>
      </c>
      <c r="E47" s="173">
        <f>0+E40</f>
        <v>0</v>
      </c>
      <c r="F47" s="173">
        <f>E47+F40</f>
        <v>0</v>
      </c>
      <c r="G47" s="173">
        <f>F47+G40</f>
        <v>327437856.596824</v>
      </c>
      <c r="H47" s="173">
        <f>G47+H40</f>
        <v>327437856.596824</v>
      </c>
      <c r="I47" s="173">
        <f>H47+I40</f>
        <v>426048984.596824</v>
      </c>
      <c r="J47" s="173">
        <f>I47+J40</f>
        <v>498363811.796824</v>
      </c>
      <c r="K47" s="173">
        <f>J47+K40</f>
        <v>498363811.796824</v>
      </c>
      <c r="L47" s="173">
        <f>K47+L40</f>
        <v>498363811.796824</v>
      </c>
      <c r="M47" s="173">
        <f>L47+M40</f>
        <v>498363811.796824</v>
      </c>
      <c r="N47" s="173">
        <f>M47+N40</f>
        <v>498363811.796824</v>
      </c>
      <c r="O47" s="173">
        <f>N47+O40</f>
        <v>498363811.796824</v>
      </c>
      <c r="P47" s="173">
        <f>O47+P40</f>
        <v>498363811.796824</v>
      </c>
      <c r="Q47" s="173">
        <f>P47+Q40</f>
        <v>498363811.796824</v>
      </c>
      <c r="R47" s="173">
        <f>Q47+R40</f>
        <v>498363811.796824</v>
      </c>
    </row>
    <row r="48">
      <c r="B48" s="36" t="inlineStr">
        <is>
          <t>Contract balance (+ liability / − asset)</t>
        </is>
      </c>
      <c r="C48" s="117" t="inlineStr">
        <is>
          <t>ETB</t>
        </is>
      </c>
      <c r="D48" s="169">
        <f>R48</f>
        <v>0</v>
      </c>
      <c r="E48" s="173">
        <f>E46-E47</f>
        <v>45495619.8442992</v>
      </c>
      <c r="F48" s="173">
        <f>F46-F47</f>
        <v>152763100.001259</v>
      </c>
      <c r="G48" s="173">
        <f>G46-G47</f>
        <v>0</v>
      </c>
      <c r="H48" s="173">
        <f>H46-H47</f>
        <v>0</v>
      </c>
      <c r="I48" s="173">
        <f>I46-I47</f>
        <v>0</v>
      </c>
      <c r="J48" s="173">
        <f>J46-J47</f>
        <v>0</v>
      </c>
      <c r="K48" s="173">
        <f>K46-K47</f>
        <v>0</v>
      </c>
      <c r="L48" s="173">
        <f>L46-L47</f>
        <v>0</v>
      </c>
      <c r="M48" s="173">
        <f>M46-M47</f>
        <v>0</v>
      </c>
      <c r="N48" s="173">
        <f>N46-N47</f>
        <v>0</v>
      </c>
      <c r="O48" s="173">
        <f>O46-O47</f>
        <v>0</v>
      </c>
      <c r="P48" s="173">
        <f>P46-P47</f>
        <v>0</v>
      </c>
      <c r="Q48" s="173">
        <f>Q46-Q47</f>
        <v>0</v>
      </c>
      <c r="R48" s="173">
        <f>R46-R47</f>
        <v>0</v>
      </c>
    </row>
    <row r="49">
      <c r="B49" s="36" t="inlineStr">
        <is>
          <t>Contract liability</t>
        </is>
      </c>
      <c r="C49" s="117" t="inlineStr">
        <is>
          <t>ETB</t>
        </is>
      </c>
      <c r="D49" s="169">
        <f>R49</f>
        <v>0</v>
      </c>
      <c r="E49" s="173">
        <f>MAX(0,E48)</f>
        <v>45495619.8442992</v>
      </c>
      <c r="F49" s="173">
        <f>MAX(0,F48)</f>
        <v>152763100.001259</v>
      </c>
      <c r="G49" s="173">
        <f>MAX(0,G48)</f>
        <v>0</v>
      </c>
      <c r="H49" s="173">
        <f>MAX(0,H48)</f>
        <v>0</v>
      </c>
      <c r="I49" s="173">
        <f>MAX(0,I48)</f>
        <v>0</v>
      </c>
      <c r="J49" s="173">
        <f>MAX(0,J48)</f>
        <v>0</v>
      </c>
      <c r="K49" s="173">
        <f>MAX(0,K48)</f>
        <v>0</v>
      </c>
      <c r="L49" s="173">
        <f>MAX(0,L48)</f>
        <v>0</v>
      </c>
      <c r="M49" s="173">
        <f>MAX(0,M48)</f>
        <v>0</v>
      </c>
      <c r="N49" s="173">
        <f>MAX(0,N48)</f>
        <v>0</v>
      </c>
      <c r="O49" s="173">
        <f>MAX(0,O48)</f>
        <v>0</v>
      </c>
      <c r="P49" s="173">
        <f>MAX(0,P48)</f>
        <v>0</v>
      </c>
      <c r="Q49" s="173">
        <f>MAX(0,Q48)</f>
        <v>0</v>
      </c>
      <c r="R49" s="173">
        <f>MAX(0,R48)</f>
        <v>0</v>
      </c>
    </row>
    <row r="50">
      <c r="B50" s="36" t="inlineStr">
        <is>
          <t>Contract asset</t>
        </is>
      </c>
      <c r="C50" s="117" t="inlineStr">
        <is>
          <t>ETB</t>
        </is>
      </c>
      <c r="D50" s="169">
        <f>R50</f>
        <v>0</v>
      </c>
      <c r="E50" s="173">
        <f>MAX(0,-E48)</f>
        <v>0</v>
      </c>
      <c r="F50" s="173">
        <f>MAX(0,-F48)</f>
        <v>0</v>
      </c>
      <c r="G50" s="173">
        <f>MAX(0,-G48)</f>
        <v>0</v>
      </c>
      <c r="H50" s="173">
        <f>MAX(0,-H48)</f>
        <v>0</v>
      </c>
      <c r="I50" s="173">
        <f>MAX(0,-I48)</f>
        <v>0</v>
      </c>
      <c r="J50" s="173">
        <f>MAX(0,-J48)</f>
        <v>0</v>
      </c>
      <c r="K50" s="173">
        <f>MAX(0,-K48)</f>
        <v>0</v>
      </c>
      <c r="L50" s="173">
        <f>MAX(0,-L48)</f>
        <v>0</v>
      </c>
      <c r="M50" s="173">
        <f>MAX(0,-M48)</f>
        <v>0</v>
      </c>
      <c r="N50" s="173">
        <f>MAX(0,-N48)</f>
        <v>0</v>
      </c>
      <c r="O50" s="173">
        <f>MAX(0,-O48)</f>
        <v>0</v>
      </c>
      <c r="P50" s="173">
        <f>MAX(0,-P48)</f>
        <v>0</v>
      </c>
      <c r="Q50" s="173">
        <f>MAX(0,-Q48)</f>
        <v>0</v>
      </c>
      <c r="R50" s="173">
        <f>MAX(0,-R48)</f>
        <v>0</v>
      </c>
    </row>
    <row r="51">
      <c r="B51" s="36" t="inlineStr">
        <is>
          <t>Sales collections in operating year (for sweep)</t>
        </is>
      </c>
      <c r="C51" s="117" t="inlineStr">
        <is>
          <t>ETB</t>
        </is>
      </c>
      <c r="D51" s="169">
        <f>SUM(E51:R51)</f>
        <v>170925955.2</v>
      </c>
      <c r="E51" s="173" t="n">
        <v>0</v>
      </c>
      <c r="F51" s="173" t="n">
        <v>0</v>
      </c>
      <c r="G51" s="173" t="n">
        <v>0</v>
      </c>
      <c r="H51" s="173" t="n">
        <v>0</v>
      </c>
      <c r="I51" s="170">
        <f>I41</f>
        <v>98611128</v>
      </c>
      <c r="J51" s="170">
        <f>J41</f>
        <v>72314827.2</v>
      </c>
      <c r="K51" s="170">
        <f>K41</f>
        <v>0</v>
      </c>
      <c r="L51" s="170">
        <f>L41</f>
        <v>0</v>
      </c>
      <c r="M51" s="170">
        <f>M41</f>
        <v>0</v>
      </c>
      <c r="N51" s="170">
        <f>N41</f>
        <v>0</v>
      </c>
      <c r="O51" s="170">
        <f>O41</f>
        <v>0</v>
      </c>
      <c r="P51" s="170">
        <f>P41</f>
        <v>0</v>
      </c>
      <c r="Q51" s="170">
        <f>Q41</f>
        <v>0</v>
      </c>
      <c r="R51" s="170">
        <f>R41</f>
        <v>0</v>
      </c>
    </row>
    <row r="52" ht="20" customHeight="1">
      <c r="B52" s="113" t="inlineStr">
        <is>
          <t>Rent (IFRS 16 lessor)</t>
        </is>
      </c>
      <c r="C52" s="37" t="inlineStr">
        <is>
          <t>ኪራይ</t>
        </is>
      </c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</row>
    <row r="53">
      <c r="B53" s="36" t="inlineStr">
        <is>
          <t>Gross potential rent</t>
        </is>
      </c>
      <c r="C53" s="117" t="inlineStr">
        <is>
          <t>ETB</t>
        </is>
      </c>
      <c r="D53" s="169">
        <f>SUM(E53:R53)</f>
        <v>465691436.522025</v>
      </c>
      <c r="E53" s="173" t="n">
        <v>0</v>
      </c>
      <c r="F53" s="173" t="n">
        <v>0</v>
      </c>
      <c r="G53" s="173" t="n">
        <v>0</v>
      </c>
      <c r="H53" s="173" t="n">
        <v>0</v>
      </c>
      <c r="I53" s="173">
        <f>GPR_TODAY*D_RENT_F*(1+RESC_EFF)^(CONSTR_EFF/12+'20_Timeline'!I14-1)</f>
        <v>32146441.753722</v>
      </c>
      <c r="J53" s="173">
        <f>GPR_TODAY*D_RENT_F*(1+RESC_EFF)^(CONSTR_EFF/12+'20_Timeline'!J14-1)</f>
        <v>34718157.0940197</v>
      </c>
      <c r="K53" s="173">
        <f>GPR_TODAY*D_RENT_F*(1+RESC_EFF)^(CONSTR_EFF/12+'20_Timeline'!K14-1)</f>
        <v>37495609.6615413</v>
      </c>
      <c r="L53" s="173">
        <f>GPR_TODAY*D_RENT_F*(1+RESC_EFF)^(CONSTR_EFF/12+'20_Timeline'!L14-1)</f>
        <v>40495258.4344646</v>
      </c>
      <c r="M53" s="173">
        <f>GPR_TODAY*D_RENT_F*(1+RESC_EFF)^(CONSTR_EFF/12+'20_Timeline'!M14-1)</f>
        <v>43734879.1092218</v>
      </c>
      <c r="N53" s="173">
        <f>GPR_TODAY*D_RENT_F*(1+RESC_EFF)^(CONSTR_EFF/12+'20_Timeline'!N14-1)</f>
        <v>47233669.4379595</v>
      </c>
      <c r="O53" s="173">
        <f>GPR_TODAY*D_RENT_F*(1+RESC_EFF)^(CONSTR_EFF/12+'20_Timeline'!O14-1)</f>
        <v>51012362.9929963</v>
      </c>
      <c r="P53" s="173">
        <f>GPR_TODAY*D_RENT_F*(1+RESC_EFF)^(CONSTR_EFF/12+'20_Timeline'!P14-1)</f>
        <v>55093352.032436</v>
      </c>
      <c r="Q53" s="173">
        <f>GPR_TODAY*D_RENT_F*(1+RESC_EFF)^(CONSTR_EFF/12+'20_Timeline'!Q14-1)</f>
        <v>59500820.1950309</v>
      </c>
      <c r="R53" s="173">
        <f>GPR_TODAY*D_RENT_F*(1+RESC_EFF)^(CONSTR_EFF/12+'20_Timeline'!R14-1)</f>
        <v>64260885.8106334</v>
      </c>
    </row>
    <row r="54">
      <c r="B54" s="36" t="inlineStr">
        <is>
          <t>Occupancy</t>
        </is>
      </c>
      <c r="C54" s="117" t="inlineStr">
        <is>
          <t>%</t>
        </is>
      </c>
      <c r="E54" s="154" t="n">
        <v>0</v>
      </c>
      <c r="F54" s="154" t="n">
        <v>0</v>
      </c>
      <c r="G54" s="154" t="n">
        <v>0</v>
      </c>
      <c r="H54" s="154" t="n">
        <v>0</v>
      </c>
      <c r="I54" s="154">
        <f>MIN(1,MAX(0,(CHOOSE(MIN('20_Timeline'!I14,3),OCC_O1,OCC_O2,OCC_STAB)+D_OCC_ADD)*D_OCC_F))</f>
        <v>0.6</v>
      </c>
      <c r="J54" s="154">
        <f>MIN(1,MAX(0,(CHOOSE(MIN('20_Timeline'!J14,3),OCC_O1,OCC_O2,OCC_STAB)+D_OCC_ADD)*D_OCC_F))</f>
        <v>0.8</v>
      </c>
      <c r="K54" s="154">
        <f>MIN(1,MAX(0,(CHOOSE(MIN('20_Timeline'!K14,3),OCC_O1,OCC_O2,OCC_STAB)+D_OCC_ADD)*D_OCC_F))</f>
        <v>0.92</v>
      </c>
      <c r="L54" s="154">
        <f>MIN(1,MAX(0,(CHOOSE(MIN('20_Timeline'!L14,3),OCC_O1,OCC_O2,OCC_STAB)+D_OCC_ADD)*D_OCC_F))</f>
        <v>0.92</v>
      </c>
      <c r="M54" s="154">
        <f>MIN(1,MAX(0,(CHOOSE(MIN('20_Timeline'!M14,3),OCC_O1,OCC_O2,OCC_STAB)+D_OCC_ADD)*D_OCC_F))</f>
        <v>0.92</v>
      </c>
      <c r="N54" s="154">
        <f>MIN(1,MAX(0,(CHOOSE(MIN('20_Timeline'!N14,3),OCC_O1,OCC_O2,OCC_STAB)+D_OCC_ADD)*D_OCC_F))</f>
        <v>0.92</v>
      </c>
      <c r="O54" s="154">
        <f>MIN(1,MAX(0,(CHOOSE(MIN('20_Timeline'!O14,3),OCC_O1,OCC_O2,OCC_STAB)+D_OCC_ADD)*D_OCC_F))</f>
        <v>0.92</v>
      </c>
      <c r="P54" s="154">
        <f>MIN(1,MAX(0,(CHOOSE(MIN('20_Timeline'!P14,3),OCC_O1,OCC_O2,OCC_STAB)+D_OCC_ADD)*D_OCC_F))</f>
        <v>0.92</v>
      </c>
      <c r="Q54" s="154">
        <f>MIN(1,MAX(0,(CHOOSE(MIN('20_Timeline'!Q14,3),OCC_O1,OCC_O2,OCC_STAB)+D_OCC_ADD)*D_OCC_F))</f>
        <v>0.92</v>
      </c>
      <c r="R54" s="154">
        <f>MIN(1,MAX(0,(CHOOSE(MIN('20_Timeline'!R14,3),OCC_O1,OCC_O2,OCC_STAB)+D_OCC_ADD)*D_OCC_F))</f>
        <v>0.92</v>
      </c>
    </row>
    <row r="55">
      <c r="B55" s="97" t="inlineStr">
        <is>
          <t>Rental income</t>
        </is>
      </c>
      <c r="C55" s="180" t="inlineStr">
        <is>
          <t>ETB</t>
        </is>
      </c>
      <c r="D55" s="181">
        <f>SUM(E55:R55)</f>
        <v>413983081.38779</v>
      </c>
      <c r="E55" s="182">
        <f>E53*E54</f>
        <v>0</v>
      </c>
      <c r="F55" s="182">
        <f>F53*F54</f>
        <v>0</v>
      </c>
      <c r="G55" s="182">
        <f>G53*G54</f>
        <v>0</v>
      </c>
      <c r="H55" s="182">
        <f>H53*H54</f>
        <v>0</v>
      </c>
      <c r="I55" s="182">
        <f>I53*I54</f>
        <v>19287865.0522332</v>
      </c>
      <c r="J55" s="182">
        <f>J53*J54</f>
        <v>27774525.6752158</v>
      </c>
      <c r="K55" s="182">
        <f>K53*K54</f>
        <v>34495960.888618</v>
      </c>
      <c r="L55" s="182">
        <f>L53*L54</f>
        <v>37255637.7597074</v>
      </c>
      <c r="M55" s="182">
        <f>M53*M54</f>
        <v>40236088.780484</v>
      </c>
      <c r="N55" s="182">
        <f>N53*N54</f>
        <v>43454975.8829228</v>
      </c>
      <c r="O55" s="182">
        <f>O53*O54</f>
        <v>46931373.9535566</v>
      </c>
      <c r="P55" s="182">
        <f>P53*P54</f>
        <v>50685883.8698411</v>
      </c>
      <c r="Q55" s="182">
        <f>Q53*Q54</f>
        <v>54740754.5794284</v>
      </c>
      <c r="R55" s="182">
        <f>R53*R54</f>
        <v>59120014.9457827</v>
      </c>
    </row>
    <row r="56">
      <c r="B56" s="36" t="inlineStr">
        <is>
          <t>Key money received</t>
        </is>
      </c>
      <c r="C56" s="117" t="inlineStr">
        <is>
          <t>ETB</t>
        </is>
      </c>
      <c r="D56" s="169">
        <f>SUM(E56:R56)</f>
        <v>9643932.52611659</v>
      </c>
      <c r="E56" s="173" t="n">
        <v>0</v>
      </c>
      <c r="F56" s="173" t="n">
        <v>0</v>
      </c>
      <c r="G56" s="173" t="n">
        <v>0</v>
      </c>
      <c r="H56" s="173" t="n">
        <v>0</v>
      </c>
      <c r="I56" s="173">
        <f>IF(PROJECT_MODE=0,0,KEY_MONTHS*I55/12)</f>
        <v>9643932.52611659</v>
      </c>
      <c r="J56" s="173" t="n">
        <v>0</v>
      </c>
      <c r="K56" s="173" t="n">
        <v>0</v>
      </c>
      <c r="L56" s="173" t="n">
        <v>0</v>
      </c>
      <c r="M56" s="173" t="n">
        <v>0</v>
      </c>
      <c r="N56" s="173" t="n">
        <v>0</v>
      </c>
      <c r="O56" s="173" t="n">
        <v>0</v>
      </c>
      <c r="P56" s="173" t="n">
        <v>0</v>
      </c>
      <c r="Q56" s="173" t="n">
        <v>0</v>
      </c>
      <c r="R56" s="173" t="n">
        <v>0</v>
      </c>
    </row>
    <row r="57">
      <c r="B57" s="36" t="inlineStr">
        <is>
          <t>Key money released to income</t>
        </is>
      </c>
      <c r="C57" s="117" t="inlineStr">
        <is>
          <t>ETB</t>
        </is>
      </c>
      <c r="D57" s="169">
        <f>SUM(E57:R57)</f>
        <v>9643932.52611659</v>
      </c>
      <c r="E57" s="173" t="n">
        <v>0</v>
      </c>
      <c r="F57" s="173" t="n">
        <v>0</v>
      </c>
      <c r="G57" s="173" t="n">
        <v>0</v>
      </c>
      <c r="H57" s="173" t="n">
        <v>0</v>
      </c>
      <c r="I57" s="173">
        <f>IF('20_Timeline'!I14&lt;=MAX(1,KEY_AMORT_Y),$D$56/MAX(1,KEY_AMORT_Y),0)</f>
        <v>1928786.50522332</v>
      </c>
      <c r="J57" s="173">
        <f>IF('20_Timeline'!J14&lt;=MAX(1,KEY_AMORT_Y),$D$56/MAX(1,KEY_AMORT_Y),0)</f>
        <v>1928786.50522332</v>
      </c>
      <c r="K57" s="173">
        <f>IF('20_Timeline'!K14&lt;=MAX(1,KEY_AMORT_Y),$D$56/MAX(1,KEY_AMORT_Y),0)</f>
        <v>1928786.50522332</v>
      </c>
      <c r="L57" s="173">
        <f>IF('20_Timeline'!L14&lt;=MAX(1,KEY_AMORT_Y),$D$56/MAX(1,KEY_AMORT_Y),0)</f>
        <v>1928786.50522332</v>
      </c>
      <c r="M57" s="173">
        <f>IF('20_Timeline'!M14&lt;=MAX(1,KEY_AMORT_Y),$D$56/MAX(1,KEY_AMORT_Y),0)</f>
        <v>1928786.50522332</v>
      </c>
      <c r="N57" s="173">
        <f>IF('20_Timeline'!N14&lt;=MAX(1,KEY_AMORT_Y),$D$56/MAX(1,KEY_AMORT_Y),0)</f>
        <v>0</v>
      </c>
      <c r="O57" s="173">
        <f>IF('20_Timeline'!O14&lt;=MAX(1,KEY_AMORT_Y),$D$56/MAX(1,KEY_AMORT_Y),0)</f>
        <v>0</v>
      </c>
      <c r="P57" s="173">
        <f>IF('20_Timeline'!P14&lt;=MAX(1,KEY_AMORT_Y),$D$56/MAX(1,KEY_AMORT_Y),0)</f>
        <v>0</v>
      </c>
      <c r="Q57" s="173">
        <f>IF('20_Timeline'!Q14&lt;=MAX(1,KEY_AMORT_Y),$D$56/MAX(1,KEY_AMORT_Y),0)</f>
        <v>0</v>
      </c>
      <c r="R57" s="173">
        <f>IF('20_Timeline'!R14&lt;=MAX(1,KEY_AMORT_Y),$D$56/MAX(1,KEY_AMORT_Y),0)</f>
        <v>0</v>
      </c>
    </row>
    <row r="58">
      <c r="B58" s="36" t="inlineStr">
        <is>
          <t>Deferred key money (liability)</t>
        </is>
      </c>
      <c r="C58" s="117" t="inlineStr">
        <is>
          <t>ETB</t>
        </is>
      </c>
      <c r="D58" s="169">
        <f>R58</f>
        <v>0</v>
      </c>
      <c r="E58" s="173">
        <f>0+E56-E57</f>
        <v>0</v>
      </c>
      <c r="F58" s="173">
        <f>E58+F56-F57</f>
        <v>0</v>
      </c>
      <c r="G58" s="173">
        <f>F58+G56-G57</f>
        <v>0</v>
      </c>
      <c r="H58" s="173">
        <f>G58+H56-H57</f>
        <v>0</v>
      </c>
      <c r="I58" s="173">
        <f>H58+I56-I57</f>
        <v>7715146.02089327</v>
      </c>
      <c r="J58" s="173">
        <f>I58+J56-J57</f>
        <v>5786359.51566995</v>
      </c>
      <c r="K58" s="173">
        <f>J58+K56-K57</f>
        <v>3857573.01044664</v>
      </c>
      <c r="L58" s="173">
        <f>K58+L56-L57</f>
        <v>1928786.50522332</v>
      </c>
      <c r="M58" s="173">
        <f>L58+M56-M57</f>
        <v>0</v>
      </c>
      <c r="N58" s="173">
        <f>M58+N56-N57</f>
        <v>0</v>
      </c>
      <c r="O58" s="173">
        <f>N58+O56-O57</f>
        <v>0</v>
      </c>
      <c r="P58" s="173">
        <f>O58+P56-P57</f>
        <v>0</v>
      </c>
      <c r="Q58" s="173">
        <f>P58+Q56-Q57</f>
        <v>0</v>
      </c>
      <c r="R58" s="173">
        <f>Q58+R56-R57</f>
        <v>0</v>
      </c>
    </row>
    <row r="59">
      <c r="B59" s="36" t="inlineStr">
        <is>
          <t>Service charge recoveries</t>
        </is>
      </c>
      <c r="C59" s="117" t="inlineStr">
        <is>
          <t>ETB</t>
        </is>
      </c>
      <c r="D59" s="169">
        <f>SUM(E59:R59)</f>
        <v>37258477.3249011</v>
      </c>
      <c r="E59" s="173">
        <f>SC_RECOV*'25_Opex'!E12</f>
        <v>0</v>
      </c>
      <c r="F59" s="173">
        <f>SC_RECOV*'25_Opex'!F12</f>
        <v>0</v>
      </c>
      <c r="G59" s="173">
        <f>SC_RECOV*'25_Opex'!G12</f>
        <v>0</v>
      </c>
      <c r="H59" s="173">
        <f>SC_RECOV*'25_Opex'!H12</f>
        <v>0</v>
      </c>
      <c r="I59" s="173">
        <f>SC_RECOV*'25_Opex'!I12</f>
        <v>1735907.85470099</v>
      </c>
      <c r="J59" s="173">
        <f>SC_RECOV*'25_Opex'!J12</f>
        <v>2499707.31076942</v>
      </c>
      <c r="K59" s="173">
        <f>SC_RECOV*'25_Opex'!K12</f>
        <v>3104636.47997562</v>
      </c>
      <c r="L59" s="173">
        <f>SC_RECOV*'25_Opex'!L12</f>
        <v>3353007.39837367</v>
      </c>
      <c r="M59" s="173">
        <f>SC_RECOV*'25_Opex'!M12</f>
        <v>3621247.99024356</v>
      </c>
      <c r="N59" s="173">
        <f>SC_RECOV*'25_Opex'!N12</f>
        <v>3910947.82946305</v>
      </c>
      <c r="O59" s="173">
        <f>SC_RECOV*'25_Opex'!O12</f>
        <v>4223823.65582009</v>
      </c>
      <c r="P59" s="173">
        <f>SC_RECOV*'25_Opex'!P12</f>
        <v>4561729.5482857</v>
      </c>
      <c r="Q59" s="173">
        <f>SC_RECOV*'25_Opex'!Q12</f>
        <v>4926667.91214856</v>
      </c>
      <c r="R59" s="173">
        <f>SC_RECOV*'25_Opex'!R12</f>
        <v>5320801.34512044</v>
      </c>
    </row>
    <row r="60">
      <c r="B60" s="36" t="inlineStr">
        <is>
          <t>Other income</t>
        </is>
      </c>
      <c r="C60" s="117" t="inlineStr">
        <is>
          <t>ETB</t>
        </is>
      </c>
      <c r="D60" s="169">
        <f>SUM(E60:R60)</f>
        <v>9562454.7606</v>
      </c>
      <c r="E60" s="173" t="n">
        <v>0</v>
      </c>
      <c r="F60" s="173" t="n">
        <v>0</v>
      </c>
      <c r="G60" s="173" t="n">
        <v>0</v>
      </c>
      <c r="H60" s="173" t="n">
        <v>0</v>
      </c>
      <c r="I60" s="173">
        <f>IF(PROJECT_MODE=0,0,OTHER_INC*(1+OPEX_ESC)^('20_Timeline'!I14-1))</f>
        <v>600000</v>
      </c>
      <c r="J60" s="173">
        <f>IF(PROJECT_MODE=0,0,OTHER_INC*(1+OPEX_ESC)^('20_Timeline'!J14-1))</f>
        <v>660000</v>
      </c>
      <c r="K60" s="173">
        <f>IF(PROJECT_MODE=0,0,OTHER_INC*(1+OPEX_ESC)^('20_Timeline'!K14-1))</f>
        <v>726000</v>
      </c>
      <c r="L60" s="173">
        <f>IF(PROJECT_MODE=0,0,OTHER_INC*(1+OPEX_ESC)^('20_Timeline'!L14-1))</f>
        <v>798600</v>
      </c>
      <c r="M60" s="173">
        <f>IF(PROJECT_MODE=0,0,OTHER_INC*(1+OPEX_ESC)^('20_Timeline'!M14-1))</f>
        <v>878460</v>
      </c>
      <c r="N60" s="173">
        <f>IF(PROJECT_MODE=0,0,OTHER_INC*(1+OPEX_ESC)^('20_Timeline'!N14-1))</f>
        <v>966306</v>
      </c>
      <c r="O60" s="173">
        <f>IF(PROJECT_MODE=0,0,OTHER_INC*(1+OPEX_ESC)^('20_Timeline'!O14-1))</f>
        <v>1062936.6</v>
      </c>
      <c r="P60" s="173">
        <f>IF(PROJECT_MODE=0,0,OTHER_INC*(1+OPEX_ESC)^('20_Timeline'!P14-1))</f>
        <v>1169230.26</v>
      </c>
      <c r="Q60" s="173">
        <f>IF(PROJECT_MODE=0,0,OTHER_INC*(1+OPEX_ESC)^('20_Timeline'!Q14-1))</f>
        <v>1286153.286</v>
      </c>
      <c r="R60" s="173">
        <f>IF(PROJECT_MODE=0,0,OTHER_INC*(1+OPEX_ESC)^('20_Timeline'!R14-1))</f>
        <v>1414768.6146</v>
      </c>
    </row>
    <row r="61">
      <c r="B61" s="183" t="inlineStr">
        <is>
          <t>TOTAL REVENUE</t>
        </is>
      </c>
      <c r="C61" s="184" t="inlineStr">
        <is>
          <t>ETB</t>
        </is>
      </c>
      <c r="D61" s="185">
        <f>SUM(E61:R61)</f>
        <v>968811757.796232</v>
      </c>
      <c r="E61" s="186">
        <f>E40+E55+E57+E59+E60</f>
        <v>0</v>
      </c>
      <c r="F61" s="186">
        <f>F40+F55+F57+F59+F60</f>
        <v>0</v>
      </c>
      <c r="G61" s="186">
        <f>G40+G55+G57+G59+G60</f>
        <v>327437856.596824</v>
      </c>
      <c r="H61" s="186">
        <f>H40+H55+H57+H59+H60</f>
        <v>0</v>
      </c>
      <c r="I61" s="186">
        <f>I40+I55+I57+I59+I60</f>
        <v>122163687.412158</v>
      </c>
      <c r="J61" s="186">
        <f>J40+J55+J57+J59+J60</f>
        <v>105177846.691209</v>
      </c>
      <c r="K61" s="186">
        <f>K40+K55+K57+K59+K60</f>
        <v>40255383.8738169</v>
      </c>
      <c r="L61" s="186">
        <f>L40+L55+L57+L59+L60</f>
        <v>43336031.6633044</v>
      </c>
      <c r="M61" s="186">
        <f>M40+M55+M57+M59+M60</f>
        <v>46664583.2759509</v>
      </c>
      <c r="N61" s="186">
        <f>N40+N55+N57+N59+N60</f>
        <v>48332229.7123858</v>
      </c>
      <c r="O61" s="186">
        <f>O40+O55+O57+O59+O60</f>
        <v>52218134.2093767</v>
      </c>
      <c r="P61" s="186">
        <f>P40+P55+P57+P59+P60</f>
        <v>56416843.6781268</v>
      </c>
      <c r="Q61" s="186">
        <f>Q40+Q55+Q57+Q59+Q60</f>
        <v>60953575.777577</v>
      </c>
      <c r="R61" s="186">
        <f>R40+R55+R57+R59+R60</f>
        <v>65855584.9055032</v>
      </c>
    </row>
    <row r="62">
      <c r="B62" s="141" t="inlineStr">
        <is>
          <t>Net operating income of let property (NOI)</t>
        </is>
      </c>
      <c r="C62" s="117" t="inlineStr">
        <is>
          <t>ETB</t>
        </is>
      </c>
      <c r="D62" s="169">
        <f>SUM(E62:R62)</f>
        <v>365269011.374733</v>
      </c>
      <c r="E62" s="172">
        <f>E55+E59+E60-'25_Opex'!E12-'25_Opex'!E13-'25_Opex'!E14-'25_Opex'!E15-'25_Opex'!E16-'25_Opex'!E19</f>
        <v>0</v>
      </c>
      <c r="F62" s="172">
        <f>F55+F59+F60-'25_Opex'!F12-'25_Opex'!F13-'25_Opex'!F14-'25_Opex'!F15-'25_Opex'!F16-'25_Opex'!F19</f>
        <v>0</v>
      </c>
      <c r="G62" s="172">
        <f>G55+G59+G60-'25_Opex'!G12-'25_Opex'!G13-'25_Opex'!G14-'25_Opex'!G15-'25_Opex'!G16-'25_Opex'!G19</f>
        <v>0</v>
      </c>
      <c r="H62" s="172">
        <f>H55+H59+H60-'25_Opex'!H12-'25_Opex'!H13-'25_Opex'!H14-'25_Opex'!H15-'25_Opex'!H16-'25_Opex'!H19</f>
        <v>0</v>
      </c>
      <c r="I62" s="172">
        <f>I55+I59+I60-'25_Opex'!I12-'25_Opex'!I13-'25_Opex'!I14-'25_Opex'!I15-'25_Opex'!I16-'25_Opex'!I19</f>
        <v>16966924.8479831</v>
      </c>
      <c r="J62" s="172">
        <f>J55+J59+J60-'25_Opex'!J12-'25_Opex'!J13-'25_Opex'!J14-'25_Opex'!J15-'25_Opex'!J16-'25_Opex'!J19</f>
        <v>24500125.2975872</v>
      </c>
      <c r="K62" s="172">
        <f>K55+K59+K60-'25_Opex'!K12-'25_Opex'!K13-'25_Opex'!K14-'25_Opex'!K15-'25_Opex'!K16-'25_Opex'!K19</f>
        <v>30460282.3821797</v>
      </c>
      <c r="L62" s="172">
        <f>L55+L59+L60-'25_Opex'!L12-'25_Opex'!L13-'25_Opex'!L14-'25_Opex'!L15-'25_Opex'!L16-'25_Opex'!L19</f>
        <v>32892282.5165802</v>
      </c>
      <c r="M62" s="172">
        <f>M55+M59+M60-'25_Opex'!M12-'25_Opex'!M13-'25_Opex'!M14-'25_Opex'!M15-'25_Opex'!M16-'25_Opex'!M19</f>
        <v>35518360.4161155</v>
      </c>
      <c r="N62" s="172">
        <f>N55+N59+N60-'25_Opex'!N12-'25_Opex'!N13-'25_Opex'!N14-'25_Opex'!N15-'25_Opex'!N16-'25_Opex'!N19</f>
        <v>38353994.0774344</v>
      </c>
      <c r="O62" s="172">
        <f>O55+O59+O60-'25_Opex'!O12-'25_Opex'!O13-'25_Opex'!O14-'25_Opex'!O15-'25_Opex'!O16-'25_Opex'!O19</f>
        <v>41415894.9144618</v>
      </c>
      <c r="P62" s="172">
        <f>P55+P59+P60-'25_Opex'!P12-'25_Opex'!P13-'25_Opex'!P14-'25_Opex'!P15-'25_Opex'!P16-'25_Opex'!P19</f>
        <v>44722105.9495347</v>
      </c>
      <c r="Q62" s="172">
        <f>Q55+Q59+Q60-'25_Opex'!Q12-'25_Opex'!Q13-'25_Opex'!Q14-'25_Opex'!Q15-'25_Opex'!Q16-'25_Opex'!Q19</f>
        <v>48292107.811605</v>
      </c>
      <c r="R62" s="172">
        <f>R55+R59+R60-'25_Opex'!R12-'25_Opex'!R13-'25_Opex'!R14-'25_Opex'!R15-'25_Opex'!R16-'25_Opex'!R19</f>
        <v>52146933.1612517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21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25 · Operating costs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የሥራ ማስኬጃ ወጪዎች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Operating costs (positive = cost)</t>
        </is>
      </c>
      <c r="C10" s="37" t="inlineStr">
        <is>
          <t>ወጪዎች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Opex escalation index (from today)</t>
        </is>
      </c>
      <c r="C11" s="117" t="inlineStr">
        <is>
          <t>x</t>
        </is>
      </c>
      <c r="E11" s="149" t="n">
        <v>0</v>
      </c>
      <c r="F11" s="149" t="n">
        <v>0</v>
      </c>
      <c r="G11" s="149" t="n">
        <v>0</v>
      </c>
      <c r="H11" s="149" t="n">
        <v>0</v>
      </c>
      <c r="I11" s="149">
        <f>(1+OPEX_ESC)^(CONSTR_EFF/12+'20_Timeline'!I14-1)</f>
        <v>1.26905870628588</v>
      </c>
      <c r="J11" s="149">
        <f>(1+OPEX_ESC)^(CONSTR_EFF/12+'20_Timeline'!J14-1)</f>
        <v>1.39596457691447</v>
      </c>
      <c r="K11" s="149">
        <f>(1+OPEX_ESC)^(CONSTR_EFF/12+'20_Timeline'!K14-1)</f>
        <v>1.53556103460592</v>
      </c>
      <c r="L11" s="149">
        <f>(1+OPEX_ESC)^(CONSTR_EFF/12+'20_Timeline'!L14-1)</f>
        <v>1.68911713806651</v>
      </c>
      <c r="M11" s="149">
        <f>(1+OPEX_ESC)^(CONSTR_EFF/12+'20_Timeline'!M14-1)</f>
        <v>1.85802885187316</v>
      </c>
      <c r="N11" s="149">
        <f>(1+OPEX_ESC)^(CONSTR_EFF/12+'20_Timeline'!N14-1)</f>
        <v>2.04383173706048</v>
      </c>
      <c r="O11" s="149">
        <f>(1+OPEX_ESC)^(CONSTR_EFF/12+'20_Timeline'!O14-1)</f>
        <v>2.24821491076653</v>
      </c>
      <c r="P11" s="149">
        <f>(1+OPEX_ESC)^(CONSTR_EFF/12+'20_Timeline'!P14-1)</f>
        <v>2.47303640184318</v>
      </c>
      <c r="Q11" s="149">
        <f>(1+OPEX_ESC)^(CONSTR_EFF/12+'20_Timeline'!Q14-1)</f>
        <v>2.7203400420275</v>
      </c>
      <c r="R11" s="149">
        <f>(1+OPEX_ESC)^(CONSTR_EFF/12+'20_Timeline'!R14-1)</f>
        <v>2.99237404623025</v>
      </c>
    </row>
    <row r="12">
      <c r="B12" s="36" t="inlineStr">
        <is>
          <t>Property operating costs</t>
        </is>
      </c>
      <c r="C12" s="117" t="inlineStr">
        <is>
          <t>ETB</t>
        </is>
      </c>
      <c r="D12" s="169">
        <f>SUM(E12:R12)</f>
        <v>62097462.2081685</v>
      </c>
      <c r="E12" s="173" t="n">
        <v>0</v>
      </c>
      <c r="F12" s="173" t="n">
        <v>0</v>
      </c>
      <c r="G12" s="173" t="n">
        <v>0</v>
      </c>
      <c r="H12" s="173" t="n">
        <v>0</v>
      </c>
      <c r="I12" s="173">
        <f>IF(OPEX_METHOD=1,OPEX_PCT*'24_Revenue'!I55,OPEX_M2*LET_AREA*I11)*D_OPEX_F</f>
        <v>2893179.75783498</v>
      </c>
      <c r="J12" s="173">
        <f>IF(OPEX_METHOD=1,OPEX_PCT*'24_Revenue'!J55,OPEX_M2*LET_AREA*J11)*D_OPEX_F</f>
        <v>4166178.85128237</v>
      </c>
      <c r="K12" s="173">
        <f>IF(OPEX_METHOD=1,OPEX_PCT*'24_Revenue'!K55,OPEX_M2*LET_AREA*K11)*D_OPEX_F</f>
        <v>5174394.1332927</v>
      </c>
      <c r="L12" s="173">
        <f>IF(OPEX_METHOD=1,OPEX_PCT*'24_Revenue'!L55,OPEX_M2*LET_AREA*L11)*D_OPEX_F</f>
        <v>5588345.66395612</v>
      </c>
      <c r="M12" s="173">
        <f>IF(OPEX_METHOD=1,OPEX_PCT*'24_Revenue'!M55,OPEX_M2*LET_AREA*M11)*D_OPEX_F</f>
        <v>6035413.31707261</v>
      </c>
      <c r="N12" s="173">
        <f>IF(OPEX_METHOD=1,OPEX_PCT*'24_Revenue'!N55,OPEX_M2*LET_AREA*N11)*D_OPEX_F</f>
        <v>6518246.38243842</v>
      </c>
      <c r="O12" s="173">
        <f>IF(OPEX_METHOD=1,OPEX_PCT*'24_Revenue'!O55,OPEX_M2*LET_AREA*O11)*D_OPEX_F</f>
        <v>7039706.09303349</v>
      </c>
      <c r="P12" s="173">
        <f>IF(OPEX_METHOD=1,OPEX_PCT*'24_Revenue'!P55,OPEX_M2*LET_AREA*P11)*D_OPEX_F</f>
        <v>7602882.58047617</v>
      </c>
      <c r="Q12" s="173">
        <f>IF(OPEX_METHOD=1,OPEX_PCT*'24_Revenue'!Q55,OPEX_M2*LET_AREA*Q11)*D_OPEX_F</f>
        <v>8211113.18691426</v>
      </c>
      <c r="R12" s="173">
        <f>IF(OPEX_METHOD=1,OPEX_PCT*'24_Revenue'!R55,OPEX_M2*LET_AREA*R11)*D_OPEX_F</f>
        <v>8868002.2418674</v>
      </c>
    </row>
    <row r="13">
      <c r="B13" s="36" t="inlineStr">
        <is>
          <t>Management fee</t>
        </is>
      </c>
      <c r="C13" s="117" t="inlineStr">
        <is>
          <t>ETB</t>
        </is>
      </c>
      <c r="D13" s="169">
        <f>SUM(E13:R13)</f>
        <v>12419492.4416337</v>
      </c>
      <c r="E13" s="173">
        <f>MGMT_PCT*'24_Revenue'!E55</f>
        <v>0</v>
      </c>
      <c r="F13" s="173">
        <f>MGMT_PCT*'24_Revenue'!F55</f>
        <v>0</v>
      </c>
      <c r="G13" s="173">
        <f>MGMT_PCT*'24_Revenue'!G55</f>
        <v>0</v>
      </c>
      <c r="H13" s="173">
        <f>MGMT_PCT*'24_Revenue'!H55</f>
        <v>0</v>
      </c>
      <c r="I13" s="173">
        <f>MGMT_PCT*'24_Revenue'!I55</f>
        <v>578635.951566995</v>
      </c>
      <c r="J13" s="173">
        <f>MGMT_PCT*'24_Revenue'!J55</f>
        <v>833235.770256473</v>
      </c>
      <c r="K13" s="173">
        <f>MGMT_PCT*'24_Revenue'!K55</f>
        <v>1034878.82665854</v>
      </c>
      <c r="L13" s="173">
        <f>MGMT_PCT*'24_Revenue'!L55</f>
        <v>1117669.13279122</v>
      </c>
      <c r="M13" s="173">
        <f>MGMT_PCT*'24_Revenue'!M55</f>
        <v>1207082.66341452</v>
      </c>
      <c r="N13" s="173">
        <f>MGMT_PCT*'24_Revenue'!N55</f>
        <v>1303649.27648768</v>
      </c>
      <c r="O13" s="173">
        <f>MGMT_PCT*'24_Revenue'!O55</f>
        <v>1407941.2186067</v>
      </c>
      <c r="P13" s="173">
        <f>MGMT_PCT*'24_Revenue'!P55</f>
        <v>1520576.51609523</v>
      </c>
      <c r="Q13" s="173">
        <f>MGMT_PCT*'24_Revenue'!Q55</f>
        <v>1642222.63738285</v>
      </c>
      <c r="R13" s="173">
        <f>MGMT_PCT*'24_Revenue'!R55</f>
        <v>1773600.44837348</v>
      </c>
    </row>
    <row r="14">
      <c r="B14" s="36" t="inlineStr">
        <is>
          <t>Insurance</t>
        </is>
      </c>
      <c r="C14" s="117" t="inlineStr">
        <is>
          <t>ETB</t>
        </is>
      </c>
      <c r="D14" s="169">
        <f>SUM(E14:R14)</f>
        <v>2397514.5136235</v>
      </c>
      <c r="E14" s="173" t="n">
        <v>0</v>
      </c>
      <c r="F14" s="173" t="n">
        <v>0</v>
      </c>
      <c r="G14" s="173" t="n">
        <v>0</v>
      </c>
      <c r="H14" s="173" t="n">
        <v>0</v>
      </c>
      <c r="I14" s="173">
        <f>INS_PCT*HARD_ESC_TOT*RET_SH*I11*D_OPEX_F</f>
        <v>150432.994893859</v>
      </c>
      <c r="J14" s="173">
        <f>INS_PCT*HARD_ESC_TOT*RET_SH*J11*D_OPEX_F</f>
        <v>165476.294383245</v>
      </c>
      <c r="K14" s="173">
        <f>INS_PCT*HARD_ESC_TOT*RET_SH*K11*D_OPEX_F</f>
        <v>182023.92382157</v>
      </c>
      <c r="L14" s="173">
        <f>INS_PCT*HARD_ESC_TOT*RET_SH*L11*D_OPEX_F</f>
        <v>200226.316203727</v>
      </c>
      <c r="M14" s="173">
        <f>INS_PCT*HARD_ESC_TOT*RET_SH*M11*D_OPEX_F</f>
        <v>220248.9478241</v>
      </c>
      <c r="N14" s="173">
        <f>INS_PCT*HARD_ESC_TOT*RET_SH*N11*D_OPEX_F</f>
        <v>242273.84260651</v>
      </c>
      <c r="O14" s="173">
        <f>INS_PCT*HARD_ESC_TOT*RET_SH*O11*D_OPEX_F</f>
        <v>266501.226867161</v>
      </c>
      <c r="P14" s="173">
        <f>INS_PCT*HARD_ESC_TOT*RET_SH*P11*D_OPEX_F</f>
        <v>293151.349553877</v>
      </c>
      <c r="Q14" s="173">
        <f>INS_PCT*HARD_ESC_TOT*RET_SH*Q11*D_OPEX_F</f>
        <v>322466.484509264</v>
      </c>
      <c r="R14" s="173">
        <f>INS_PCT*HARD_ESC_TOT*RET_SH*R11*D_OPEX_F</f>
        <v>354713.132960191</v>
      </c>
    </row>
    <row r="15">
      <c r="B15" s="36" t="inlineStr">
        <is>
          <t>Property tax</t>
        </is>
      </c>
      <c r="C15" s="117" t="inlineStr">
        <is>
          <t>ETB</t>
        </is>
      </c>
      <c r="D15" s="169">
        <f>SUM(E15:R15)</f>
        <v>2349156.26196485</v>
      </c>
      <c r="E15" s="173" t="n">
        <v>0</v>
      </c>
      <c r="F15" s="173" t="n">
        <v>0</v>
      </c>
      <c r="G15" s="173" t="n">
        <v>0</v>
      </c>
      <c r="H15" s="173" t="n">
        <v>0</v>
      </c>
      <c r="I15" s="173">
        <f>PROPTAX_PCT*(HARD_ESC_TOT+LAND_TOT)*RET_SH*I11</f>
        <v>147398.73729771</v>
      </c>
      <c r="J15" s="173">
        <f>PROPTAX_PCT*(HARD_ESC_TOT+LAND_TOT)*RET_SH*J11</f>
        <v>162138.611027481</v>
      </c>
      <c r="K15" s="173">
        <f>PROPTAX_PCT*(HARD_ESC_TOT+LAND_TOT)*RET_SH*K11</f>
        <v>178352.472130229</v>
      </c>
      <c r="L15" s="173">
        <f>PROPTAX_PCT*(HARD_ESC_TOT+LAND_TOT)*RET_SH*L11</f>
        <v>196187.719343252</v>
      </c>
      <c r="M15" s="173">
        <f>PROPTAX_PCT*(HARD_ESC_TOT+LAND_TOT)*RET_SH*M11</f>
        <v>215806.491277577</v>
      </c>
      <c r="N15" s="173">
        <f>PROPTAX_PCT*(HARD_ESC_TOT+LAND_TOT)*RET_SH*N11</f>
        <v>237387.140405334</v>
      </c>
      <c r="O15" s="173">
        <f>PROPTAX_PCT*(HARD_ESC_TOT+LAND_TOT)*RET_SH*O11</f>
        <v>261125.854445868</v>
      </c>
      <c r="P15" s="173">
        <f>PROPTAX_PCT*(HARD_ESC_TOT+LAND_TOT)*RET_SH*P11</f>
        <v>287238.439890455</v>
      </c>
      <c r="Q15" s="173">
        <f>PROPTAX_PCT*(HARD_ESC_TOT+LAND_TOT)*RET_SH*Q11</f>
        <v>315962.2838795</v>
      </c>
      <c r="R15" s="173">
        <f>PROPTAX_PCT*(HARD_ESC_TOT+LAND_TOT)*RET_SH*R11</f>
        <v>347558.51226745</v>
      </c>
    </row>
    <row r="16">
      <c r="B16" s="36" t="inlineStr">
        <is>
          <t>Maintenance reserve</t>
        </is>
      </c>
      <c r="C16" s="117" t="inlineStr">
        <is>
          <t>ETB</t>
        </is>
      </c>
      <c r="D16" s="169">
        <f>SUM(E16:R16)</f>
        <v>7991715.04541168</v>
      </c>
      <c r="E16" s="173" t="n">
        <v>0</v>
      </c>
      <c r="F16" s="173" t="n">
        <v>0</v>
      </c>
      <c r="G16" s="173" t="n">
        <v>0</v>
      </c>
      <c r="H16" s="173" t="n">
        <v>0</v>
      </c>
      <c r="I16" s="173">
        <f>MAINT_PCT*HARD_ESC_TOT*RET_SH*I11*D_OPEX_F</f>
        <v>501443.316312865</v>
      </c>
      <c r="J16" s="173">
        <f>MAINT_PCT*HARD_ESC_TOT*RET_SH*J11*D_OPEX_F</f>
        <v>551587.647944151</v>
      </c>
      <c r="K16" s="173">
        <f>MAINT_PCT*HARD_ESC_TOT*RET_SH*K11*D_OPEX_F</f>
        <v>606746.412738566</v>
      </c>
      <c r="L16" s="173">
        <f>MAINT_PCT*HARD_ESC_TOT*RET_SH*L11*D_OPEX_F</f>
        <v>667421.054012423</v>
      </c>
      <c r="M16" s="173">
        <f>MAINT_PCT*HARD_ESC_TOT*RET_SH*M11*D_OPEX_F</f>
        <v>734163.159413665</v>
      </c>
      <c r="N16" s="173">
        <f>MAINT_PCT*HARD_ESC_TOT*RET_SH*N11*D_OPEX_F</f>
        <v>807579.475355032</v>
      </c>
      <c r="O16" s="173">
        <f>MAINT_PCT*HARD_ESC_TOT*RET_SH*O11*D_OPEX_F</f>
        <v>888337.422890535</v>
      </c>
      <c r="P16" s="173">
        <f>MAINT_PCT*HARD_ESC_TOT*RET_SH*P11*D_OPEX_F</f>
        <v>977171.165179589</v>
      </c>
      <c r="Q16" s="173">
        <f>MAINT_PCT*HARD_ESC_TOT*RET_SH*Q11*D_OPEX_F</f>
        <v>1074888.28169755</v>
      </c>
      <c r="R16" s="173">
        <f>MAINT_PCT*HARD_ESC_TOT*RET_SH*R11*D_OPEX_F</f>
        <v>1182377.1098673</v>
      </c>
    </row>
    <row r="17">
      <c r="B17" s="36" t="inlineStr">
        <is>
          <t>Marketing</t>
        </is>
      </c>
      <c r="C17" s="117" t="inlineStr">
        <is>
          <t>ETB</t>
        </is>
      </c>
      <c r="D17" s="169">
        <f>SUM(E17:R17)</f>
        <v>4983638.11796824</v>
      </c>
      <c r="E17" s="170">
        <f>'24_Revenue'!E45</f>
        <v>1075351.01450162</v>
      </c>
      <c r="F17" s="170">
        <f>'24_Revenue'!F45</f>
        <v>1182886.11595178</v>
      </c>
      <c r="G17" s="170">
        <f>'24_Revenue'!G45</f>
        <v>1016141.43551484</v>
      </c>
      <c r="H17" s="170">
        <f>'24_Revenue'!H45</f>
        <v>0</v>
      </c>
      <c r="I17" s="170">
        <f>'24_Revenue'!I45</f>
        <v>986111.280000001</v>
      </c>
      <c r="J17" s="170">
        <f>'24_Revenue'!J45</f>
        <v>723148.272</v>
      </c>
      <c r="K17" s="170">
        <f>'24_Revenue'!K45</f>
        <v>0</v>
      </c>
      <c r="L17" s="170">
        <f>'24_Revenue'!L45</f>
        <v>0</v>
      </c>
      <c r="M17" s="170">
        <f>'24_Revenue'!M45</f>
        <v>0</v>
      </c>
      <c r="N17" s="170">
        <f>'24_Revenue'!N45</f>
        <v>0</v>
      </c>
      <c r="O17" s="170">
        <f>'24_Revenue'!O45</f>
        <v>0</v>
      </c>
      <c r="P17" s="170">
        <f>'24_Revenue'!P45</f>
        <v>0</v>
      </c>
      <c r="Q17" s="170">
        <f>'24_Revenue'!Q45</f>
        <v>0</v>
      </c>
      <c r="R17" s="170">
        <f>'24_Revenue'!R45</f>
        <v>0</v>
      </c>
    </row>
    <row r="18">
      <c r="B18" s="36" t="inlineStr">
        <is>
          <t>Owner overheads</t>
        </is>
      </c>
      <c r="C18" s="117" t="inlineStr">
        <is>
          <t>ETB</t>
        </is>
      </c>
      <c r="D18" s="169">
        <f>SUM(E18:R18)</f>
        <v>24270632.9348087</v>
      </c>
      <c r="E18" s="173" t="n">
        <v>0</v>
      </c>
      <c r="F18" s="173" t="n">
        <v>0</v>
      </c>
      <c r="G18" s="173" t="n">
        <v>0</v>
      </c>
      <c r="H18" s="173" t="n">
        <v>0</v>
      </c>
      <c r="I18" s="173">
        <f>IF(PROJECT_MODE=0,0,OVERHEAD*I11*D_OPEX_F)</f>
        <v>1522870.44754306</v>
      </c>
      <c r="J18" s="173">
        <f>IF(PROJECT_MODE=0,0,OVERHEAD*J11*D_OPEX_F)</f>
        <v>1675157.49229737</v>
      </c>
      <c r="K18" s="173">
        <f>IF(PROJECT_MODE=0,0,OVERHEAD*K11*D_OPEX_F)</f>
        <v>1842673.2415271</v>
      </c>
      <c r="L18" s="173">
        <f>IF(PROJECT_MODE=0,0,OVERHEAD*L11*D_OPEX_F)</f>
        <v>2026940.56567981</v>
      </c>
      <c r="M18" s="173">
        <f>IF(PROJECT_MODE=0,0,OVERHEAD*M11*D_OPEX_F)</f>
        <v>2229634.6222478</v>
      </c>
      <c r="N18" s="173">
        <f>IF(PROJECT_MODE=0,0,OVERHEAD*N11*D_OPEX_F)</f>
        <v>2452598.08447258</v>
      </c>
      <c r="O18" s="173">
        <f>IF(PROJECT_MODE=0,0,OVERHEAD*O11*D_OPEX_F)</f>
        <v>2697857.89291983</v>
      </c>
      <c r="P18" s="173">
        <f>IF(PROJECT_MODE=0,0,OVERHEAD*P11*D_OPEX_F)</f>
        <v>2967643.68221182</v>
      </c>
      <c r="Q18" s="173">
        <f>IF(PROJECT_MODE=0,0,OVERHEAD*Q11*D_OPEX_F)</f>
        <v>3264408.050433</v>
      </c>
      <c r="R18" s="173">
        <f>IF(PROJECT_MODE=0,0,OVERHEAD*R11*D_OPEX_F)</f>
        <v>3590848.8554763</v>
      </c>
    </row>
    <row r="19">
      <c r="B19" s="36" t="inlineStr">
        <is>
          <t>Bad debts</t>
        </is>
      </c>
      <c r="C19" s="117" t="inlineStr">
        <is>
          <t>ETB</t>
        </is>
      </c>
      <c r="D19" s="169">
        <f>SUM(E19:R19)</f>
        <v>8279661.6277558</v>
      </c>
      <c r="E19" s="173">
        <f>BAD_DEBT*'24_Revenue'!E55</f>
        <v>0</v>
      </c>
      <c r="F19" s="173">
        <f>BAD_DEBT*'24_Revenue'!F55</f>
        <v>0</v>
      </c>
      <c r="G19" s="173">
        <f>BAD_DEBT*'24_Revenue'!G55</f>
        <v>0</v>
      </c>
      <c r="H19" s="173">
        <f>BAD_DEBT*'24_Revenue'!H55</f>
        <v>0</v>
      </c>
      <c r="I19" s="173">
        <f>BAD_DEBT*'24_Revenue'!I55</f>
        <v>385757.301044664</v>
      </c>
      <c r="J19" s="173">
        <f>BAD_DEBT*'24_Revenue'!J55</f>
        <v>555490.513504316</v>
      </c>
      <c r="K19" s="173">
        <f>BAD_DEBT*'24_Revenue'!K55</f>
        <v>689919.21777236</v>
      </c>
      <c r="L19" s="173">
        <f>BAD_DEBT*'24_Revenue'!L55</f>
        <v>745112.755194149</v>
      </c>
      <c r="M19" s="173">
        <f>BAD_DEBT*'24_Revenue'!M55</f>
        <v>804721.775609681</v>
      </c>
      <c r="N19" s="173">
        <f>BAD_DEBT*'24_Revenue'!N55</f>
        <v>869099.517658455</v>
      </c>
      <c r="O19" s="173">
        <f>BAD_DEBT*'24_Revenue'!O55</f>
        <v>938627.479071132</v>
      </c>
      <c r="P19" s="173">
        <f>BAD_DEBT*'24_Revenue'!P55</f>
        <v>1013717.67739682</v>
      </c>
      <c r="Q19" s="173">
        <f>BAD_DEBT*'24_Revenue'!Q55</f>
        <v>1094815.09158857</v>
      </c>
      <c r="R19" s="173">
        <f>BAD_DEBT*'24_Revenue'!R55</f>
        <v>1182400.29891565</v>
      </c>
    </row>
    <row r="20">
      <c r="B20" s="97" t="inlineStr">
        <is>
          <t>TOTAL OPERATING COSTS</t>
        </is>
      </c>
      <c r="C20" s="180" t="inlineStr">
        <is>
          <t>ETB</t>
        </is>
      </c>
      <c r="D20" s="181">
        <f>SUM(E20:R20)</f>
        <v>124789273.151335</v>
      </c>
      <c r="E20" s="182">
        <f>E12+E13+E14+E15+E16+E17+E18+E19</f>
        <v>1075351.01450162</v>
      </c>
      <c r="F20" s="182">
        <f>F12+F13+F14+F15+F16+F17+F18+F19</f>
        <v>1182886.11595178</v>
      </c>
      <c r="G20" s="182">
        <f>G12+G13+G14+G15+G16+G17+G18+G19</f>
        <v>1016141.43551484</v>
      </c>
      <c r="H20" s="182">
        <f>H12+H13+H14+H15+H16+H17+H18+H19</f>
        <v>0</v>
      </c>
      <c r="I20" s="182">
        <f>I12+I13+I14+I15+I16+I17+I18+I19</f>
        <v>7165829.78649413</v>
      </c>
      <c r="J20" s="182">
        <f>J12+J13+J14+J15+J16+J17+J18+J19</f>
        <v>8832413.4526954</v>
      </c>
      <c r="K20" s="182">
        <f>K12+K13+K14+K15+K16+K17+K18+K19</f>
        <v>9708988.22794107</v>
      </c>
      <c r="L20" s="182">
        <f>L12+L13+L14+L15+L16+L17+L18+L19</f>
        <v>10541903.2071807</v>
      </c>
      <c r="M20" s="182">
        <f>M12+M13+M14+M15+M16+M17+M18+M19</f>
        <v>11447070.9768599</v>
      </c>
      <c r="N20" s="182">
        <f>N12+N13+N14+N15+N16+N17+N18+N19</f>
        <v>12430833.719424</v>
      </c>
      <c r="O20" s="182">
        <f>O12+O13+O14+O15+O16+O17+O18+O19</f>
        <v>13500097.1878347</v>
      </c>
      <c r="P20" s="182">
        <f>P12+P13+P14+P15+P16+P17+P18+P19</f>
        <v>14662381.410804</v>
      </c>
      <c r="Q20" s="182">
        <f>Q12+Q13+Q14+Q15+Q16+Q17+Q18+Q19</f>
        <v>15925876.016405</v>
      </c>
      <c r="R20" s="182">
        <f>R12+R13+R14+R15+R16+R17+R18+R19</f>
        <v>17299500.5997278</v>
      </c>
    </row>
    <row r="21">
      <c r="B21" s="36" t="inlineStr">
        <is>
          <t>Opex base carrying input VAT</t>
        </is>
      </c>
      <c r="C21" s="117" t="inlineStr">
        <is>
          <t>ETB</t>
        </is>
      </c>
      <c r="D21" s="169">
        <f>SUM(E21:R21)</f>
        <v>43746153.9065911</v>
      </c>
      <c r="E21" s="173">
        <f>OPEX_VAT_PCT*(E12+E13+E16+E17)</f>
        <v>537675.507250809</v>
      </c>
      <c r="F21" s="173">
        <f>OPEX_VAT_PCT*(F12+F13+F16+F17)</f>
        <v>591443.05797589</v>
      </c>
      <c r="G21" s="173">
        <f>OPEX_VAT_PCT*(G12+G13+G16+G17)</f>
        <v>508070.717757422</v>
      </c>
      <c r="H21" s="173">
        <f>OPEX_VAT_PCT*(H12+H13+H16+H17)</f>
        <v>0</v>
      </c>
      <c r="I21" s="173">
        <f>OPEX_VAT_PCT*(I12+I13+I16+I17)</f>
        <v>2479685.15285742</v>
      </c>
      <c r="J21" s="173">
        <f>OPEX_VAT_PCT*(J12+J13+J16+J17)</f>
        <v>3137075.2707415</v>
      </c>
      <c r="K21" s="173">
        <f>OPEX_VAT_PCT*(K12+K13+K16+K17)</f>
        <v>3408009.6863449</v>
      </c>
      <c r="L21" s="173">
        <f>OPEX_VAT_PCT*(L12+L13+L16+L17)</f>
        <v>3686717.92537988</v>
      </c>
      <c r="M21" s="173">
        <f>OPEX_VAT_PCT*(M12+M13+M16+M17)</f>
        <v>3988329.5699504</v>
      </c>
      <c r="N21" s="173">
        <f>OPEX_VAT_PCT*(N12+N13+N16+N17)</f>
        <v>4314737.56714057</v>
      </c>
      <c r="O21" s="173">
        <f>OPEX_VAT_PCT*(O12+O13+O16+O17)</f>
        <v>4667992.36726536</v>
      </c>
      <c r="P21" s="173">
        <f>OPEX_VAT_PCT*(P12+P13+P16+P17)</f>
        <v>5050315.1308755</v>
      </c>
      <c r="Q21" s="173">
        <f>OPEX_VAT_PCT*(Q12+Q13+Q16+Q17)</f>
        <v>5464112.05299733</v>
      </c>
      <c r="R21" s="173">
        <f>OPEX_VAT_PCT*(R12+R13+R16+R17)</f>
        <v>5911989.90005409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F5FAD"/>
    <outlinePr summaryBelow="1" summaryRight="1"/>
    <pageSetUpPr fitToPage="1"/>
  </sheetPr>
  <dimension ref="A1:R4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26 · Assets &amp; depreciation (IAS 2 / 16 / 40)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ንብረትና የእርጅና ቅናሽ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Capex accrual and allocation</t>
        </is>
      </c>
      <c r="C10" s="37" t="inlineStr">
        <is>
          <t>የወጪ ድልድል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Capex accrual (incl. capitalised finance)</t>
        </is>
      </c>
      <c r="C11" s="117" t="inlineStr">
        <is>
          <t>ETB</t>
        </is>
      </c>
      <c r="D11" s="169">
        <f>SUM(E11:R11)</f>
        <v>550660431.329137</v>
      </c>
      <c r="E11" s="173">
        <f>SUMIFS('23_Construction'!$E$30:$AZ$30,'23_Construction'!$E$12:$AZ$12,'20_Timeline'!E11)</f>
        <v>267400665.879451</v>
      </c>
      <c r="F11" s="173">
        <f>SUMIFS('23_Construction'!$E$30:$AZ$30,'23_Construction'!$E$12:$AZ$12,'20_Timeline'!F11)</f>
        <v>243310609.607445</v>
      </c>
      <c r="G11" s="173">
        <f>SUMIFS('23_Construction'!$E$30:$AZ$30,'23_Construction'!$E$12:$AZ$12,'20_Timeline'!G11)</f>
        <v>39949155.8422414</v>
      </c>
      <c r="H11" s="173">
        <f>SUMIFS('23_Construction'!$E$30:$AZ$30,'23_Construction'!$E$12:$AZ$12,'20_Timeline'!H11)</f>
        <v>0</v>
      </c>
      <c r="I11" s="173">
        <f>SUMIFS('23_Construction'!$E$30:$AZ$30,'23_Construction'!$E$12:$AZ$12,'20_Timeline'!I11)</f>
        <v>0</v>
      </c>
      <c r="J11" s="173">
        <f>SUMIFS('23_Construction'!$E$30:$AZ$30,'23_Construction'!$E$12:$AZ$12,'20_Timeline'!J11)</f>
        <v>0</v>
      </c>
      <c r="K11" s="173">
        <f>SUMIFS('23_Construction'!$E$30:$AZ$30,'23_Construction'!$E$12:$AZ$12,'20_Timeline'!K11)</f>
        <v>0</v>
      </c>
      <c r="L11" s="173">
        <f>SUMIFS('23_Construction'!$E$30:$AZ$30,'23_Construction'!$E$12:$AZ$12,'20_Timeline'!L11)</f>
        <v>0</v>
      </c>
      <c r="M11" s="173">
        <f>SUMIFS('23_Construction'!$E$30:$AZ$30,'23_Construction'!$E$12:$AZ$12,'20_Timeline'!M11)</f>
        <v>0</v>
      </c>
      <c r="N11" s="173">
        <f>SUMIFS('23_Construction'!$E$30:$AZ$30,'23_Construction'!$E$12:$AZ$12,'20_Timeline'!N11)</f>
        <v>0</v>
      </c>
      <c r="O11" s="173">
        <f>SUMIFS('23_Construction'!$E$30:$AZ$30,'23_Construction'!$E$12:$AZ$12,'20_Timeline'!O11)</f>
        <v>0</v>
      </c>
      <c r="P11" s="173">
        <f>SUMIFS('23_Construction'!$E$30:$AZ$30,'23_Construction'!$E$12:$AZ$12,'20_Timeline'!P11)</f>
        <v>0</v>
      </c>
      <c r="Q11" s="173">
        <f>SUMIFS('23_Construction'!$E$30:$AZ$30,'23_Construction'!$E$12:$AZ$12,'20_Timeline'!Q11)</f>
        <v>0</v>
      </c>
      <c r="R11" s="173">
        <f>SUMIFS('23_Construction'!$E$30:$AZ$30,'23_Construction'!$E$12:$AZ$12,'20_Timeline'!R11)</f>
        <v>0</v>
      </c>
    </row>
    <row r="12">
      <c r="B12" s="36" t="inlineStr">
        <is>
          <t xml:space="preserve">  of which IDC (non-cash)</t>
        </is>
      </c>
      <c r="C12" s="117" t="inlineStr">
        <is>
          <t>ETB</t>
        </is>
      </c>
      <c r="D12" s="169">
        <f>SUM(E12:R12)</f>
        <v>17535681.8706267</v>
      </c>
      <c r="E12" s="173">
        <f>SUMIFS('23_Construction'!$E$29:$AZ$29,'23_Construction'!$E$12:$AZ$12,'20_Timeline'!E11)</f>
        <v>0</v>
      </c>
      <c r="F12" s="173">
        <f>SUMIFS('23_Construction'!$E$29:$AZ$29,'23_Construction'!$E$12:$AZ$12,'20_Timeline'!F11)</f>
        <v>7972174.21506759</v>
      </c>
      <c r="G12" s="173">
        <f>SUMIFS('23_Construction'!$E$29:$AZ$29,'23_Construction'!$E$12:$AZ$12,'20_Timeline'!G11)</f>
        <v>9563507.65555912</v>
      </c>
      <c r="H12" s="173">
        <f>SUMIFS('23_Construction'!$E$29:$AZ$29,'23_Construction'!$E$12:$AZ$12,'20_Timeline'!H11)</f>
        <v>0</v>
      </c>
      <c r="I12" s="173">
        <f>SUMIFS('23_Construction'!$E$29:$AZ$29,'23_Construction'!$E$12:$AZ$12,'20_Timeline'!I11)</f>
        <v>0</v>
      </c>
      <c r="J12" s="173">
        <f>SUMIFS('23_Construction'!$E$29:$AZ$29,'23_Construction'!$E$12:$AZ$12,'20_Timeline'!J11)</f>
        <v>0</v>
      </c>
      <c r="K12" s="173">
        <f>SUMIFS('23_Construction'!$E$29:$AZ$29,'23_Construction'!$E$12:$AZ$12,'20_Timeline'!K11)</f>
        <v>0</v>
      </c>
      <c r="L12" s="173">
        <f>SUMIFS('23_Construction'!$E$29:$AZ$29,'23_Construction'!$E$12:$AZ$12,'20_Timeline'!L11)</f>
        <v>0</v>
      </c>
      <c r="M12" s="173">
        <f>SUMIFS('23_Construction'!$E$29:$AZ$29,'23_Construction'!$E$12:$AZ$12,'20_Timeline'!M11)</f>
        <v>0</v>
      </c>
      <c r="N12" s="173">
        <f>SUMIFS('23_Construction'!$E$29:$AZ$29,'23_Construction'!$E$12:$AZ$12,'20_Timeline'!N11)</f>
        <v>0</v>
      </c>
      <c r="O12" s="173">
        <f>SUMIFS('23_Construction'!$E$29:$AZ$29,'23_Construction'!$E$12:$AZ$12,'20_Timeline'!O11)</f>
        <v>0</v>
      </c>
      <c r="P12" s="173">
        <f>SUMIFS('23_Construction'!$E$29:$AZ$29,'23_Construction'!$E$12:$AZ$12,'20_Timeline'!P11)</f>
        <v>0</v>
      </c>
      <c r="Q12" s="173">
        <f>SUMIFS('23_Construction'!$E$29:$AZ$29,'23_Construction'!$E$12:$AZ$12,'20_Timeline'!Q11)</f>
        <v>0</v>
      </c>
      <c r="R12" s="173">
        <f>SUMIFS('23_Construction'!$E$29:$AZ$29,'23_Construction'!$E$12:$AZ$12,'20_Timeline'!R11)</f>
        <v>0</v>
      </c>
    </row>
    <row r="13">
      <c r="B13" s="36" t="inlineStr">
        <is>
          <t>Cumulative capex</t>
        </is>
      </c>
      <c r="C13" s="117" t="inlineStr">
        <is>
          <t>ETB</t>
        </is>
      </c>
      <c r="D13" s="169">
        <f>R13</f>
        <v>550660431.329137</v>
      </c>
      <c r="E13" s="173">
        <f>0+E11</f>
        <v>267400665.879451</v>
      </c>
      <c r="F13" s="173">
        <f>E13+F11</f>
        <v>510711275.486896</v>
      </c>
      <c r="G13" s="173">
        <f>F13+G11</f>
        <v>550660431.329137</v>
      </c>
      <c r="H13" s="173">
        <f>G13+H11</f>
        <v>550660431.329137</v>
      </c>
      <c r="I13" s="173">
        <f>H13+I11</f>
        <v>550660431.329137</v>
      </c>
      <c r="J13" s="173">
        <f>I13+J11</f>
        <v>550660431.329137</v>
      </c>
      <c r="K13" s="173">
        <f>J13+K11</f>
        <v>550660431.329137</v>
      </c>
      <c r="L13" s="173">
        <f>K13+L11</f>
        <v>550660431.329137</v>
      </c>
      <c r="M13" s="173">
        <f>L13+M11</f>
        <v>550660431.329137</v>
      </c>
      <c r="N13" s="173">
        <f>M13+N11</f>
        <v>550660431.329137</v>
      </c>
      <c r="O13" s="173">
        <f>N13+O11</f>
        <v>550660431.329137</v>
      </c>
      <c r="P13" s="173">
        <f>O13+P11</f>
        <v>550660431.329137</v>
      </c>
      <c r="Q13" s="173">
        <f>P13+Q11</f>
        <v>550660431.329137</v>
      </c>
      <c r="R13" s="173">
        <f>Q13+R11</f>
        <v>550660431.329137</v>
      </c>
    </row>
    <row r="14">
      <c r="B14" s="36" t="inlineStr">
        <is>
          <t>Additions – inventory (IAS 2)</t>
        </is>
      </c>
      <c r="C14" s="117" t="inlineStr">
        <is>
          <t>ETB</t>
        </is>
      </c>
      <c r="D14" s="169">
        <f>SUM(E14:R14)</f>
        <v>414382765.793035</v>
      </c>
      <c r="E14" s="173">
        <f>INV_SH*E11</f>
        <v>201224241.288904</v>
      </c>
      <c r="F14" s="173">
        <f>INV_SH*F11</f>
        <v>183096001.854651</v>
      </c>
      <c r="G14" s="173">
        <f>INV_SH*G11</f>
        <v>30062522.6494806</v>
      </c>
      <c r="H14" s="173">
        <f>INV_SH*H11</f>
        <v>0</v>
      </c>
      <c r="I14" s="173">
        <f>INV_SH*I11</f>
        <v>0</v>
      </c>
      <c r="J14" s="173">
        <f>INV_SH*J11</f>
        <v>0</v>
      </c>
      <c r="K14" s="173">
        <f>INV_SH*K11</f>
        <v>0</v>
      </c>
      <c r="L14" s="173">
        <f>INV_SH*L11</f>
        <v>0</v>
      </c>
      <c r="M14" s="173">
        <f>INV_SH*M11</f>
        <v>0</v>
      </c>
      <c r="N14" s="173">
        <f>INV_SH*N11</f>
        <v>0</v>
      </c>
      <c r="O14" s="173">
        <f>INV_SH*O11</f>
        <v>0</v>
      </c>
      <c r="P14" s="173">
        <f>INV_SH*P11</f>
        <v>0</v>
      </c>
      <c r="Q14" s="173">
        <f>INV_SH*Q11</f>
        <v>0</v>
      </c>
      <c r="R14" s="173">
        <f>INV_SH*R11</f>
        <v>0</v>
      </c>
    </row>
    <row r="15">
      <c r="B15" s="36" t="inlineStr">
        <is>
          <t>Additions – investment property (IAS 40)</t>
        </is>
      </c>
      <c r="C15" s="117" t="inlineStr">
        <is>
          <t>ETB</t>
        </is>
      </c>
      <c r="D15" s="169">
        <f>SUM(E15:R15)</f>
        <v>136277665.536102</v>
      </c>
      <c r="E15" s="173">
        <f>IP_SH*E11</f>
        <v>66176424.5905473</v>
      </c>
      <c r="F15" s="173">
        <f>IP_SH*F11</f>
        <v>60214607.7527943</v>
      </c>
      <c r="G15" s="173">
        <f>IP_SH*G11</f>
        <v>9886633.19276074</v>
      </c>
      <c r="H15" s="173">
        <f>IP_SH*H11</f>
        <v>0</v>
      </c>
      <c r="I15" s="173">
        <f>IP_SH*I11</f>
        <v>0</v>
      </c>
      <c r="J15" s="173">
        <f>IP_SH*J11</f>
        <v>0</v>
      </c>
      <c r="K15" s="173">
        <f>IP_SH*K11</f>
        <v>0</v>
      </c>
      <c r="L15" s="173">
        <f>IP_SH*L11</f>
        <v>0</v>
      </c>
      <c r="M15" s="173">
        <f>IP_SH*M11</f>
        <v>0</v>
      </c>
      <c r="N15" s="173">
        <f>IP_SH*N11</f>
        <v>0</v>
      </c>
      <c r="O15" s="173">
        <f>IP_SH*O11</f>
        <v>0</v>
      </c>
      <c r="P15" s="173">
        <f>IP_SH*P11</f>
        <v>0</v>
      </c>
      <c r="Q15" s="173">
        <f>IP_SH*Q11</f>
        <v>0</v>
      </c>
      <c r="R15" s="173">
        <f>IP_SH*R11</f>
        <v>0</v>
      </c>
    </row>
    <row r="16">
      <c r="B16" s="36" t="inlineStr">
        <is>
          <t>Additions – owner-occupied (IAS 16)</t>
        </is>
      </c>
      <c r="C16" s="117" t="inlineStr">
        <is>
          <t>ETB</t>
        </is>
      </c>
      <c r="D16" s="169">
        <f>SUM(E16:R16)</f>
        <v>0</v>
      </c>
      <c r="E16" s="173">
        <f>PPE_SH*E11</f>
        <v>0</v>
      </c>
      <c r="F16" s="173">
        <f>PPE_SH*F11</f>
        <v>0</v>
      </c>
      <c r="G16" s="173">
        <f>PPE_SH*G11</f>
        <v>0</v>
      </c>
      <c r="H16" s="173">
        <f>PPE_SH*H11</f>
        <v>0</v>
      </c>
      <c r="I16" s="173">
        <f>PPE_SH*I11</f>
        <v>0</v>
      </c>
      <c r="J16" s="173">
        <f>PPE_SH*J11</f>
        <v>0</v>
      </c>
      <c r="K16" s="173">
        <f>PPE_SH*K11</f>
        <v>0</v>
      </c>
      <c r="L16" s="173">
        <f>PPE_SH*L11</f>
        <v>0</v>
      </c>
      <c r="M16" s="173">
        <f>PPE_SH*M11</f>
        <v>0</v>
      </c>
      <c r="N16" s="173">
        <f>PPE_SH*N11</f>
        <v>0</v>
      </c>
      <c r="O16" s="173">
        <f>PPE_SH*O11</f>
        <v>0</v>
      </c>
      <c r="P16" s="173">
        <f>PPE_SH*P11</f>
        <v>0</v>
      </c>
      <c r="Q16" s="173">
        <f>PPE_SH*Q11</f>
        <v>0</v>
      </c>
      <c r="R16" s="173">
        <f>PPE_SH*R11</f>
        <v>0</v>
      </c>
    </row>
    <row r="17" ht="20" customHeight="1">
      <c r="B17" s="113" t="inlineStr">
        <is>
          <t>Accounting depreciation – components, straight line from O1</t>
        </is>
      </c>
      <c r="C17" s="37" t="inlineStr">
        <is>
          <t>የሂሳብ እርጅና ቅናሽ</t>
        </is>
      </c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</row>
    <row r="18">
      <c r="B18" s="36" t="inlineStr">
        <is>
          <t>Structure</t>
        </is>
      </c>
      <c r="C18" s="117" t="inlineStr">
        <is>
          <t>ETB</t>
        </is>
      </c>
      <c r="D18" s="169">
        <f>SUM(E18:R18)</f>
        <v>14192785.4404123</v>
      </c>
      <c r="E18" s="173" t="n">
        <v>0</v>
      </c>
      <c r="F18" s="173" t="n">
        <v>0</v>
      </c>
      <c r="G18" s="173" t="n">
        <v>0</v>
      </c>
      <c r="H18" s="173" t="n">
        <v>0</v>
      </c>
      <c r="I18" s="173">
        <f>MIN(BASE_STR/MAX(1,LIFE_BLD),BASE_STR-H19)</f>
        <v>1419278.54404123</v>
      </c>
      <c r="J18" s="173">
        <f>MIN(BASE_STR/MAX(1,LIFE_BLD),BASE_STR-I19)</f>
        <v>1419278.54404123</v>
      </c>
      <c r="K18" s="173">
        <f>MIN(BASE_STR/MAX(1,LIFE_BLD),BASE_STR-J19)</f>
        <v>1419278.54404123</v>
      </c>
      <c r="L18" s="173">
        <f>MIN(BASE_STR/MAX(1,LIFE_BLD),BASE_STR-K19)</f>
        <v>1419278.54404123</v>
      </c>
      <c r="M18" s="173">
        <f>MIN(BASE_STR/MAX(1,LIFE_BLD),BASE_STR-L19)</f>
        <v>1419278.54404123</v>
      </c>
      <c r="N18" s="173">
        <f>MIN(BASE_STR/MAX(1,LIFE_BLD),BASE_STR-M19)</f>
        <v>1419278.54404123</v>
      </c>
      <c r="O18" s="173">
        <f>MIN(BASE_STR/MAX(1,LIFE_BLD),BASE_STR-N19)</f>
        <v>1419278.54404123</v>
      </c>
      <c r="P18" s="173">
        <f>MIN(BASE_STR/MAX(1,LIFE_BLD),BASE_STR-O19)</f>
        <v>1419278.54404123</v>
      </c>
      <c r="Q18" s="173">
        <f>MIN(BASE_STR/MAX(1,LIFE_BLD),BASE_STR-P19)</f>
        <v>1419278.54404123</v>
      </c>
      <c r="R18" s="173">
        <f>MIN(BASE_STR/MAX(1,LIFE_BLD),BASE_STR-Q19)</f>
        <v>1419278.54404123</v>
      </c>
    </row>
    <row r="19">
      <c r="B19" s="36" t="inlineStr">
        <is>
          <t xml:space="preserve">  cumulative</t>
        </is>
      </c>
      <c r="C19" s="117" t="inlineStr">
        <is>
          <t>ETB</t>
        </is>
      </c>
      <c r="D19" s="169">
        <f>R19</f>
        <v>14192785.4404123</v>
      </c>
      <c r="E19" s="173">
        <f>0+E18</f>
        <v>0</v>
      </c>
      <c r="F19" s="173">
        <f>E19+F18</f>
        <v>0</v>
      </c>
      <c r="G19" s="173">
        <f>F19+G18</f>
        <v>0</v>
      </c>
      <c r="H19" s="173">
        <f>G19+H18</f>
        <v>0</v>
      </c>
      <c r="I19" s="173">
        <f>H19+I18</f>
        <v>1419278.54404123</v>
      </c>
      <c r="J19" s="173">
        <f>I19+J18</f>
        <v>2838557.08808246</v>
      </c>
      <c r="K19" s="173">
        <f>J19+K18</f>
        <v>4257835.63212369</v>
      </c>
      <c r="L19" s="173">
        <f>K19+L18</f>
        <v>5677114.17616492</v>
      </c>
      <c r="M19" s="173">
        <f>L19+M18</f>
        <v>7096392.72020615</v>
      </c>
      <c r="N19" s="173">
        <f>M19+N18</f>
        <v>8515671.26424738</v>
      </c>
      <c r="O19" s="173">
        <f>N19+O18</f>
        <v>9934949.80828861</v>
      </c>
      <c r="P19" s="173">
        <f>O19+P18</f>
        <v>11354228.3523298</v>
      </c>
      <c r="Q19" s="173">
        <f>P19+Q18</f>
        <v>12773506.8963711</v>
      </c>
      <c r="R19" s="173">
        <f>Q19+R18</f>
        <v>14192785.4404123</v>
      </c>
    </row>
    <row r="20">
      <c r="B20" s="36" t="inlineStr">
        <is>
          <t>Systems (MEP, lifts)</t>
        </is>
      </c>
      <c r="C20" s="117" t="inlineStr">
        <is>
          <t>ETB</t>
        </is>
      </c>
      <c r="D20" s="169">
        <f>SUM(E20:R20)</f>
        <v>13353397.7224515</v>
      </c>
      <c r="E20" s="173" t="n">
        <v>0</v>
      </c>
      <c r="F20" s="173" t="n">
        <v>0</v>
      </c>
      <c r="G20" s="173" t="n">
        <v>0</v>
      </c>
      <c r="H20" s="173" t="n">
        <v>0</v>
      </c>
      <c r="I20" s="173">
        <f>MIN(BASE_SYS/MAX(1,LIFE_SYS),BASE_SYS-H21)</f>
        <v>1335339.77224515</v>
      </c>
      <c r="J20" s="173">
        <f>MIN(BASE_SYS/MAX(1,LIFE_SYS),BASE_SYS-I21)</f>
        <v>1335339.77224515</v>
      </c>
      <c r="K20" s="173">
        <f>MIN(BASE_SYS/MAX(1,LIFE_SYS),BASE_SYS-J21)</f>
        <v>1335339.77224515</v>
      </c>
      <c r="L20" s="173">
        <f>MIN(BASE_SYS/MAX(1,LIFE_SYS),BASE_SYS-K21)</f>
        <v>1335339.77224515</v>
      </c>
      <c r="M20" s="173">
        <f>MIN(BASE_SYS/MAX(1,LIFE_SYS),BASE_SYS-L21)</f>
        <v>1335339.77224515</v>
      </c>
      <c r="N20" s="173">
        <f>MIN(BASE_SYS/MAX(1,LIFE_SYS),BASE_SYS-M21)</f>
        <v>1335339.77224515</v>
      </c>
      <c r="O20" s="173">
        <f>MIN(BASE_SYS/MAX(1,LIFE_SYS),BASE_SYS-N21)</f>
        <v>1335339.77224515</v>
      </c>
      <c r="P20" s="173">
        <f>MIN(BASE_SYS/MAX(1,LIFE_SYS),BASE_SYS-O21)</f>
        <v>1335339.77224515</v>
      </c>
      <c r="Q20" s="173">
        <f>MIN(BASE_SYS/MAX(1,LIFE_SYS),BASE_SYS-P21)</f>
        <v>1335339.77224515</v>
      </c>
      <c r="R20" s="173">
        <f>MIN(BASE_SYS/MAX(1,LIFE_SYS),BASE_SYS-Q21)</f>
        <v>1335339.77224515</v>
      </c>
    </row>
    <row r="21">
      <c r="B21" s="36" t="inlineStr">
        <is>
          <t xml:space="preserve">  cumulative</t>
        </is>
      </c>
      <c r="C21" s="117" t="inlineStr">
        <is>
          <t>ETB</t>
        </is>
      </c>
      <c r="D21" s="169">
        <f>R21</f>
        <v>13353397.7224515</v>
      </c>
      <c r="E21" s="173">
        <f>0+E20</f>
        <v>0</v>
      </c>
      <c r="F21" s="173">
        <f>E21+F20</f>
        <v>0</v>
      </c>
      <c r="G21" s="173">
        <f>F21+G20</f>
        <v>0</v>
      </c>
      <c r="H21" s="173">
        <f>G21+H20</f>
        <v>0</v>
      </c>
      <c r="I21" s="173">
        <f>H21+I20</f>
        <v>1335339.77224515</v>
      </c>
      <c r="J21" s="173">
        <f>I21+J20</f>
        <v>2670679.54449031</v>
      </c>
      <c r="K21" s="173">
        <f>J21+K20</f>
        <v>4006019.31673546</v>
      </c>
      <c r="L21" s="173">
        <f>K21+L20</f>
        <v>5341359.08898061</v>
      </c>
      <c r="M21" s="173">
        <f>L21+M20</f>
        <v>6676698.86122576</v>
      </c>
      <c r="N21" s="173">
        <f>M21+N20</f>
        <v>8012038.63347092</v>
      </c>
      <c r="O21" s="173">
        <f>N21+O20</f>
        <v>9347378.40571607</v>
      </c>
      <c r="P21" s="173">
        <f>O21+P20</f>
        <v>10682718.1779612</v>
      </c>
      <c r="Q21" s="173">
        <f>P21+Q20</f>
        <v>12018057.9502064</v>
      </c>
      <c r="R21" s="173">
        <f>Q21+R20</f>
        <v>13353397.7224515</v>
      </c>
    </row>
    <row r="22">
      <c r="B22" s="36" t="inlineStr">
        <is>
          <t>FF&amp;E (life capped)</t>
        </is>
      </c>
      <c r="C22" s="117" t="inlineStr">
        <is>
          <t>ETB</t>
        </is>
      </c>
      <c r="D22" s="169">
        <f>SUM(E22:R22)</f>
        <v>1484882.41881299</v>
      </c>
      <c r="E22" s="173" t="n">
        <v>0</v>
      </c>
      <c r="F22" s="173" t="n">
        <v>0</v>
      </c>
      <c r="G22" s="173" t="n">
        <v>0</v>
      </c>
      <c r="H22" s="173" t="n">
        <v>0</v>
      </c>
      <c r="I22" s="173">
        <f>MIN(BASE_FFE/MAX(1,MIN(LIFE_FFE,FFE_LIFE_CAP)),BASE_FFE-H23)</f>
        <v>212126.059830427</v>
      </c>
      <c r="J22" s="173">
        <f>MIN(BASE_FFE/MAX(1,MIN(LIFE_FFE,FFE_LIFE_CAP)),BASE_FFE-I23)</f>
        <v>212126.059830427</v>
      </c>
      <c r="K22" s="173">
        <f>MIN(BASE_FFE/MAX(1,MIN(LIFE_FFE,FFE_LIFE_CAP)),BASE_FFE-J23)</f>
        <v>212126.059830427</v>
      </c>
      <c r="L22" s="173">
        <f>MIN(BASE_FFE/MAX(1,MIN(LIFE_FFE,FFE_LIFE_CAP)),BASE_FFE-K23)</f>
        <v>212126.059830427</v>
      </c>
      <c r="M22" s="173">
        <f>MIN(BASE_FFE/MAX(1,MIN(LIFE_FFE,FFE_LIFE_CAP)),BASE_FFE-L23)</f>
        <v>212126.059830427</v>
      </c>
      <c r="N22" s="173">
        <f>MIN(BASE_FFE/MAX(1,MIN(LIFE_FFE,FFE_LIFE_CAP)),BASE_FFE-M23)</f>
        <v>212126.059830427</v>
      </c>
      <c r="O22" s="173">
        <f>MIN(BASE_FFE/MAX(1,MIN(LIFE_FFE,FFE_LIFE_CAP)),BASE_FFE-N23)</f>
        <v>212126.059830427</v>
      </c>
      <c r="P22" s="173">
        <f>MIN(BASE_FFE/MAX(1,MIN(LIFE_FFE,FFE_LIFE_CAP)),BASE_FFE-O23)</f>
        <v>0</v>
      </c>
      <c r="Q22" s="173">
        <f>MIN(BASE_FFE/MAX(1,MIN(LIFE_FFE,FFE_LIFE_CAP)),BASE_FFE-P23)</f>
        <v>0</v>
      </c>
      <c r="R22" s="173">
        <f>MIN(BASE_FFE/MAX(1,MIN(LIFE_FFE,FFE_LIFE_CAP)),BASE_FFE-Q23)</f>
        <v>0</v>
      </c>
    </row>
    <row r="23">
      <c r="B23" s="36" t="inlineStr">
        <is>
          <t xml:space="preserve">  cumulative</t>
        </is>
      </c>
      <c r="C23" s="117" t="inlineStr">
        <is>
          <t>ETB</t>
        </is>
      </c>
      <c r="D23" s="169">
        <f>R23</f>
        <v>1484882.41881299</v>
      </c>
      <c r="E23" s="173">
        <f>0+E22</f>
        <v>0</v>
      </c>
      <c r="F23" s="173">
        <f>E23+F22</f>
        <v>0</v>
      </c>
      <c r="G23" s="173">
        <f>F23+G22</f>
        <v>0</v>
      </c>
      <c r="H23" s="173">
        <f>G23+H22</f>
        <v>0</v>
      </c>
      <c r="I23" s="173">
        <f>H23+I22</f>
        <v>212126.059830427</v>
      </c>
      <c r="J23" s="173">
        <f>I23+J22</f>
        <v>424252.119660854</v>
      </c>
      <c r="K23" s="173">
        <f>J23+K22</f>
        <v>636378.179491281</v>
      </c>
      <c r="L23" s="173">
        <f>K23+L22</f>
        <v>848504.239321709</v>
      </c>
      <c r="M23" s="173">
        <f>L23+M22</f>
        <v>1060630.29915214</v>
      </c>
      <c r="N23" s="173">
        <f>M23+N22</f>
        <v>1272756.35898256</v>
      </c>
      <c r="O23" s="173">
        <f>N23+O22</f>
        <v>1484882.41881299</v>
      </c>
      <c r="P23" s="173">
        <f>O23+P22</f>
        <v>1484882.41881299</v>
      </c>
      <c r="Q23" s="173">
        <f>P23+Q22</f>
        <v>1484882.41881299</v>
      </c>
      <c r="R23" s="173">
        <f>Q23+R22</f>
        <v>1484882.41881299</v>
      </c>
    </row>
    <row r="24">
      <c r="B24" s="97" t="inlineStr">
        <is>
          <t>Total depreciation</t>
        </is>
      </c>
      <c r="C24" s="180" t="inlineStr">
        <is>
          <t>ETB</t>
        </is>
      </c>
      <c r="D24" s="181">
        <f>SUM(E24:R24)</f>
        <v>29031065.5816768</v>
      </c>
      <c r="E24" s="182">
        <f>E18+E20+E22</f>
        <v>0</v>
      </c>
      <c r="F24" s="182">
        <f>F18+F20+F22</f>
        <v>0</v>
      </c>
      <c r="G24" s="182">
        <f>G18+G20+G22</f>
        <v>0</v>
      </c>
      <c r="H24" s="182">
        <f>H18+H20+H22</f>
        <v>0</v>
      </c>
      <c r="I24" s="182">
        <f>I18+I20+I22</f>
        <v>2966744.37611681</v>
      </c>
      <c r="J24" s="182">
        <f>J18+J20+J22</f>
        <v>2966744.37611681</v>
      </c>
      <c r="K24" s="182">
        <f>K18+K20+K22</f>
        <v>2966744.37611681</v>
      </c>
      <c r="L24" s="182">
        <f>L18+L20+L22</f>
        <v>2966744.37611681</v>
      </c>
      <c r="M24" s="182">
        <f>M18+M20+M22</f>
        <v>2966744.37611681</v>
      </c>
      <c r="N24" s="182">
        <f>N18+N20+N22</f>
        <v>2966744.37611681</v>
      </c>
      <c r="O24" s="182">
        <f>O18+O20+O22</f>
        <v>2966744.37611681</v>
      </c>
      <c r="P24" s="182">
        <f>P18+P20+P22</f>
        <v>2754618.31628638</v>
      </c>
      <c r="Q24" s="182">
        <f>Q18+Q20+Q22</f>
        <v>2754618.31628638</v>
      </c>
      <c r="R24" s="182">
        <f>R18+R20+R22</f>
        <v>2754618.31628638</v>
      </c>
    </row>
    <row r="25">
      <c r="B25" s="36" t="inlineStr">
        <is>
          <t>Cumulative depreciation</t>
        </is>
      </c>
      <c r="C25" s="117" t="inlineStr">
        <is>
          <t>ETB</t>
        </is>
      </c>
      <c r="D25" s="169">
        <f>R25</f>
        <v>29031065.5816768</v>
      </c>
      <c r="E25" s="173">
        <f>0+E24</f>
        <v>0</v>
      </c>
      <c r="F25" s="173">
        <f>E25+F24</f>
        <v>0</v>
      </c>
      <c r="G25" s="173">
        <f>F25+G24</f>
        <v>0</v>
      </c>
      <c r="H25" s="173">
        <f>G25+H24</f>
        <v>0</v>
      </c>
      <c r="I25" s="173">
        <f>H25+I24</f>
        <v>2966744.37611681</v>
      </c>
      <c r="J25" s="173">
        <f>I25+J24</f>
        <v>5933488.75223362</v>
      </c>
      <c r="K25" s="173">
        <f>J25+K24</f>
        <v>8900233.12835043</v>
      </c>
      <c r="L25" s="173">
        <f>K25+L24</f>
        <v>11866977.5044672</v>
      </c>
      <c r="M25" s="173">
        <f>L25+M24</f>
        <v>14833721.8805841</v>
      </c>
      <c r="N25" s="173">
        <f>M25+N24</f>
        <v>17800466.2567009</v>
      </c>
      <c r="O25" s="173">
        <f>N25+O24</f>
        <v>20767210.6328177</v>
      </c>
      <c r="P25" s="173">
        <f>O25+P24</f>
        <v>23521828.9491041</v>
      </c>
      <c r="Q25" s="173">
        <f>P25+Q24</f>
        <v>26276447.2653904</v>
      </c>
      <c r="R25" s="173">
        <f>Q25+R24</f>
        <v>29031065.5816768</v>
      </c>
    </row>
    <row r="26">
      <c r="B26" s="36" t="inlineStr">
        <is>
          <t xml:space="preserve">  allocated to investment property</t>
        </is>
      </c>
      <c r="C26" s="117" t="inlineStr">
        <is>
          <t>ETB</t>
        </is>
      </c>
      <c r="D26" s="169">
        <f>SUM(E26:R26)</f>
        <v>29031065.5816768</v>
      </c>
      <c r="E26" s="173">
        <f>IF(RET_SH&gt;0,E24*IP_SH/RET_SH,0)</f>
        <v>0</v>
      </c>
      <c r="F26" s="173">
        <f>IF(RET_SH&gt;0,F24*IP_SH/RET_SH,0)</f>
        <v>0</v>
      </c>
      <c r="G26" s="173">
        <f>IF(RET_SH&gt;0,G24*IP_SH/RET_SH,0)</f>
        <v>0</v>
      </c>
      <c r="H26" s="173">
        <f>IF(RET_SH&gt;0,H24*IP_SH/RET_SH,0)</f>
        <v>0</v>
      </c>
      <c r="I26" s="173">
        <f>IF(RET_SH&gt;0,I24*IP_SH/RET_SH,0)</f>
        <v>2966744.37611681</v>
      </c>
      <c r="J26" s="173">
        <f>IF(RET_SH&gt;0,J24*IP_SH/RET_SH,0)</f>
        <v>2966744.37611681</v>
      </c>
      <c r="K26" s="173">
        <f>IF(RET_SH&gt;0,K24*IP_SH/RET_SH,0)</f>
        <v>2966744.37611681</v>
      </c>
      <c r="L26" s="173">
        <f>IF(RET_SH&gt;0,L24*IP_SH/RET_SH,0)</f>
        <v>2966744.37611681</v>
      </c>
      <c r="M26" s="173">
        <f>IF(RET_SH&gt;0,M24*IP_SH/RET_SH,0)</f>
        <v>2966744.37611681</v>
      </c>
      <c r="N26" s="173">
        <f>IF(RET_SH&gt;0,N24*IP_SH/RET_SH,0)</f>
        <v>2966744.37611681</v>
      </c>
      <c r="O26" s="173">
        <f>IF(RET_SH&gt;0,O24*IP_SH/RET_SH,0)</f>
        <v>2966744.37611681</v>
      </c>
      <c r="P26" s="173">
        <f>IF(RET_SH&gt;0,P24*IP_SH/RET_SH,0)</f>
        <v>2754618.31628638</v>
      </c>
      <c r="Q26" s="173">
        <f>IF(RET_SH&gt;0,Q24*IP_SH/RET_SH,0)</f>
        <v>2754618.31628638</v>
      </c>
      <c r="R26" s="173">
        <f>IF(RET_SH&gt;0,R24*IP_SH/RET_SH,0)</f>
        <v>2754618.31628638</v>
      </c>
    </row>
    <row r="27">
      <c r="B27" s="36" t="inlineStr">
        <is>
          <t xml:space="preserve">  allocated to owner-occupied PPE</t>
        </is>
      </c>
      <c r="C27" s="117" t="inlineStr">
        <is>
          <t>ETB</t>
        </is>
      </c>
      <c r="D27" s="169">
        <f>SUM(E27:R27)</f>
        <v>0</v>
      </c>
      <c r="E27" s="173">
        <f>E24-E26</f>
        <v>0</v>
      </c>
      <c r="F27" s="173">
        <f>F24-F26</f>
        <v>0</v>
      </c>
      <c r="G27" s="173">
        <f>G24-G26</f>
        <v>0</v>
      </c>
      <c r="H27" s="173">
        <f>H24-H26</f>
        <v>0</v>
      </c>
      <c r="I27" s="173">
        <f>I24-I26</f>
        <v>0</v>
      </c>
      <c r="J27" s="173">
        <f>J24-J26</f>
        <v>0</v>
      </c>
      <c r="K27" s="173">
        <f>K24-K26</f>
        <v>0</v>
      </c>
      <c r="L27" s="173">
        <f>L24-L26</f>
        <v>0</v>
      </c>
      <c r="M27" s="173">
        <f>M24-M26</f>
        <v>0</v>
      </c>
      <c r="N27" s="173">
        <f>N24-N26</f>
        <v>0</v>
      </c>
      <c r="O27" s="173">
        <f>O24-O26</f>
        <v>0</v>
      </c>
      <c r="P27" s="173">
        <f>P24-P26</f>
        <v>0</v>
      </c>
      <c r="Q27" s="173">
        <f>Q24-Q26</f>
        <v>0</v>
      </c>
      <c r="R27" s="173">
        <f>R24-R26</f>
        <v>0</v>
      </c>
    </row>
    <row r="28" ht="20" customHeight="1">
      <c r="B28" s="113" t="inlineStr">
        <is>
          <t>Carrying amounts</t>
        </is>
      </c>
      <c r="C28" s="37" t="inlineStr">
        <is>
          <t>የመዝገብ ዋጋ</t>
        </is>
      </c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</row>
    <row r="29">
      <c r="B29" s="36" t="inlineStr">
        <is>
          <t>Investment property (cost model)</t>
        </is>
      </c>
      <c r="C29" s="117" t="inlineStr">
        <is>
          <t>ETB</t>
        </is>
      </c>
      <c r="D29" s="169">
        <f>R29</f>
        <v>107246599.954425</v>
      </c>
      <c r="E29" s="173">
        <f>IP_SH*E13-0-E26</f>
        <v>66176424.5905473</v>
      </c>
      <c r="F29" s="173">
        <f>IP_SH*F13-E30-F26</f>
        <v>126391032.343342</v>
      </c>
      <c r="G29" s="173">
        <f>IP_SH*G13-F30-G26</f>
        <v>136277665.536102</v>
      </c>
      <c r="H29" s="173">
        <f>IP_SH*H13-G30-H26</f>
        <v>136277665.536102</v>
      </c>
      <c r="I29" s="173">
        <f>IP_SH*I13-H30-I26</f>
        <v>133310921.159985</v>
      </c>
      <c r="J29" s="173">
        <f>IP_SH*J13-I30-J26</f>
        <v>130344176.783869</v>
      </c>
      <c r="K29" s="173">
        <f>IP_SH*K13-J30-K26</f>
        <v>127377432.407752</v>
      </c>
      <c r="L29" s="173">
        <f>IP_SH*L13-K30-L26</f>
        <v>124410688.031635</v>
      </c>
      <c r="M29" s="173">
        <f>IP_SH*M13-L30-M26</f>
        <v>121443943.655518</v>
      </c>
      <c r="N29" s="173">
        <f>IP_SH*N13-M30-N26</f>
        <v>118477199.279401</v>
      </c>
      <c r="O29" s="173">
        <f>IP_SH*O13-N30-O26</f>
        <v>115510454.903285</v>
      </c>
      <c r="P29" s="173">
        <f>IP_SH*P13-O30-P26</f>
        <v>112755836.586998</v>
      </c>
      <c r="Q29" s="173">
        <f>IP_SH*Q13-P30-Q26</f>
        <v>110001218.270712</v>
      </c>
      <c r="R29" s="173">
        <f>IP_SH*R13-Q30-R26</f>
        <v>107246599.954425</v>
      </c>
    </row>
    <row r="30">
      <c r="B30" s="36" t="inlineStr">
        <is>
          <t xml:space="preserve">  cumulative depreciation IP</t>
        </is>
      </c>
      <c r="C30" s="117" t="inlineStr">
        <is>
          <t>ETB</t>
        </is>
      </c>
      <c r="D30" s="169">
        <f>R30</f>
        <v>29031065.5816768</v>
      </c>
      <c r="E30" s="173">
        <f>0+E26</f>
        <v>0</v>
      </c>
      <c r="F30" s="173">
        <f>E30+F26</f>
        <v>0</v>
      </c>
      <c r="G30" s="173">
        <f>F30+G26</f>
        <v>0</v>
      </c>
      <c r="H30" s="173">
        <f>G30+H26</f>
        <v>0</v>
      </c>
      <c r="I30" s="173">
        <f>H30+I26</f>
        <v>2966744.37611681</v>
      </c>
      <c r="J30" s="173">
        <f>I30+J26</f>
        <v>5933488.75223362</v>
      </c>
      <c r="K30" s="173">
        <f>J30+K26</f>
        <v>8900233.12835043</v>
      </c>
      <c r="L30" s="173">
        <f>K30+L26</f>
        <v>11866977.5044672</v>
      </c>
      <c r="M30" s="173">
        <f>L30+M26</f>
        <v>14833721.8805841</v>
      </c>
      <c r="N30" s="173">
        <f>M30+N26</f>
        <v>17800466.2567009</v>
      </c>
      <c r="O30" s="173">
        <f>N30+O26</f>
        <v>20767210.6328177</v>
      </c>
      <c r="P30" s="173">
        <f>O30+P26</f>
        <v>23521828.9491041</v>
      </c>
      <c r="Q30" s="173">
        <f>P30+Q26</f>
        <v>26276447.2653904</v>
      </c>
      <c r="R30" s="173">
        <f>Q30+R26</f>
        <v>29031065.5816768</v>
      </c>
    </row>
    <row r="31">
      <c r="B31" s="36" t="inlineStr">
        <is>
          <t>Owner-occupied PPE</t>
        </is>
      </c>
      <c r="C31" s="117" t="inlineStr">
        <is>
          <t>ETB</t>
        </is>
      </c>
      <c r="D31" s="169">
        <f>R31</f>
        <v>0</v>
      </c>
      <c r="E31" s="173">
        <f>PPE_SH*E13-0-E27</f>
        <v>0</v>
      </c>
      <c r="F31" s="173">
        <f>PPE_SH*F13-E32-F27</f>
        <v>0</v>
      </c>
      <c r="G31" s="173">
        <f>PPE_SH*G13-F32-G27</f>
        <v>0</v>
      </c>
      <c r="H31" s="173">
        <f>PPE_SH*H13-G32-H27</f>
        <v>0</v>
      </c>
      <c r="I31" s="173">
        <f>PPE_SH*I13-H32-I27</f>
        <v>0</v>
      </c>
      <c r="J31" s="173">
        <f>PPE_SH*J13-I32-J27</f>
        <v>0</v>
      </c>
      <c r="K31" s="173">
        <f>PPE_SH*K13-J32-K27</f>
        <v>0</v>
      </c>
      <c r="L31" s="173">
        <f>PPE_SH*L13-K32-L27</f>
        <v>0</v>
      </c>
      <c r="M31" s="173">
        <f>PPE_SH*M13-L32-M27</f>
        <v>0</v>
      </c>
      <c r="N31" s="173">
        <f>PPE_SH*N13-M32-N27</f>
        <v>0</v>
      </c>
      <c r="O31" s="173">
        <f>PPE_SH*O13-N32-O27</f>
        <v>0</v>
      </c>
      <c r="P31" s="173">
        <f>PPE_SH*P13-O32-P27</f>
        <v>0</v>
      </c>
      <c r="Q31" s="173">
        <f>PPE_SH*Q13-P32-Q27</f>
        <v>0</v>
      </c>
      <c r="R31" s="173">
        <f>PPE_SH*R13-Q32-R27</f>
        <v>0</v>
      </c>
    </row>
    <row r="32">
      <c r="B32" s="36" t="inlineStr">
        <is>
          <t xml:space="preserve">  cumulative depreciation PPE</t>
        </is>
      </c>
      <c r="C32" s="117" t="inlineStr">
        <is>
          <t>ETB</t>
        </is>
      </c>
      <c r="D32" s="169">
        <f>R32</f>
        <v>0</v>
      </c>
      <c r="E32" s="173">
        <f>0+E27</f>
        <v>0</v>
      </c>
      <c r="F32" s="173">
        <f>E32+F27</f>
        <v>0</v>
      </c>
      <c r="G32" s="173">
        <f>F32+G27</f>
        <v>0</v>
      </c>
      <c r="H32" s="173">
        <f>G32+H27</f>
        <v>0</v>
      </c>
      <c r="I32" s="173">
        <f>H32+I27</f>
        <v>0</v>
      </c>
      <c r="J32" s="173">
        <f>I32+J27</f>
        <v>0</v>
      </c>
      <c r="K32" s="173">
        <f>J32+K27</f>
        <v>0</v>
      </c>
      <c r="L32" s="173">
        <f>K32+L27</f>
        <v>0</v>
      </c>
      <c r="M32" s="173">
        <f>L32+M27</f>
        <v>0</v>
      </c>
      <c r="N32" s="173">
        <f>M32+N27</f>
        <v>0</v>
      </c>
      <c r="O32" s="173">
        <f>N32+O27</f>
        <v>0</v>
      </c>
      <c r="P32" s="173">
        <f>O32+P27</f>
        <v>0</v>
      </c>
      <c r="Q32" s="173">
        <f>P32+Q27</f>
        <v>0</v>
      </c>
      <c r="R32" s="173">
        <f>Q32+R27</f>
        <v>0</v>
      </c>
    </row>
    <row r="33">
      <c r="B33" s="36" t="inlineStr">
        <is>
          <t>Inventory (IAS 2)</t>
        </is>
      </c>
      <c r="C33" s="117" t="inlineStr">
        <is>
          <t>ETB</t>
        </is>
      </c>
      <c r="D33" s="169">
        <f>R33</f>
        <v>0</v>
      </c>
      <c r="E33" s="173">
        <f>INV_SH*E13-0-'24_Revenue'!E42</f>
        <v>201224241.288904</v>
      </c>
      <c r="F33" s="173">
        <f>INV_SH*F13-E34-'24_Revenue'!F42</f>
        <v>384320243.143554</v>
      </c>
      <c r="G33" s="173">
        <f>INV_SH*G13-F34-'24_Revenue'!G42</f>
        <v>124314829.737911</v>
      </c>
      <c r="H33" s="173">
        <f>INV_SH*H13-G34-'24_Revenue'!H42</f>
        <v>124314829.737911</v>
      </c>
      <c r="I33" s="173">
        <f>INV_SH*I13-H34-'24_Revenue'!I42</f>
        <v>49725931.8951642</v>
      </c>
      <c r="J33" s="173">
        <f>INV_SH*J13-I34-'24_Revenue'!J42</f>
        <v>0</v>
      </c>
      <c r="K33" s="173">
        <f>INV_SH*K13-J34-'24_Revenue'!K42</f>
        <v>0</v>
      </c>
      <c r="L33" s="173">
        <f>INV_SH*L13-K34-'24_Revenue'!L42</f>
        <v>0</v>
      </c>
      <c r="M33" s="173">
        <f>INV_SH*M13-L34-'24_Revenue'!M42</f>
        <v>0</v>
      </c>
      <c r="N33" s="173">
        <f>INV_SH*N13-M34-'24_Revenue'!N42</f>
        <v>0</v>
      </c>
      <c r="O33" s="173">
        <f>INV_SH*O13-N34-'24_Revenue'!O42</f>
        <v>0</v>
      </c>
      <c r="P33" s="173">
        <f>INV_SH*P13-O34-'24_Revenue'!P42</f>
        <v>0</v>
      </c>
      <c r="Q33" s="173">
        <f>INV_SH*Q13-P34-'24_Revenue'!Q42</f>
        <v>0</v>
      </c>
      <c r="R33" s="173">
        <f>INV_SH*R13-Q34-'24_Revenue'!R42</f>
        <v>0</v>
      </c>
    </row>
    <row r="34">
      <c r="B34" s="36" t="inlineStr">
        <is>
          <t xml:space="preserve">  cumulative cost of sales</t>
        </is>
      </c>
      <c r="C34" s="117" t="inlineStr">
        <is>
          <t>ETB</t>
        </is>
      </c>
      <c r="D34" s="169">
        <f>R34</f>
        <v>414382765.793035</v>
      </c>
      <c r="E34" s="173">
        <f>0+'24_Revenue'!E42</f>
        <v>0</v>
      </c>
      <c r="F34" s="173">
        <f>E34+'24_Revenue'!F42</f>
        <v>0</v>
      </c>
      <c r="G34" s="173">
        <f>F34+'24_Revenue'!G42</f>
        <v>290067936.055125</v>
      </c>
      <c r="H34" s="173">
        <f>G34+'24_Revenue'!H42</f>
        <v>290067936.055125</v>
      </c>
      <c r="I34" s="173">
        <f>H34+'24_Revenue'!I42</f>
        <v>364656833.897871</v>
      </c>
      <c r="J34" s="173">
        <f>I34+'24_Revenue'!J42</f>
        <v>414382765.793035</v>
      </c>
      <c r="K34" s="173">
        <f>J34+'24_Revenue'!K42</f>
        <v>414382765.793035</v>
      </c>
      <c r="L34" s="173">
        <f>K34+'24_Revenue'!L42</f>
        <v>414382765.793035</v>
      </c>
      <c r="M34" s="173">
        <f>L34+'24_Revenue'!M42</f>
        <v>414382765.793035</v>
      </c>
      <c r="N34" s="173">
        <f>M34+'24_Revenue'!N42</f>
        <v>414382765.793035</v>
      </c>
      <c r="O34" s="173">
        <f>N34+'24_Revenue'!O42</f>
        <v>414382765.793035</v>
      </c>
      <c r="P34" s="173">
        <f>O34+'24_Revenue'!P42</f>
        <v>414382765.793035</v>
      </c>
      <c r="Q34" s="173">
        <f>P34+'24_Revenue'!Q42</f>
        <v>414382765.793035</v>
      </c>
      <c r="R34" s="173">
        <f>Q34+'24_Revenue'!R42</f>
        <v>414382765.793035</v>
      </c>
    </row>
    <row r="35">
      <c r="B35" s="36" t="inlineStr">
        <is>
          <t>Depreciable base (excl. land)</t>
        </is>
      </c>
      <c r="C35" s="117" t="inlineStr">
        <is>
          <t>ETB</t>
        </is>
      </c>
      <c r="D35" s="169">
        <f>R35</f>
        <v>99155605.0657776</v>
      </c>
      <c r="E35" s="173">
        <f>BASE_STR+BASE_SYS+BASE_FFE</f>
        <v>99155605.0657776</v>
      </c>
      <c r="F35" s="173">
        <f>BASE_STR+BASE_SYS+BASE_FFE</f>
        <v>99155605.0657776</v>
      </c>
      <c r="G35" s="173">
        <f>BASE_STR+BASE_SYS+BASE_FFE</f>
        <v>99155605.0657776</v>
      </c>
      <c r="H35" s="173">
        <f>BASE_STR+BASE_SYS+BASE_FFE</f>
        <v>99155605.0657776</v>
      </c>
      <c r="I35" s="173">
        <f>BASE_STR+BASE_SYS+BASE_FFE</f>
        <v>99155605.0657776</v>
      </c>
      <c r="J35" s="173">
        <f>BASE_STR+BASE_SYS+BASE_FFE</f>
        <v>99155605.0657776</v>
      </c>
      <c r="K35" s="173">
        <f>BASE_STR+BASE_SYS+BASE_FFE</f>
        <v>99155605.0657776</v>
      </c>
      <c r="L35" s="173">
        <f>BASE_STR+BASE_SYS+BASE_FFE</f>
        <v>99155605.0657776</v>
      </c>
      <c r="M35" s="173">
        <f>BASE_STR+BASE_SYS+BASE_FFE</f>
        <v>99155605.0657776</v>
      </c>
      <c r="N35" s="173">
        <f>BASE_STR+BASE_SYS+BASE_FFE</f>
        <v>99155605.0657776</v>
      </c>
      <c r="O35" s="173">
        <f>BASE_STR+BASE_SYS+BASE_FFE</f>
        <v>99155605.0657776</v>
      </c>
      <c r="P35" s="173">
        <f>BASE_STR+BASE_SYS+BASE_FFE</f>
        <v>99155605.0657776</v>
      </c>
      <c r="Q35" s="173">
        <f>BASE_STR+BASE_SYS+BASE_FFE</f>
        <v>99155605.0657776</v>
      </c>
      <c r="R35" s="173">
        <f>BASE_STR+BASE_SYS+BASE_FFE</f>
        <v>99155605.0657776</v>
      </c>
    </row>
    <row r="36" ht="20" customHeight="1">
      <c r="B36" s="113" t="inlineStr">
        <is>
          <t>IAS 36 impairment test (value in use vs carrying amount)</t>
        </is>
      </c>
      <c r="C36" s="37" t="inlineStr">
        <is>
          <t>የንብረት ዋጋ መቀነስ ፈተና</t>
        </is>
      </c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</row>
    <row r="37">
      <c r="B37" s="36" t="inlineStr">
        <is>
          <t>Value in use (PV of NOI + exit value)</t>
        </is>
      </c>
      <c r="C37" s="117" t="inlineStr">
        <is>
          <t>ETB</t>
        </is>
      </c>
      <c r="E37" s="173" t="n">
        <v>0</v>
      </c>
      <c r="F37" s="173" t="n">
        <v>0</v>
      </c>
      <c r="G37" s="173" t="n">
        <v>0</v>
      </c>
      <c r="H37" s="173" t="n">
        <v>0</v>
      </c>
      <c r="I37" s="173">
        <f>(J37+'24_Revenue'!J62)/(1+DISC_EFF)</f>
        <v>292810677.250253</v>
      </c>
      <c r="J37" s="173">
        <f>(K37+'24_Revenue'!K62)/(1+DISC_EFF)</f>
        <v>321016473.857712</v>
      </c>
      <c r="K37" s="173">
        <f>(L37+'24_Revenue'!L62)/(1+DISC_EFF)</f>
        <v>348339156.76992</v>
      </c>
      <c r="L37" s="173">
        <f>(M37+'24_Revenue'!M62)/(1+DISC_EFF)</f>
        <v>378147922.471925</v>
      </c>
      <c r="M37" s="173">
        <f>(N37+'24_Revenue'!N62)/(1+DISC_EFF)</f>
        <v>410696188.100756</v>
      </c>
      <c r="N37" s="173">
        <f>(O37+'24_Revenue'!O62)/(1+DISC_EFF)</f>
        <v>446267507.881458</v>
      </c>
      <c r="O37" s="173">
        <f>(P37+'24_Revenue'!P62)/(1+DISC_EFF)</f>
        <v>485179764.385659</v>
      </c>
      <c r="P37" s="173">
        <f>(Q37+'24_Revenue'!Q62)/(1+DISC_EFF)</f>
        <v>527790016.025543</v>
      </c>
      <c r="Q37" s="173">
        <f>(R37+'24_Revenue'!R62)/(1+DISC_EFF)</f>
        <v>574500111.098535</v>
      </c>
      <c r="R37" s="170">
        <f>TV_GROSS</f>
        <v>625763197.93502</v>
      </c>
    </row>
    <row r="38">
      <c r="B38" s="36" t="inlineStr">
        <is>
          <t>Carrying amount (IP + PPE)</t>
        </is>
      </c>
      <c r="C38" s="117" t="inlineStr">
        <is>
          <t>ETB</t>
        </is>
      </c>
      <c r="E38" s="173">
        <f>E29+E31</f>
        <v>66176424.5905473</v>
      </c>
      <c r="F38" s="173">
        <f>F29+F31</f>
        <v>126391032.343342</v>
      </c>
      <c r="G38" s="173">
        <f>G29+G31</f>
        <v>136277665.536102</v>
      </c>
      <c r="H38" s="173">
        <f>H29+H31</f>
        <v>136277665.536102</v>
      </c>
      <c r="I38" s="173">
        <f>I29+I31</f>
        <v>133310921.159985</v>
      </c>
      <c r="J38" s="173">
        <f>J29+J31</f>
        <v>130344176.783869</v>
      </c>
      <c r="K38" s="173">
        <f>K29+K31</f>
        <v>127377432.407752</v>
      </c>
      <c r="L38" s="173">
        <f>L29+L31</f>
        <v>124410688.031635</v>
      </c>
      <c r="M38" s="173">
        <f>M29+M31</f>
        <v>121443943.655518</v>
      </c>
      <c r="N38" s="173">
        <f>N29+N31</f>
        <v>118477199.279401</v>
      </c>
      <c r="O38" s="173">
        <f>O29+O31</f>
        <v>115510454.903285</v>
      </c>
      <c r="P38" s="173">
        <f>P29+P31</f>
        <v>112755836.586998</v>
      </c>
      <c r="Q38" s="173">
        <f>Q29+Q31</f>
        <v>110001218.270712</v>
      </c>
      <c r="R38" s="173">
        <f>R29+R31</f>
        <v>107246599.954425</v>
      </c>
    </row>
    <row r="39">
      <c r="B39" s="36" t="inlineStr">
        <is>
          <t>Headroom</t>
        </is>
      </c>
      <c r="C39" s="117" t="inlineStr">
        <is>
          <t>ETB</t>
        </is>
      </c>
      <c r="D39" s="169">
        <f>MIN(E39:R39)</f>
        <v>0</v>
      </c>
      <c r="E39" s="173" t="n">
        <v>0</v>
      </c>
      <c r="F39" s="173" t="n">
        <v>0</v>
      </c>
      <c r="G39" s="173" t="n">
        <v>0</v>
      </c>
      <c r="H39" s="173" t="n">
        <v>0</v>
      </c>
      <c r="I39" s="173">
        <f>I37-I38</f>
        <v>159499756.090268</v>
      </c>
      <c r="J39" s="173">
        <f>J37-J38</f>
        <v>190672297.073843</v>
      </c>
      <c r="K39" s="173">
        <f>K37-K38</f>
        <v>220961724.362168</v>
      </c>
      <c r="L39" s="173">
        <f>L37-L38</f>
        <v>253737234.44029</v>
      </c>
      <c r="M39" s="173">
        <f>M37-M38</f>
        <v>289252244.445238</v>
      </c>
      <c r="N39" s="173">
        <f>N37-N38</f>
        <v>327790308.602057</v>
      </c>
      <c r="O39" s="173">
        <f>O37-O38</f>
        <v>369669309.482374</v>
      </c>
      <c r="P39" s="173">
        <f>P37-P38</f>
        <v>415034179.438545</v>
      </c>
      <c r="Q39" s="173">
        <f>Q37-Q38</f>
        <v>464498892.827824</v>
      </c>
      <c r="R39" s="173">
        <f>R37-R38</f>
        <v>518516597.980595</v>
      </c>
    </row>
    <row r="40">
      <c r="B40" s="36" t="inlineStr">
        <is>
          <t>Impairment indicator (1 = review)</t>
        </is>
      </c>
      <c r="C40" s="117" t="inlineStr">
        <is>
          <t>flag</t>
        </is>
      </c>
      <c r="D40" s="147">
        <f>SUM(E40:R40)</f>
        <v>0</v>
      </c>
      <c r="E40" s="148" t="n">
        <v>0</v>
      </c>
      <c r="F40" s="148" t="n">
        <v>0</v>
      </c>
      <c r="G40" s="148" t="n">
        <v>0</v>
      </c>
      <c r="H40" s="148" t="n">
        <v>0</v>
      </c>
      <c r="I40" s="148">
        <f>IF(AND(I38&gt;1,I39&lt;0),1,0)</f>
        <v>0</v>
      </c>
      <c r="J40" s="148">
        <f>IF(AND(J38&gt;1,J39&lt;0),1,0)</f>
        <v>0</v>
      </c>
      <c r="K40" s="148">
        <f>IF(AND(K38&gt;1,K39&lt;0),1,0)</f>
        <v>0</v>
      </c>
      <c r="L40" s="148">
        <f>IF(AND(L38&gt;1,L39&lt;0),1,0)</f>
        <v>0</v>
      </c>
      <c r="M40" s="148">
        <f>IF(AND(M38&gt;1,M39&lt;0),1,0)</f>
        <v>0</v>
      </c>
      <c r="N40" s="148">
        <f>IF(AND(N38&gt;1,N39&lt;0),1,0)</f>
        <v>0</v>
      </c>
      <c r="O40" s="148">
        <f>IF(AND(O38&gt;1,O39&lt;0),1,0)</f>
        <v>0</v>
      </c>
      <c r="P40" s="148">
        <f>IF(AND(P38&gt;1,P39&lt;0),1,0)</f>
        <v>0</v>
      </c>
      <c r="Q40" s="148">
        <f>IF(AND(Q38&gt;1,Q39&lt;0),1,0)</f>
        <v>0</v>
      </c>
      <c r="R40" s="148">
        <f>IF(AND(R38&gt;1,R39&lt;0),1,0)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KF86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9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  <col width="11.5" customWidth="1" min="64" max="64"/>
    <col width="11.5" customWidth="1" min="65" max="65"/>
    <col width="11.5" customWidth="1" min="66" max="66"/>
    <col width="11.5" customWidth="1" min="67" max="67"/>
    <col width="11.5" customWidth="1" min="68" max="68"/>
    <col width="11.5" customWidth="1" min="69" max="69"/>
    <col width="11.5" customWidth="1" min="70" max="70"/>
    <col width="11.5" customWidth="1" min="71" max="71"/>
    <col width="11.5" customWidth="1" min="72" max="72"/>
    <col width="11.5" customWidth="1" min="73" max="73"/>
    <col width="11.5" customWidth="1" min="74" max="74"/>
    <col width="11.5" customWidth="1" min="75" max="75"/>
    <col width="11.5" customWidth="1" min="76" max="76"/>
    <col width="11.5" customWidth="1" min="77" max="77"/>
    <col width="11.5" customWidth="1" min="78" max="78"/>
    <col width="11.5" customWidth="1" min="79" max="79"/>
    <col width="11.5" customWidth="1" min="80" max="80"/>
    <col width="11.5" customWidth="1" min="81" max="81"/>
    <col width="11.5" customWidth="1" min="82" max="82"/>
    <col width="11.5" customWidth="1" min="83" max="83"/>
    <col width="11.5" customWidth="1" min="84" max="84"/>
    <col width="11.5" customWidth="1" min="85" max="85"/>
    <col width="11.5" customWidth="1" min="86" max="86"/>
    <col width="11.5" customWidth="1" min="87" max="87"/>
    <col width="11.5" customWidth="1" min="88" max="88"/>
    <col width="11.5" customWidth="1" min="89" max="89"/>
    <col width="11.5" customWidth="1" min="90" max="90"/>
    <col width="11.5" customWidth="1" min="91" max="91"/>
    <col width="11.5" customWidth="1" min="92" max="92"/>
    <col width="11.5" customWidth="1" min="93" max="93"/>
    <col width="11.5" customWidth="1" min="94" max="94"/>
    <col width="11.5" customWidth="1" min="95" max="95"/>
    <col width="11.5" customWidth="1" min="96" max="96"/>
    <col width="11.5" customWidth="1" min="97" max="97"/>
    <col width="11.5" customWidth="1" min="98" max="98"/>
    <col width="11.5" customWidth="1" min="99" max="99"/>
    <col width="11.5" customWidth="1" min="100" max="100"/>
    <col width="11.5" customWidth="1" min="101" max="101"/>
    <col width="11.5" customWidth="1" min="102" max="102"/>
    <col width="11.5" customWidth="1" min="103" max="103"/>
    <col width="11.5" customWidth="1" min="104" max="104"/>
    <col width="11.5" customWidth="1" min="105" max="105"/>
    <col width="11.5" customWidth="1" min="106" max="106"/>
    <col width="11.5" customWidth="1" min="107" max="107"/>
    <col width="11.5" customWidth="1" min="108" max="108"/>
    <col width="11.5" customWidth="1" min="109" max="109"/>
    <col width="11.5" customWidth="1" min="110" max="110"/>
    <col width="11.5" customWidth="1" min="111" max="111"/>
    <col width="11.5" customWidth="1" min="112" max="112"/>
    <col width="11.5" customWidth="1" min="113" max="113"/>
    <col width="11.5" customWidth="1" min="114" max="114"/>
    <col width="11.5" customWidth="1" min="115" max="115"/>
    <col width="11.5" customWidth="1" min="116" max="116"/>
    <col width="11.5" customWidth="1" min="117" max="117"/>
    <col width="11.5" customWidth="1" min="118" max="118"/>
    <col width="11.5" customWidth="1" min="119" max="119"/>
    <col width="11.5" customWidth="1" min="120" max="120"/>
    <col width="11.5" customWidth="1" min="121" max="121"/>
    <col width="11.5" customWidth="1" min="122" max="122"/>
    <col width="11.5" customWidth="1" min="123" max="123"/>
    <col width="11.5" customWidth="1" min="124" max="124"/>
    <col width="11.5" customWidth="1" min="125" max="125"/>
    <col width="11.5" customWidth="1" min="126" max="126"/>
    <col width="11.5" customWidth="1" min="127" max="127"/>
    <col width="11.5" customWidth="1" min="128" max="128"/>
    <col width="11.5" customWidth="1" min="129" max="129"/>
    <col width="11.5" customWidth="1" min="130" max="130"/>
    <col width="11.5" customWidth="1" min="131" max="131"/>
    <col width="11.5" customWidth="1" min="132" max="132"/>
    <col width="11.5" customWidth="1" min="133" max="133"/>
    <col width="11.5" customWidth="1" min="134" max="134"/>
    <col width="11.5" customWidth="1" min="135" max="135"/>
    <col width="11.5" customWidth="1" min="136" max="136"/>
    <col width="11.5" customWidth="1" min="137" max="137"/>
    <col width="11.5" customWidth="1" min="138" max="138"/>
    <col width="11.5" customWidth="1" min="139" max="139"/>
    <col width="11.5" customWidth="1" min="140" max="140"/>
    <col width="11.5" customWidth="1" min="141" max="141"/>
    <col width="11.5" customWidth="1" min="142" max="142"/>
    <col width="11.5" customWidth="1" min="143" max="143"/>
    <col width="11.5" customWidth="1" min="144" max="144"/>
    <col width="11.5" customWidth="1" min="145" max="145"/>
    <col width="11.5" customWidth="1" min="146" max="146"/>
    <col width="11.5" customWidth="1" min="147" max="147"/>
    <col width="11.5" customWidth="1" min="148" max="148"/>
    <col width="11.5" customWidth="1" min="149" max="149"/>
    <col width="11.5" customWidth="1" min="150" max="150"/>
    <col width="11.5" customWidth="1" min="151" max="151"/>
    <col width="11.5" customWidth="1" min="152" max="152"/>
    <col width="11.5" customWidth="1" min="153" max="153"/>
    <col width="11.5" customWidth="1" min="154" max="154"/>
    <col width="11.5" customWidth="1" min="155" max="155"/>
    <col width="11.5" customWidth="1" min="156" max="156"/>
    <col width="11.5" customWidth="1" min="157" max="157"/>
    <col width="11.5" customWidth="1" min="158" max="158"/>
    <col width="11.5" customWidth="1" min="159" max="159"/>
    <col width="11.5" customWidth="1" min="160" max="160"/>
    <col width="11.5" customWidth="1" min="161" max="161"/>
    <col width="11.5" customWidth="1" min="162" max="162"/>
    <col width="11.5" customWidth="1" min="163" max="163"/>
    <col width="11.5" customWidth="1" min="164" max="164"/>
    <col width="11.5" customWidth="1" min="165" max="165"/>
    <col width="11.5" customWidth="1" min="166" max="166"/>
    <col width="11.5" customWidth="1" min="167" max="167"/>
    <col width="11.5" customWidth="1" min="168" max="168"/>
    <col width="11.5" customWidth="1" min="169" max="169"/>
    <col width="11.5" customWidth="1" min="170" max="170"/>
    <col width="11.5" customWidth="1" min="171" max="171"/>
    <col width="11.5" customWidth="1" min="172" max="172"/>
    <col width="11.5" customWidth="1" min="173" max="173"/>
    <col width="11.5" customWidth="1" min="174" max="174"/>
    <col width="11.5" customWidth="1" min="175" max="175"/>
    <col width="11.5" customWidth="1" min="176" max="176"/>
    <col width="11.5" customWidth="1" min="177" max="177"/>
    <col width="11.5" customWidth="1" min="178" max="178"/>
    <col width="11.5" customWidth="1" min="179" max="179"/>
    <col width="11.5" customWidth="1" min="180" max="180"/>
    <col width="11.5" customWidth="1" min="181" max="181"/>
    <col width="11.5" customWidth="1" min="182" max="182"/>
    <col width="11.5" customWidth="1" min="183" max="183"/>
    <col width="11.5" customWidth="1" min="184" max="184"/>
    <col width="11.5" customWidth="1" min="185" max="185"/>
    <col width="11.5" customWidth="1" min="186" max="186"/>
    <col width="11.5" customWidth="1" min="187" max="187"/>
    <col width="11.5" customWidth="1" min="188" max="188"/>
    <col width="11.5" customWidth="1" min="189" max="189"/>
    <col width="11.5" customWidth="1" min="190" max="190"/>
    <col width="11.5" customWidth="1" min="191" max="191"/>
    <col width="11.5" customWidth="1" min="192" max="192"/>
    <col width="11.5" customWidth="1" min="193" max="193"/>
    <col width="11.5" customWidth="1" min="194" max="194"/>
    <col width="11.5" customWidth="1" min="195" max="195"/>
    <col width="11.5" customWidth="1" min="196" max="196"/>
    <col width="11.5" customWidth="1" min="197" max="197"/>
    <col width="11.5" customWidth="1" min="198" max="198"/>
    <col width="11.5" customWidth="1" min="199" max="199"/>
    <col width="11.5" customWidth="1" min="200" max="200"/>
    <col width="11.5" customWidth="1" min="201" max="201"/>
    <col width="11.5" customWidth="1" min="202" max="202"/>
    <col width="11.5" customWidth="1" min="203" max="203"/>
    <col width="11.5" customWidth="1" min="204" max="204"/>
    <col width="11.5" customWidth="1" min="205" max="205"/>
    <col width="11.5" customWidth="1" min="206" max="206"/>
    <col width="11.5" customWidth="1" min="207" max="207"/>
    <col width="11.5" customWidth="1" min="208" max="208"/>
    <col width="11.5" customWidth="1" min="209" max="209"/>
    <col width="11.5" customWidth="1" min="210" max="210"/>
    <col width="11.5" customWidth="1" min="211" max="211"/>
    <col width="11.5" customWidth="1" min="212" max="212"/>
    <col width="11.5" customWidth="1" min="213" max="213"/>
    <col width="11.5" customWidth="1" min="214" max="214"/>
    <col width="11.5" customWidth="1" min="215" max="215"/>
    <col width="11.5" customWidth="1" min="216" max="216"/>
    <col width="11.5" customWidth="1" min="217" max="217"/>
    <col width="11.5" customWidth="1" min="218" max="218"/>
    <col width="11.5" customWidth="1" min="219" max="219"/>
    <col width="11.5" customWidth="1" min="220" max="220"/>
    <col width="11.5" customWidth="1" min="221" max="221"/>
    <col width="11.5" customWidth="1" min="222" max="222"/>
    <col width="11.5" customWidth="1" min="223" max="223"/>
    <col width="11.5" customWidth="1" min="224" max="224"/>
    <col width="11.5" customWidth="1" min="225" max="225"/>
    <col width="11.5" customWidth="1" min="226" max="226"/>
    <col width="11.5" customWidth="1" min="227" max="227"/>
    <col width="11.5" customWidth="1" min="228" max="228"/>
    <col width="11.5" customWidth="1" min="229" max="229"/>
    <col width="11.5" customWidth="1" min="230" max="230"/>
    <col width="11.5" customWidth="1" min="231" max="231"/>
    <col width="11.5" customWidth="1" min="232" max="232"/>
    <col width="11.5" customWidth="1" min="233" max="233"/>
    <col width="11.5" customWidth="1" min="234" max="234"/>
    <col width="11.5" customWidth="1" min="235" max="235"/>
    <col width="11.5" customWidth="1" min="236" max="236"/>
    <col width="11.5" customWidth="1" min="237" max="237"/>
    <col width="11.5" customWidth="1" min="238" max="238"/>
    <col width="11.5" customWidth="1" min="239" max="239"/>
    <col width="11.5" customWidth="1" min="240" max="240"/>
    <col width="11.5" customWidth="1" min="241" max="241"/>
    <col width="11.5" customWidth="1" min="242" max="242"/>
    <col width="11.5" customWidth="1" min="243" max="243"/>
    <col width="11.5" customWidth="1" min="244" max="244"/>
    <col width="11.5" customWidth="1" min="245" max="245"/>
    <col width="11.5" customWidth="1" min="246" max="246"/>
    <col width="11.5" customWidth="1" min="247" max="247"/>
    <col width="11.5" customWidth="1" min="248" max="248"/>
    <col width="11.5" customWidth="1" min="249" max="249"/>
    <col width="11.5" customWidth="1" min="250" max="250"/>
    <col width="11.5" customWidth="1" min="251" max="251"/>
    <col width="11.5" customWidth="1" min="252" max="252"/>
    <col width="11.5" customWidth="1" min="253" max="253"/>
    <col width="11.5" customWidth="1" min="254" max="254"/>
    <col width="11.5" customWidth="1" min="255" max="255"/>
    <col width="11.5" customWidth="1" min="256" max="256"/>
    <col width="11.5" customWidth="1" min="257" max="257"/>
    <col width="11.5" customWidth="1" min="258" max="258"/>
    <col width="11.5" customWidth="1" min="259" max="259"/>
    <col width="11.5" customWidth="1" min="260" max="260"/>
    <col width="11.5" customWidth="1" min="261" max="261"/>
    <col width="11.5" customWidth="1" min="262" max="262"/>
    <col width="11.5" customWidth="1" min="263" max="263"/>
    <col width="11.5" customWidth="1" min="264" max="264"/>
    <col width="11.5" customWidth="1" min="265" max="265"/>
    <col width="11.5" customWidth="1" min="266" max="266"/>
    <col width="11.5" customWidth="1" min="267" max="267"/>
    <col width="11.5" customWidth="1" min="268" max="268"/>
    <col width="11.5" customWidth="1" min="269" max="269"/>
    <col width="11.5" customWidth="1" min="270" max="270"/>
    <col width="11.5" customWidth="1" min="271" max="271"/>
    <col width="11.5" customWidth="1" min="272" max="272"/>
    <col width="11.5" customWidth="1" min="273" max="273"/>
    <col width="11.5" customWidth="1" min="274" max="274"/>
    <col width="11.5" customWidth="1" min="275" max="275"/>
    <col width="11.5" customWidth="1" min="276" max="276"/>
    <col width="11.5" customWidth="1" min="277" max="277"/>
    <col width="11.5" customWidth="1" min="278" max="278"/>
    <col width="11.5" customWidth="1" min="279" max="279"/>
    <col width="11.5" customWidth="1" min="280" max="280"/>
    <col width="11.5" customWidth="1" min="281" max="281"/>
    <col width="11.5" customWidth="1" min="282" max="282"/>
    <col width="11.5" customWidth="1" min="283" max="283"/>
    <col width="11.5" customWidth="1" min="284" max="284"/>
    <col width="11.5" customWidth="1" min="285" max="285"/>
    <col width="11.5" customWidth="1" min="286" max="286"/>
    <col width="11.5" customWidth="1" min="287" max="287"/>
    <col width="11.5" customWidth="1" min="288" max="288"/>
    <col width="11.5" customWidth="1" min="289" max="289"/>
    <col width="11.5" customWidth="1" min="290" max="290"/>
    <col width="11.5" customWidth="1" min="291" max="291"/>
    <col width="11.5" customWidth="1" min="292" max="292"/>
  </cols>
  <sheetData>
    <row r="1" ht="30" customHeight="1">
      <c r="A1" s="1" t="n"/>
      <c r="B1" s="2" t="inlineStr">
        <is>
          <t>27 · Loan – amortization schedule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የብድር ክፍያ ሰንጠረዥ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6">
      <c r="B6" s="78" t="inlineStr">
        <is>
          <t>Month</t>
        </is>
      </c>
      <c r="D6" s="177" t="inlineStr">
        <is>
          <t>Total</t>
        </is>
      </c>
      <c r="E6" s="163" t="str">
        <f>"M"&amp;'20_Timeline'!E37</f>
        <v>M1</v>
      </c>
      <c r="F6" s="163" t="str">
        <f>"M"&amp;'20_Timeline'!F37</f>
        <v>M2</v>
      </c>
      <c r="G6" s="163" t="str">
        <f>"M"&amp;'20_Timeline'!G37</f>
        <v>M3</v>
      </c>
      <c r="H6" s="163" t="str">
        <f>"M"&amp;'20_Timeline'!H37</f>
        <v>M4</v>
      </c>
      <c r="I6" s="163" t="str">
        <f>"M"&amp;'20_Timeline'!I37</f>
        <v>M5</v>
      </c>
      <c r="J6" s="163" t="str">
        <f>"M"&amp;'20_Timeline'!J37</f>
        <v>M6</v>
      </c>
      <c r="K6" s="163" t="str">
        <f>"M"&amp;'20_Timeline'!K37</f>
        <v>M7</v>
      </c>
      <c r="L6" s="163" t="str">
        <f>"M"&amp;'20_Timeline'!L37</f>
        <v>M8</v>
      </c>
      <c r="M6" s="163" t="str">
        <f>"M"&amp;'20_Timeline'!M37</f>
        <v>M9</v>
      </c>
      <c r="N6" s="163" t="str">
        <f>"M"&amp;'20_Timeline'!N37</f>
        <v>M10</v>
      </c>
      <c r="O6" s="163" t="str">
        <f>"M"&amp;'20_Timeline'!O37</f>
        <v>M11</v>
      </c>
      <c r="P6" s="163" t="str">
        <f>"M"&amp;'20_Timeline'!P37</f>
        <v>M12</v>
      </c>
      <c r="Q6" s="163" t="str">
        <f>"M"&amp;'20_Timeline'!Q37</f>
        <v>M13</v>
      </c>
      <c r="R6" s="163" t="str">
        <f>"M"&amp;'20_Timeline'!R37</f>
        <v>M14</v>
      </c>
      <c r="S6" s="163" t="str">
        <f>"M"&amp;'20_Timeline'!S37</f>
        <v>M15</v>
      </c>
      <c r="T6" s="163" t="str">
        <f>"M"&amp;'20_Timeline'!T37</f>
        <v>M16</v>
      </c>
      <c r="U6" s="163" t="str">
        <f>"M"&amp;'20_Timeline'!U37</f>
        <v>M17</v>
      </c>
      <c r="V6" s="163" t="str">
        <f>"M"&amp;'20_Timeline'!V37</f>
        <v>M18</v>
      </c>
      <c r="W6" s="163" t="str">
        <f>"M"&amp;'20_Timeline'!W37</f>
        <v>M19</v>
      </c>
      <c r="X6" s="163" t="str">
        <f>"M"&amp;'20_Timeline'!X37</f>
        <v>M20</v>
      </c>
      <c r="Y6" s="163" t="str">
        <f>"M"&amp;'20_Timeline'!Y37</f>
        <v>M21</v>
      </c>
      <c r="Z6" s="163" t="str">
        <f>"M"&amp;'20_Timeline'!Z37</f>
        <v>M22</v>
      </c>
      <c r="AA6" s="163" t="str">
        <f>"M"&amp;'20_Timeline'!AA37</f>
        <v>M23</v>
      </c>
      <c r="AB6" s="163" t="str">
        <f>"M"&amp;'20_Timeline'!AB37</f>
        <v>M24</v>
      </c>
      <c r="AC6" s="163" t="str">
        <f>"M"&amp;'20_Timeline'!AC37</f>
        <v>M25</v>
      </c>
      <c r="AD6" s="163" t="str">
        <f>"M"&amp;'20_Timeline'!AD37</f>
        <v>M26</v>
      </c>
      <c r="AE6" s="163" t="str">
        <f>"M"&amp;'20_Timeline'!AE37</f>
        <v>M27</v>
      </c>
      <c r="AF6" s="163" t="str">
        <f>"M"&amp;'20_Timeline'!AF37</f>
        <v>M28</v>
      </c>
      <c r="AG6" s="163" t="str">
        <f>"M"&amp;'20_Timeline'!AG37</f>
        <v>M29</v>
      </c>
      <c r="AH6" s="163" t="str">
        <f>"M"&amp;'20_Timeline'!AH37</f>
        <v>M30</v>
      </c>
      <c r="AI6" s="163" t="str">
        <f>"M"&amp;'20_Timeline'!AI37</f>
        <v>M31</v>
      </c>
      <c r="AJ6" s="163" t="str">
        <f>"M"&amp;'20_Timeline'!AJ37</f>
        <v>M32</v>
      </c>
      <c r="AK6" s="163" t="str">
        <f>"M"&amp;'20_Timeline'!AK37</f>
        <v>M33</v>
      </c>
      <c r="AL6" s="163" t="str">
        <f>"M"&amp;'20_Timeline'!AL37</f>
        <v>M34</v>
      </c>
      <c r="AM6" s="163" t="str">
        <f>"M"&amp;'20_Timeline'!AM37</f>
        <v>M35</v>
      </c>
      <c r="AN6" s="163" t="str">
        <f>"M"&amp;'20_Timeline'!AN37</f>
        <v>M36</v>
      </c>
      <c r="AO6" s="163" t="str">
        <f>"M"&amp;'20_Timeline'!AO37</f>
        <v>M37</v>
      </c>
      <c r="AP6" s="163" t="str">
        <f>"M"&amp;'20_Timeline'!AP37</f>
        <v>M38</v>
      </c>
      <c r="AQ6" s="163" t="str">
        <f>"M"&amp;'20_Timeline'!AQ37</f>
        <v>M39</v>
      </c>
      <c r="AR6" s="163" t="str">
        <f>"M"&amp;'20_Timeline'!AR37</f>
        <v>M40</v>
      </c>
      <c r="AS6" s="163" t="str">
        <f>"M"&amp;'20_Timeline'!AS37</f>
        <v>M41</v>
      </c>
      <c r="AT6" s="163" t="str">
        <f>"M"&amp;'20_Timeline'!AT37</f>
        <v>M42</v>
      </c>
      <c r="AU6" s="163" t="str">
        <f>"M"&amp;'20_Timeline'!AU37</f>
        <v>M43</v>
      </c>
      <c r="AV6" s="163" t="str">
        <f>"M"&amp;'20_Timeline'!AV37</f>
        <v>M44</v>
      </c>
      <c r="AW6" s="163" t="str">
        <f>"M"&amp;'20_Timeline'!AW37</f>
        <v>M45</v>
      </c>
      <c r="AX6" s="163" t="str">
        <f>"M"&amp;'20_Timeline'!AX37</f>
        <v>M46</v>
      </c>
      <c r="AY6" s="163" t="str">
        <f>"M"&amp;'20_Timeline'!AY37</f>
        <v>M47</v>
      </c>
      <c r="AZ6" s="163" t="str">
        <f>"M"&amp;'20_Timeline'!AZ37</f>
        <v>M48</v>
      </c>
      <c r="BA6" s="163" t="str">
        <f>"M"&amp;'20_Timeline'!BA37</f>
        <v>M49</v>
      </c>
      <c r="BB6" s="163" t="str">
        <f>"M"&amp;'20_Timeline'!BB37</f>
        <v>M50</v>
      </c>
      <c r="BC6" s="163" t="str">
        <f>"M"&amp;'20_Timeline'!BC37</f>
        <v>M51</v>
      </c>
      <c r="BD6" s="163" t="str">
        <f>"M"&amp;'20_Timeline'!BD37</f>
        <v>M52</v>
      </c>
      <c r="BE6" s="163" t="str">
        <f>"M"&amp;'20_Timeline'!BE37</f>
        <v>M53</v>
      </c>
      <c r="BF6" s="163" t="str">
        <f>"M"&amp;'20_Timeline'!BF37</f>
        <v>M54</v>
      </c>
      <c r="BG6" s="163" t="str">
        <f>"M"&amp;'20_Timeline'!BG37</f>
        <v>M55</v>
      </c>
      <c r="BH6" s="163" t="str">
        <f>"M"&amp;'20_Timeline'!BH37</f>
        <v>M56</v>
      </c>
      <c r="BI6" s="163" t="str">
        <f>"M"&amp;'20_Timeline'!BI37</f>
        <v>M57</v>
      </c>
      <c r="BJ6" s="163" t="str">
        <f>"M"&amp;'20_Timeline'!BJ37</f>
        <v>M58</v>
      </c>
      <c r="BK6" s="163" t="str">
        <f>"M"&amp;'20_Timeline'!BK37</f>
        <v>M59</v>
      </c>
      <c r="BL6" s="163" t="str">
        <f>"M"&amp;'20_Timeline'!BL37</f>
        <v>M60</v>
      </c>
      <c r="BM6" s="163" t="str">
        <f>"M"&amp;'20_Timeline'!BM37</f>
        <v>M61</v>
      </c>
      <c r="BN6" s="163" t="str">
        <f>"M"&amp;'20_Timeline'!BN37</f>
        <v>M62</v>
      </c>
      <c r="BO6" s="163" t="str">
        <f>"M"&amp;'20_Timeline'!BO37</f>
        <v>M63</v>
      </c>
      <c r="BP6" s="163" t="str">
        <f>"M"&amp;'20_Timeline'!BP37</f>
        <v>M64</v>
      </c>
      <c r="BQ6" s="163" t="str">
        <f>"M"&amp;'20_Timeline'!BQ37</f>
        <v>M65</v>
      </c>
      <c r="BR6" s="163" t="str">
        <f>"M"&amp;'20_Timeline'!BR37</f>
        <v>M66</v>
      </c>
      <c r="BS6" s="163" t="str">
        <f>"M"&amp;'20_Timeline'!BS37</f>
        <v>M67</v>
      </c>
      <c r="BT6" s="163" t="str">
        <f>"M"&amp;'20_Timeline'!BT37</f>
        <v>M68</v>
      </c>
      <c r="BU6" s="163" t="str">
        <f>"M"&amp;'20_Timeline'!BU37</f>
        <v>M69</v>
      </c>
      <c r="BV6" s="163" t="str">
        <f>"M"&amp;'20_Timeline'!BV37</f>
        <v>M70</v>
      </c>
      <c r="BW6" s="163" t="str">
        <f>"M"&amp;'20_Timeline'!BW37</f>
        <v>M71</v>
      </c>
      <c r="BX6" s="163" t="str">
        <f>"M"&amp;'20_Timeline'!BX37</f>
        <v>M72</v>
      </c>
      <c r="BY6" s="163" t="str">
        <f>"M"&amp;'20_Timeline'!BY37</f>
        <v>M73</v>
      </c>
      <c r="BZ6" s="163" t="str">
        <f>"M"&amp;'20_Timeline'!BZ37</f>
        <v>M74</v>
      </c>
      <c r="CA6" s="163" t="str">
        <f>"M"&amp;'20_Timeline'!CA37</f>
        <v>M75</v>
      </c>
      <c r="CB6" s="163" t="str">
        <f>"M"&amp;'20_Timeline'!CB37</f>
        <v>M76</v>
      </c>
      <c r="CC6" s="163" t="str">
        <f>"M"&amp;'20_Timeline'!CC37</f>
        <v>M77</v>
      </c>
      <c r="CD6" s="163" t="str">
        <f>"M"&amp;'20_Timeline'!CD37</f>
        <v>M78</v>
      </c>
      <c r="CE6" s="163" t="str">
        <f>"M"&amp;'20_Timeline'!CE37</f>
        <v>M79</v>
      </c>
      <c r="CF6" s="163" t="str">
        <f>"M"&amp;'20_Timeline'!CF37</f>
        <v>M80</v>
      </c>
      <c r="CG6" s="163" t="str">
        <f>"M"&amp;'20_Timeline'!CG37</f>
        <v>M81</v>
      </c>
      <c r="CH6" s="163" t="str">
        <f>"M"&amp;'20_Timeline'!CH37</f>
        <v>M82</v>
      </c>
      <c r="CI6" s="163" t="str">
        <f>"M"&amp;'20_Timeline'!CI37</f>
        <v>M83</v>
      </c>
      <c r="CJ6" s="163" t="str">
        <f>"M"&amp;'20_Timeline'!CJ37</f>
        <v>M84</v>
      </c>
      <c r="CK6" s="163" t="str">
        <f>"M"&amp;'20_Timeline'!CK37</f>
        <v>M85</v>
      </c>
      <c r="CL6" s="163" t="str">
        <f>"M"&amp;'20_Timeline'!CL37</f>
        <v>M86</v>
      </c>
      <c r="CM6" s="163" t="str">
        <f>"M"&amp;'20_Timeline'!CM37</f>
        <v>M87</v>
      </c>
      <c r="CN6" s="163" t="str">
        <f>"M"&amp;'20_Timeline'!CN37</f>
        <v>M88</v>
      </c>
      <c r="CO6" s="163" t="str">
        <f>"M"&amp;'20_Timeline'!CO37</f>
        <v>M89</v>
      </c>
      <c r="CP6" s="163" t="str">
        <f>"M"&amp;'20_Timeline'!CP37</f>
        <v>M90</v>
      </c>
      <c r="CQ6" s="163" t="str">
        <f>"M"&amp;'20_Timeline'!CQ37</f>
        <v>M91</v>
      </c>
      <c r="CR6" s="163" t="str">
        <f>"M"&amp;'20_Timeline'!CR37</f>
        <v>M92</v>
      </c>
      <c r="CS6" s="163" t="str">
        <f>"M"&amp;'20_Timeline'!CS37</f>
        <v>M93</v>
      </c>
      <c r="CT6" s="163" t="str">
        <f>"M"&amp;'20_Timeline'!CT37</f>
        <v>M94</v>
      </c>
      <c r="CU6" s="163" t="str">
        <f>"M"&amp;'20_Timeline'!CU37</f>
        <v>M95</v>
      </c>
      <c r="CV6" s="163" t="str">
        <f>"M"&amp;'20_Timeline'!CV37</f>
        <v>M96</v>
      </c>
      <c r="CW6" s="163" t="str">
        <f>"M"&amp;'20_Timeline'!CW37</f>
        <v>M97</v>
      </c>
      <c r="CX6" s="163" t="str">
        <f>"M"&amp;'20_Timeline'!CX37</f>
        <v>M98</v>
      </c>
      <c r="CY6" s="163" t="str">
        <f>"M"&amp;'20_Timeline'!CY37</f>
        <v>M99</v>
      </c>
      <c r="CZ6" s="163" t="str">
        <f>"M"&amp;'20_Timeline'!CZ37</f>
        <v>M100</v>
      </c>
      <c r="DA6" s="163" t="str">
        <f>"M"&amp;'20_Timeline'!DA37</f>
        <v>M101</v>
      </c>
      <c r="DB6" s="163" t="str">
        <f>"M"&amp;'20_Timeline'!DB37</f>
        <v>M102</v>
      </c>
      <c r="DC6" s="163" t="str">
        <f>"M"&amp;'20_Timeline'!DC37</f>
        <v>M103</v>
      </c>
      <c r="DD6" s="163" t="str">
        <f>"M"&amp;'20_Timeline'!DD37</f>
        <v>M104</v>
      </c>
      <c r="DE6" s="163" t="str">
        <f>"M"&amp;'20_Timeline'!DE37</f>
        <v>M105</v>
      </c>
      <c r="DF6" s="163" t="str">
        <f>"M"&amp;'20_Timeline'!DF37</f>
        <v>M106</v>
      </c>
      <c r="DG6" s="163" t="str">
        <f>"M"&amp;'20_Timeline'!DG37</f>
        <v>M107</v>
      </c>
      <c r="DH6" s="163" t="str">
        <f>"M"&amp;'20_Timeline'!DH37</f>
        <v>M108</v>
      </c>
      <c r="DI6" s="163" t="str">
        <f>"M"&amp;'20_Timeline'!DI37</f>
        <v>M109</v>
      </c>
      <c r="DJ6" s="163" t="str">
        <f>"M"&amp;'20_Timeline'!DJ37</f>
        <v>M110</v>
      </c>
      <c r="DK6" s="163" t="str">
        <f>"M"&amp;'20_Timeline'!DK37</f>
        <v>M111</v>
      </c>
      <c r="DL6" s="163" t="str">
        <f>"M"&amp;'20_Timeline'!DL37</f>
        <v>M112</v>
      </c>
      <c r="DM6" s="163" t="str">
        <f>"M"&amp;'20_Timeline'!DM37</f>
        <v>M113</v>
      </c>
      <c r="DN6" s="163" t="str">
        <f>"M"&amp;'20_Timeline'!DN37</f>
        <v>M114</v>
      </c>
      <c r="DO6" s="163" t="str">
        <f>"M"&amp;'20_Timeline'!DO37</f>
        <v>M115</v>
      </c>
      <c r="DP6" s="163" t="str">
        <f>"M"&amp;'20_Timeline'!DP37</f>
        <v>M116</v>
      </c>
      <c r="DQ6" s="163" t="str">
        <f>"M"&amp;'20_Timeline'!DQ37</f>
        <v>M117</v>
      </c>
      <c r="DR6" s="163" t="str">
        <f>"M"&amp;'20_Timeline'!DR37</f>
        <v>M118</v>
      </c>
      <c r="DS6" s="163" t="str">
        <f>"M"&amp;'20_Timeline'!DS37</f>
        <v>M119</v>
      </c>
      <c r="DT6" s="163" t="str">
        <f>"M"&amp;'20_Timeline'!DT37</f>
        <v>M120</v>
      </c>
      <c r="DU6" s="163" t="str">
        <f>"M"&amp;'20_Timeline'!DU37</f>
        <v>M121</v>
      </c>
      <c r="DV6" s="163" t="str">
        <f>"M"&amp;'20_Timeline'!DV37</f>
        <v>M122</v>
      </c>
      <c r="DW6" s="163" t="str">
        <f>"M"&amp;'20_Timeline'!DW37</f>
        <v>M123</v>
      </c>
      <c r="DX6" s="163" t="str">
        <f>"M"&amp;'20_Timeline'!DX37</f>
        <v>M124</v>
      </c>
      <c r="DY6" s="163" t="str">
        <f>"M"&amp;'20_Timeline'!DY37</f>
        <v>M125</v>
      </c>
      <c r="DZ6" s="163" t="str">
        <f>"M"&amp;'20_Timeline'!DZ37</f>
        <v>M126</v>
      </c>
      <c r="EA6" s="163" t="str">
        <f>"M"&amp;'20_Timeline'!EA37</f>
        <v>M127</v>
      </c>
      <c r="EB6" s="163" t="str">
        <f>"M"&amp;'20_Timeline'!EB37</f>
        <v>M128</v>
      </c>
      <c r="EC6" s="163" t="str">
        <f>"M"&amp;'20_Timeline'!EC37</f>
        <v>M129</v>
      </c>
      <c r="ED6" s="163" t="str">
        <f>"M"&amp;'20_Timeline'!ED37</f>
        <v>M130</v>
      </c>
      <c r="EE6" s="163" t="str">
        <f>"M"&amp;'20_Timeline'!EE37</f>
        <v>M131</v>
      </c>
      <c r="EF6" s="163" t="str">
        <f>"M"&amp;'20_Timeline'!EF37</f>
        <v>M132</v>
      </c>
      <c r="EG6" s="163" t="str">
        <f>"M"&amp;'20_Timeline'!EG37</f>
        <v>M133</v>
      </c>
      <c r="EH6" s="163" t="str">
        <f>"M"&amp;'20_Timeline'!EH37</f>
        <v>M134</v>
      </c>
      <c r="EI6" s="163" t="str">
        <f>"M"&amp;'20_Timeline'!EI37</f>
        <v>M135</v>
      </c>
      <c r="EJ6" s="163" t="str">
        <f>"M"&amp;'20_Timeline'!EJ37</f>
        <v>M136</v>
      </c>
      <c r="EK6" s="163" t="str">
        <f>"M"&amp;'20_Timeline'!EK37</f>
        <v>M137</v>
      </c>
      <c r="EL6" s="163" t="str">
        <f>"M"&amp;'20_Timeline'!EL37</f>
        <v>M138</v>
      </c>
      <c r="EM6" s="163" t="str">
        <f>"M"&amp;'20_Timeline'!EM37</f>
        <v>M139</v>
      </c>
      <c r="EN6" s="163" t="str">
        <f>"M"&amp;'20_Timeline'!EN37</f>
        <v>M140</v>
      </c>
      <c r="EO6" s="163" t="str">
        <f>"M"&amp;'20_Timeline'!EO37</f>
        <v>M141</v>
      </c>
      <c r="EP6" s="163" t="str">
        <f>"M"&amp;'20_Timeline'!EP37</f>
        <v>M142</v>
      </c>
      <c r="EQ6" s="163" t="str">
        <f>"M"&amp;'20_Timeline'!EQ37</f>
        <v>M143</v>
      </c>
      <c r="ER6" s="163" t="str">
        <f>"M"&amp;'20_Timeline'!ER37</f>
        <v>M144</v>
      </c>
      <c r="ES6" s="163" t="str">
        <f>"M"&amp;'20_Timeline'!ES37</f>
        <v>M145</v>
      </c>
      <c r="ET6" s="163" t="str">
        <f>"M"&amp;'20_Timeline'!ET37</f>
        <v>M146</v>
      </c>
      <c r="EU6" s="163" t="str">
        <f>"M"&amp;'20_Timeline'!EU37</f>
        <v>M147</v>
      </c>
      <c r="EV6" s="163" t="str">
        <f>"M"&amp;'20_Timeline'!EV37</f>
        <v>M148</v>
      </c>
      <c r="EW6" s="163" t="str">
        <f>"M"&amp;'20_Timeline'!EW37</f>
        <v>M149</v>
      </c>
      <c r="EX6" s="163" t="str">
        <f>"M"&amp;'20_Timeline'!EX37</f>
        <v>M150</v>
      </c>
      <c r="EY6" s="163" t="str">
        <f>"M"&amp;'20_Timeline'!EY37</f>
        <v>M151</v>
      </c>
      <c r="EZ6" s="163" t="str">
        <f>"M"&amp;'20_Timeline'!EZ37</f>
        <v>M152</v>
      </c>
      <c r="FA6" s="163" t="str">
        <f>"M"&amp;'20_Timeline'!FA37</f>
        <v>M153</v>
      </c>
      <c r="FB6" s="163" t="str">
        <f>"M"&amp;'20_Timeline'!FB37</f>
        <v>M154</v>
      </c>
      <c r="FC6" s="163" t="str">
        <f>"M"&amp;'20_Timeline'!FC37</f>
        <v>M155</v>
      </c>
      <c r="FD6" s="163" t="str">
        <f>"M"&amp;'20_Timeline'!FD37</f>
        <v>M156</v>
      </c>
      <c r="FE6" s="163" t="str">
        <f>"M"&amp;'20_Timeline'!FE37</f>
        <v>M157</v>
      </c>
      <c r="FF6" s="163" t="str">
        <f>"M"&amp;'20_Timeline'!FF37</f>
        <v>M158</v>
      </c>
      <c r="FG6" s="163" t="str">
        <f>"M"&amp;'20_Timeline'!FG37</f>
        <v>M159</v>
      </c>
      <c r="FH6" s="163" t="str">
        <f>"M"&amp;'20_Timeline'!FH37</f>
        <v>M160</v>
      </c>
      <c r="FI6" s="163" t="str">
        <f>"M"&amp;'20_Timeline'!FI37</f>
        <v>M161</v>
      </c>
      <c r="FJ6" s="163" t="str">
        <f>"M"&amp;'20_Timeline'!FJ37</f>
        <v>M162</v>
      </c>
      <c r="FK6" s="163" t="str">
        <f>"M"&amp;'20_Timeline'!FK37</f>
        <v>M163</v>
      </c>
      <c r="FL6" s="163" t="str">
        <f>"M"&amp;'20_Timeline'!FL37</f>
        <v>M164</v>
      </c>
      <c r="FM6" s="163" t="str">
        <f>"M"&amp;'20_Timeline'!FM37</f>
        <v>M165</v>
      </c>
      <c r="FN6" s="163" t="str">
        <f>"M"&amp;'20_Timeline'!FN37</f>
        <v>M166</v>
      </c>
      <c r="FO6" s="163" t="str">
        <f>"M"&amp;'20_Timeline'!FO37</f>
        <v>M167</v>
      </c>
      <c r="FP6" s="163" t="str">
        <f>"M"&amp;'20_Timeline'!FP37</f>
        <v>M168</v>
      </c>
      <c r="FQ6" s="163" t="str">
        <f>"M"&amp;'20_Timeline'!FQ37</f>
        <v>M169</v>
      </c>
      <c r="FR6" s="163" t="str">
        <f>"M"&amp;'20_Timeline'!FR37</f>
        <v>M170</v>
      </c>
      <c r="FS6" s="163" t="str">
        <f>"M"&amp;'20_Timeline'!FS37</f>
        <v>M171</v>
      </c>
      <c r="FT6" s="163" t="str">
        <f>"M"&amp;'20_Timeline'!FT37</f>
        <v>M172</v>
      </c>
      <c r="FU6" s="163" t="str">
        <f>"M"&amp;'20_Timeline'!FU37</f>
        <v>M173</v>
      </c>
      <c r="FV6" s="163" t="str">
        <f>"M"&amp;'20_Timeline'!FV37</f>
        <v>M174</v>
      </c>
      <c r="FW6" s="163" t="str">
        <f>"M"&amp;'20_Timeline'!FW37</f>
        <v>M175</v>
      </c>
      <c r="FX6" s="163" t="str">
        <f>"M"&amp;'20_Timeline'!FX37</f>
        <v>M176</v>
      </c>
      <c r="FY6" s="163" t="str">
        <f>"M"&amp;'20_Timeline'!FY37</f>
        <v>M177</v>
      </c>
      <c r="FZ6" s="163" t="str">
        <f>"M"&amp;'20_Timeline'!FZ37</f>
        <v>M178</v>
      </c>
      <c r="GA6" s="163" t="str">
        <f>"M"&amp;'20_Timeline'!GA37</f>
        <v>M179</v>
      </c>
      <c r="GB6" s="163" t="str">
        <f>"M"&amp;'20_Timeline'!GB37</f>
        <v>M180</v>
      </c>
      <c r="GC6" s="163" t="str">
        <f>"M"&amp;'20_Timeline'!GC37</f>
        <v>M181</v>
      </c>
      <c r="GD6" s="163" t="str">
        <f>"M"&amp;'20_Timeline'!GD37</f>
        <v>M182</v>
      </c>
      <c r="GE6" s="163" t="str">
        <f>"M"&amp;'20_Timeline'!GE37</f>
        <v>M183</v>
      </c>
      <c r="GF6" s="163" t="str">
        <f>"M"&amp;'20_Timeline'!GF37</f>
        <v>M184</v>
      </c>
      <c r="GG6" s="163" t="str">
        <f>"M"&amp;'20_Timeline'!GG37</f>
        <v>M185</v>
      </c>
      <c r="GH6" s="163" t="str">
        <f>"M"&amp;'20_Timeline'!GH37</f>
        <v>M186</v>
      </c>
      <c r="GI6" s="163" t="str">
        <f>"M"&amp;'20_Timeline'!GI37</f>
        <v>M187</v>
      </c>
      <c r="GJ6" s="163" t="str">
        <f>"M"&amp;'20_Timeline'!GJ37</f>
        <v>M188</v>
      </c>
      <c r="GK6" s="163" t="str">
        <f>"M"&amp;'20_Timeline'!GK37</f>
        <v>M189</v>
      </c>
      <c r="GL6" s="163" t="str">
        <f>"M"&amp;'20_Timeline'!GL37</f>
        <v>M190</v>
      </c>
      <c r="GM6" s="163" t="str">
        <f>"M"&amp;'20_Timeline'!GM37</f>
        <v>M191</v>
      </c>
      <c r="GN6" s="163" t="str">
        <f>"M"&amp;'20_Timeline'!GN37</f>
        <v>M192</v>
      </c>
      <c r="GO6" s="163" t="str">
        <f>"M"&amp;'20_Timeline'!GO37</f>
        <v>M193</v>
      </c>
      <c r="GP6" s="163" t="str">
        <f>"M"&amp;'20_Timeline'!GP37</f>
        <v>M194</v>
      </c>
      <c r="GQ6" s="163" t="str">
        <f>"M"&amp;'20_Timeline'!GQ37</f>
        <v>M195</v>
      </c>
      <c r="GR6" s="163" t="str">
        <f>"M"&amp;'20_Timeline'!GR37</f>
        <v>M196</v>
      </c>
      <c r="GS6" s="163" t="str">
        <f>"M"&amp;'20_Timeline'!GS37</f>
        <v>M197</v>
      </c>
      <c r="GT6" s="163" t="str">
        <f>"M"&amp;'20_Timeline'!GT37</f>
        <v>M198</v>
      </c>
      <c r="GU6" s="163" t="str">
        <f>"M"&amp;'20_Timeline'!GU37</f>
        <v>M199</v>
      </c>
      <c r="GV6" s="163" t="str">
        <f>"M"&amp;'20_Timeline'!GV37</f>
        <v>M200</v>
      </c>
      <c r="GW6" s="163" t="str">
        <f>"M"&amp;'20_Timeline'!GW37</f>
        <v>M201</v>
      </c>
      <c r="GX6" s="163" t="str">
        <f>"M"&amp;'20_Timeline'!GX37</f>
        <v>M202</v>
      </c>
      <c r="GY6" s="163" t="str">
        <f>"M"&amp;'20_Timeline'!GY37</f>
        <v>M203</v>
      </c>
      <c r="GZ6" s="163" t="str">
        <f>"M"&amp;'20_Timeline'!GZ37</f>
        <v>M204</v>
      </c>
      <c r="HA6" s="163" t="str">
        <f>"M"&amp;'20_Timeline'!HA37</f>
        <v>M205</v>
      </c>
      <c r="HB6" s="163" t="str">
        <f>"M"&amp;'20_Timeline'!HB37</f>
        <v>M206</v>
      </c>
      <c r="HC6" s="163" t="str">
        <f>"M"&amp;'20_Timeline'!HC37</f>
        <v>M207</v>
      </c>
      <c r="HD6" s="163" t="str">
        <f>"M"&amp;'20_Timeline'!HD37</f>
        <v>M208</v>
      </c>
      <c r="HE6" s="163" t="str">
        <f>"M"&amp;'20_Timeline'!HE37</f>
        <v>M209</v>
      </c>
      <c r="HF6" s="163" t="str">
        <f>"M"&amp;'20_Timeline'!HF37</f>
        <v>M210</v>
      </c>
      <c r="HG6" s="163" t="str">
        <f>"M"&amp;'20_Timeline'!HG37</f>
        <v>M211</v>
      </c>
      <c r="HH6" s="163" t="str">
        <f>"M"&amp;'20_Timeline'!HH37</f>
        <v>M212</v>
      </c>
      <c r="HI6" s="163" t="str">
        <f>"M"&amp;'20_Timeline'!HI37</f>
        <v>M213</v>
      </c>
      <c r="HJ6" s="163" t="str">
        <f>"M"&amp;'20_Timeline'!HJ37</f>
        <v>M214</v>
      </c>
      <c r="HK6" s="163" t="str">
        <f>"M"&amp;'20_Timeline'!HK37</f>
        <v>M215</v>
      </c>
      <c r="HL6" s="163" t="str">
        <f>"M"&amp;'20_Timeline'!HL37</f>
        <v>M216</v>
      </c>
      <c r="HM6" s="163" t="str">
        <f>"M"&amp;'20_Timeline'!HM37</f>
        <v>M217</v>
      </c>
      <c r="HN6" s="163" t="str">
        <f>"M"&amp;'20_Timeline'!HN37</f>
        <v>M218</v>
      </c>
      <c r="HO6" s="163" t="str">
        <f>"M"&amp;'20_Timeline'!HO37</f>
        <v>M219</v>
      </c>
      <c r="HP6" s="163" t="str">
        <f>"M"&amp;'20_Timeline'!HP37</f>
        <v>M220</v>
      </c>
      <c r="HQ6" s="163" t="str">
        <f>"M"&amp;'20_Timeline'!HQ37</f>
        <v>M221</v>
      </c>
      <c r="HR6" s="163" t="str">
        <f>"M"&amp;'20_Timeline'!HR37</f>
        <v>M222</v>
      </c>
      <c r="HS6" s="163" t="str">
        <f>"M"&amp;'20_Timeline'!HS37</f>
        <v>M223</v>
      </c>
      <c r="HT6" s="163" t="str">
        <f>"M"&amp;'20_Timeline'!HT37</f>
        <v>M224</v>
      </c>
      <c r="HU6" s="163" t="str">
        <f>"M"&amp;'20_Timeline'!HU37</f>
        <v>M225</v>
      </c>
      <c r="HV6" s="163" t="str">
        <f>"M"&amp;'20_Timeline'!HV37</f>
        <v>M226</v>
      </c>
      <c r="HW6" s="163" t="str">
        <f>"M"&amp;'20_Timeline'!HW37</f>
        <v>M227</v>
      </c>
      <c r="HX6" s="163" t="str">
        <f>"M"&amp;'20_Timeline'!HX37</f>
        <v>M228</v>
      </c>
      <c r="HY6" s="163" t="str">
        <f>"M"&amp;'20_Timeline'!HY37</f>
        <v>M229</v>
      </c>
      <c r="HZ6" s="163" t="str">
        <f>"M"&amp;'20_Timeline'!HZ37</f>
        <v>M230</v>
      </c>
      <c r="IA6" s="163" t="str">
        <f>"M"&amp;'20_Timeline'!IA37</f>
        <v>M231</v>
      </c>
      <c r="IB6" s="163" t="str">
        <f>"M"&amp;'20_Timeline'!IB37</f>
        <v>M232</v>
      </c>
      <c r="IC6" s="163" t="str">
        <f>"M"&amp;'20_Timeline'!IC37</f>
        <v>M233</v>
      </c>
      <c r="ID6" s="163" t="str">
        <f>"M"&amp;'20_Timeline'!ID37</f>
        <v>M234</v>
      </c>
      <c r="IE6" s="163" t="str">
        <f>"M"&amp;'20_Timeline'!IE37</f>
        <v>M235</v>
      </c>
      <c r="IF6" s="163" t="str">
        <f>"M"&amp;'20_Timeline'!IF37</f>
        <v>M236</v>
      </c>
      <c r="IG6" s="163" t="str">
        <f>"M"&amp;'20_Timeline'!IG37</f>
        <v>M237</v>
      </c>
      <c r="IH6" s="163" t="str">
        <f>"M"&amp;'20_Timeline'!IH37</f>
        <v>M238</v>
      </c>
      <c r="II6" s="163" t="str">
        <f>"M"&amp;'20_Timeline'!II37</f>
        <v>M239</v>
      </c>
      <c r="IJ6" s="163" t="str">
        <f>"M"&amp;'20_Timeline'!IJ37</f>
        <v>M240</v>
      </c>
      <c r="IK6" s="163" t="str">
        <f>"M"&amp;'20_Timeline'!IK37</f>
        <v>M241</v>
      </c>
      <c r="IL6" s="163" t="str">
        <f>"M"&amp;'20_Timeline'!IL37</f>
        <v>M242</v>
      </c>
      <c r="IM6" s="163" t="str">
        <f>"M"&amp;'20_Timeline'!IM37</f>
        <v>M243</v>
      </c>
      <c r="IN6" s="163" t="str">
        <f>"M"&amp;'20_Timeline'!IN37</f>
        <v>M244</v>
      </c>
      <c r="IO6" s="163" t="str">
        <f>"M"&amp;'20_Timeline'!IO37</f>
        <v>M245</v>
      </c>
      <c r="IP6" s="163" t="str">
        <f>"M"&amp;'20_Timeline'!IP37</f>
        <v>M246</v>
      </c>
      <c r="IQ6" s="163" t="str">
        <f>"M"&amp;'20_Timeline'!IQ37</f>
        <v>M247</v>
      </c>
      <c r="IR6" s="163" t="str">
        <f>"M"&amp;'20_Timeline'!IR37</f>
        <v>M248</v>
      </c>
      <c r="IS6" s="163" t="str">
        <f>"M"&amp;'20_Timeline'!IS37</f>
        <v>M249</v>
      </c>
      <c r="IT6" s="163" t="str">
        <f>"M"&amp;'20_Timeline'!IT37</f>
        <v>M250</v>
      </c>
      <c r="IU6" s="163" t="str">
        <f>"M"&amp;'20_Timeline'!IU37</f>
        <v>M251</v>
      </c>
      <c r="IV6" s="163" t="str">
        <f>"M"&amp;'20_Timeline'!IV37</f>
        <v>M252</v>
      </c>
      <c r="IW6" s="163" t="str">
        <f>"M"&amp;'20_Timeline'!IW37</f>
        <v>M253</v>
      </c>
      <c r="IX6" s="163" t="str">
        <f>"M"&amp;'20_Timeline'!IX37</f>
        <v>M254</v>
      </c>
      <c r="IY6" s="163" t="str">
        <f>"M"&amp;'20_Timeline'!IY37</f>
        <v>M255</v>
      </c>
      <c r="IZ6" s="163" t="str">
        <f>"M"&amp;'20_Timeline'!IZ37</f>
        <v>M256</v>
      </c>
      <c r="JA6" s="163" t="str">
        <f>"M"&amp;'20_Timeline'!JA37</f>
        <v>M257</v>
      </c>
      <c r="JB6" s="163" t="str">
        <f>"M"&amp;'20_Timeline'!JB37</f>
        <v>M258</v>
      </c>
      <c r="JC6" s="163" t="str">
        <f>"M"&amp;'20_Timeline'!JC37</f>
        <v>M259</v>
      </c>
      <c r="JD6" s="163" t="str">
        <f>"M"&amp;'20_Timeline'!JD37</f>
        <v>M260</v>
      </c>
      <c r="JE6" s="163" t="str">
        <f>"M"&amp;'20_Timeline'!JE37</f>
        <v>M261</v>
      </c>
      <c r="JF6" s="163" t="str">
        <f>"M"&amp;'20_Timeline'!JF37</f>
        <v>M262</v>
      </c>
      <c r="JG6" s="163" t="str">
        <f>"M"&amp;'20_Timeline'!JG37</f>
        <v>M263</v>
      </c>
      <c r="JH6" s="163" t="str">
        <f>"M"&amp;'20_Timeline'!JH37</f>
        <v>M264</v>
      </c>
      <c r="JI6" s="163" t="str">
        <f>"M"&amp;'20_Timeline'!JI37</f>
        <v>M265</v>
      </c>
      <c r="JJ6" s="163" t="str">
        <f>"M"&amp;'20_Timeline'!JJ37</f>
        <v>M266</v>
      </c>
      <c r="JK6" s="163" t="str">
        <f>"M"&amp;'20_Timeline'!JK37</f>
        <v>M267</v>
      </c>
      <c r="JL6" s="163" t="str">
        <f>"M"&amp;'20_Timeline'!JL37</f>
        <v>M268</v>
      </c>
      <c r="JM6" s="163" t="str">
        <f>"M"&amp;'20_Timeline'!JM37</f>
        <v>M269</v>
      </c>
      <c r="JN6" s="163" t="str">
        <f>"M"&amp;'20_Timeline'!JN37</f>
        <v>M270</v>
      </c>
      <c r="JO6" s="163" t="str">
        <f>"M"&amp;'20_Timeline'!JO37</f>
        <v>M271</v>
      </c>
      <c r="JP6" s="163" t="str">
        <f>"M"&amp;'20_Timeline'!JP37</f>
        <v>M272</v>
      </c>
      <c r="JQ6" s="163" t="str">
        <f>"M"&amp;'20_Timeline'!JQ37</f>
        <v>M273</v>
      </c>
      <c r="JR6" s="163" t="str">
        <f>"M"&amp;'20_Timeline'!JR37</f>
        <v>M274</v>
      </c>
      <c r="JS6" s="163" t="str">
        <f>"M"&amp;'20_Timeline'!JS37</f>
        <v>M275</v>
      </c>
      <c r="JT6" s="163" t="str">
        <f>"M"&amp;'20_Timeline'!JT37</f>
        <v>M276</v>
      </c>
      <c r="JU6" s="163" t="str">
        <f>"M"&amp;'20_Timeline'!JU37</f>
        <v>M277</v>
      </c>
      <c r="JV6" s="163" t="str">
        <f>"M"&amp;'20_Timeline'!JV37</f>
        <v>M278</v>
      </c>
      <c r="JW6" s="163" t="str">
        <f>"M"&amp;'20_Timeline'!JW37</f>
        <v>M279</v>
      </c>
      <c r="JX6" s="163" t="str">
        <f>"M"&amp;'20_Timeline'!JX37</f>
        <v>M280</v>
      </c>
      <c r="JY6" s="163" t="str">
        <f>"M"&amp;'20_Timeline'!JY37</f>
        <v>M281</v>
      </c>
      <c r="JZ6" s="163" t="str">
        <f>"M"&amp;'20_Timeline'!JZ37</f>
        <v>M282</v>
      </c>
      <c r="KA6" s="163" t="str">
        <f>"M"&amp;'20_Timeline'!KA37</f>
        <v>M283</v>
      </c>
      <c r="KB6" s="163" t="str">
        <f>"M"&amp;'20_Timeline'!KB37</f>
        <v>M284</v>
      </c>
      <c r="KC6" s="163" t="str">
        <f>"M"&amp;'20_Timeline'!KC37</f>
        <v>M285</v>
      </c>
      <c r="KD6" s="163" t="str">
        <f>"M"&amp;'20_Timeline'!KD37</f>
        <v>M286</v>
      </c>
      <c r="KE6" s="163" t="str">
        <f>"M"&amp;'20_Timeline'!KE37</f>
        <v>M287</v>
      </c>
      <c r="KF6" s="163" t="str">
        <f>"M"&amp;'20_Timeline'!KF37</f>
        <v>M288</v>
      </c>
    </row>
    <row r="7">
      <c r="B7" s="117" t="inlineStr">
        <is>
          <t>Month start</t>
        </is>
      </c>
      <c r="E7" s="178">
        <f>'20_Timeline'!E38</f>
        <v>46388.0</v>
      </c>
      <c r="F7" s="178">
        <f>'20_Timeline'!F38</f>
        <v>46419.0</v>
      </c>
      <c r="G7" s="178">
        <f>'20_Timeline'!G38</f>
        <v>46447.0</v>
      </c>
      <c r="H7" s="178">
        <f>'20_Timeline'!H38</f>
        <v>46478.0</v>
      </c>
      <c r="I7" s="178">
        <f>'20_Timeline'!I38</f>
        <v>46508.0</v>
      </c>
      <c r="J7" s="178">
        <f>'20_Timeline'!J38</f>
        <v>46539.0</v>
      </c>
      <c r="K7" s="178">
        <f>'20_Timeline'!K38</f>
        <v>46569.0</v>
      </c>
      <c r="L7" s="178">
        <f>'20_Timeline'!L38</f>
        <v>46600.0</v>
      </c>
      <c r="M7" s="178">
        <f>'20_Timeline'!M38</f>
        <v>46631.0</v>
      </c>
      <c r="N7" s="178">
        <f>'20_Timeline'!N38</f>
        <v>46661.0</v>
      </c>
      <c r="O7" s="178">
        <f>'20_Timeline'!O38</f>
        <v>46692.0</v>
      </c>
      <c r="P7" s="178">
        <f>'20_Timeline'!P38</f>
        <v>46722.0</v>
      </c>
      <c r="Q7" s="178">
        <f>'20_Timeline'!Q38</f>
        <v>46753.0</v>
      </c>
      <c r="R7" s="178">
        <f>'20_Timeline'!R38</f>
        <v>46784.0</v>
      </c>
      <c r="S7" s="178">
        <f>'20_Timeline'!S38</f>
        <v>46813.0</v>
      </c>
      <c r="T7" s="178">
        <f>'20_Timeline'!T38</f>
        <v>46844.0</v>
      </c>
      <c r="U7" s="178">
        <f>'20_Timeline'!U38</f>
        <v>46874.0</v>
      </c>
      <c r="V7" s="178">
        <f>'20_Timeline'!V38</f>
        <v>46905.0</v>
      </c>
      <c r="W7" s="178">
        <f>'20_Timeline'!W38</f>
        <v>46935.0</v>
      </c>
      <c r="X7" s="178">
        <f>'20_Timeline'!X38</f>
        <v>46966.0</v>
      </c>
      <c r="Y7" s="178">
        <f>'20_Timeline'!Y38</f>
        <v>46997.0</v>
      </c>
      <c r="Z7" s="178">
        <f>'20_Timeline'!Z38</f>
        <v>47027.0</v>
      </c>
      <c r="AA7" s="178">
        <f>'20_Timeline'!AA38</f>
        <v>47058.0</v>
      </c>
      <c r="AB7" s="178">
        <f>'20_Timeline'!AB38</f>
        <v>47088.0</v>
      </c>
      <c r="AC7" s="178">
        <f>'20_Timeline'!AC38</f>
        <v>47119.0</v>
      </c>
      <c r="AD7" s="178">
        <f>'20_Timeline'!AD38</f>
        <v>47150.0</v>
      </c>
      <c r="AE7" s="178">
        <f>'20_Timeline'!AE38</f>
        <v>47178.0</v>
      </c>
      <c r="AF7" s="178">
        <f>'20_Timeline'!AF38</f>
        <v>47209.0</v>
      </c>
      <c r="AG7" s="178">
        <f>'20_Timeline'!AG38</f>
        <v>47239.0</v>
      </c>
      <c r="AH7" s="178">
        <f>'20_Timeline'!AH38</f>
        <v>47270.0</v>
      </c>
      <c r="AI7" s="178">
        <f>'20_Timeline'!AI38</f>
        <v>47300.0</v>
      </c>
      <c r="AJ7" s="178">
        <f>'20_Timeline'!AJ38</f>
        <v>47331.0</v>
      </c>
      <c r="AK7" s="178">
        <f>'20_Timeline'!AK38</f>
        <v>47362.0</v>
      </c>
      <c r="AL7" s="178">
        <f>'20_Timeline'!AL38</f>
        <v>47392.0</v>
      </c>
      <c r="AM7" s="178">
        <f>'20_Timeline'!AM38</f>
        <v>47423.0</v>
      </c>
      <c r="AN7" s="178">
        <f>'20_Timeline'!AN38</f>
        <v>47453.0</v>
      </c>
      <c r="AO7" s="178">
        <f>'20_Timeline'!AO38</f>
        <v>47484.0</v>
      </c>
      <c r="AP7" s="178">
        <f>'20_Timeline'!AP38</f>
        <v>47515.0</v>
      </c>
      <c r="AQ7" s="178">
        <f>'20_Timeline'!AQ38</f>
        <v>47543.0</v>
      </c>
      <c r="AR7" s="178">
        <f>'20_Timeline'!AR38</f>
        <v>47574.0</v>
      </c>
      <c r="AS7" s="178">
        <f>'20_Timeline'!AS38</f>
        <v>47604.0</v>
      </c>
      <c r="AT7" s="178">
        <f>'20_Timeline'!AT38</f>
        <v>47635.0</v>
      </c>
      <c r="AU7" s="178">
        <f>'20_Timeline'!AU38</f>
        <v>47665.0</v>
      </c>
      <c r="AV7" s="178">
        <f>'20_Timeline'!AV38</f>
        <v>47696.0</v>
      </c>
      <c r="AW7" s="178">
        <f>'20_Timeline'!AW38</f>
        <v>47727.0</v>
      </c>
      <c r="AX7" s="178">
        <f>'20_Timeline'!AX38</f>
        <v>47757.0</v>
      </c>
      <c r="AY7" s="178">
        <f>'20_Timeline'!AY38</f>
        <v>47788.0</v>
      </c>
      <c r="AZ7" s="178">
        <f>'20_Timeline'!AZ38</f>
        <v>47818.0</v>
      </c>
      <c r="BA7" s="178">
        <f>'20_Timeline'!BA38</f>
        <v>47849.0</v>
      </c>
      <c r="BB7" s="178">
        <f>'20_Timeline'!BB38</f>
        <v>47880.0</v>
      </c>
      <c r="BC7" s="178">
        <f>'20_Timeline'!BC38</f>
        <v>47908.0</v>
      </c>
      <c r="BD7" s="178">
        <f>'20_Timeline'!BD38</f>
        <v>47939.0</v>
      </c>
      <c r="BE7" s="178">
        <f>'20_Timeline'!BE38</f>
        <v>47969.0</v>
      </c>
      <c r="BF7" s="178">
        <f>'20_Timeline'!BF38</f>
        <v>48000.0</v>
      </c>
      <c r="BG7" s="178">
        <f>'20_Timeline'!BG38</f>
        <v>48030.0</v>
      </c>
      <c r="BH7" s="178">
        <f>'20_Timeline'!BH38</f>
        <v>48061.0</v>
      </c>
      <c r="BI7" s="178">
        <f>'20_Timeline'!BI38</f>
        <v>48092.0</v>
      </c>
      <c r="BJ7" s="178">
        <f>'20_Timeline'!BJ38</f>
        <v>48122.0</v>
      </c>
      <c r="BK7" s="178">
        <f>'20_Timeline'!BK38</f>
        <v>48153.0</v>
      </c>
      <c r="BL7" s="178">
        <f>'20_Timeline'!BL38</f>
        <v>48183.0</v>
      </c>
      <c r="BM7" s="178">
        <f>'20_Timeline'!BM38</f>
        <v>48214.0</v>
      </c>
      <c r="BN7" s="178">
        <f>'20_Timeline'!BN38</f>
        <v>48245.0</v>
      </c>
      <c r="BO7" s="178">
        <f>'20_Timeline'!BO38</f>
        <v>48274.0</v>
      </c>
      <c r="BP7" s="178">
        <f>'20_Timeline'!BP38</f>
        <v>48305.0</v>
      </c>
      <c r="BQ7" s="178">
        <f>'20_Timeline'!BQ38</f>
        <v>48335.0</v>
      </c>
      <c r="BR7" s="178">
        <f>'20_Timeline'!BR38</f>
        <v>48366.0</v>
      </c>
      <c r="BS7" s="178">
        <f>'20_Timeline'!BS38</f>
        <v>48396.0</v>
      </c>
      <c r="BT7" s="178">
        <f>'20_Timeline'!BT38</f>
        <v>48427.0</v>
      </c>
      <c r="BU7" s="178">
        <f>'20_Timeline'!BU38</f>
        <v>48458.0</v>
      </c>
      <c r="BV7" s="178">
        <f>'20_Timeline'!BV38</f>
        <v>48488.0</v>
      </c>
      <c r="BW7" s="178">
        <f>'20_Timeline'!BW38</f>
        <v>48519.0</v>
      </c>
      <c r="BX7" s="178">
        <f>'20_Timeline'!BX38</f>
        <v>48549.0</v>
      </c>
      <c r="BY7" s="178">
        <f>'20_Timeline'!BY38</f>
        <v>48580.0</v>
      </c>
      <c r="BZ7" s="178">
        <f>'20_Timeline'!BZ38</f>
        <v>48611.0</v>
      </c>
      <c r="CA7" s="178">
        <f>'20_Timeline'!CA38</f>
        <v>48639.0</v>
      </c>
      <c r="CB7" s="178">
        <f>'20_Timeline'!CB38</f>
        <v>48670.0</v>
      </c>
      <c r="CC7" s="178">
        <f>'20_Timeline'!CC38</f>
        <v>48700.0</v>
      </c>
      <c r="CD7" s="178">
        <f>'20_Timeline'!CD38</f>
        <v>48731.0</v>
      </c>
      <c r="CE7" s="178">
        <f>'20_Timeline'!CE38</f>
        <v>48761.0</v>
      </c>
      <c r="CF7" s="178">
        <f>'20_Timeline'!CF38</f>
        <v>48792.0</v>
      </c>
      <c r="CG7" s="178">
        <f>'20_Timeline'!CG38</f>
        <v>48823.0</v>
      </c>
      <c r="CH7" s="178">
        <f>'20_Timeline'!CH38</f>
        <v>48853.0</v>
      </c>
      <c r="CI7" s="178">
        <f>'20_Timeline'!CI38</f>
        <v>48884.0</v>
      </c>
      <c r="CJ7" s="178">
        <f>'20_Timeline'!CJ38</f>
        <v>48914.0</v>
      </c>
      <c r="CK7" s="178">
        <f>'20_Timeline'!CK38</f>
        <v>48945.0</v>
      </c>
      <c r="CL7" s="178">
        <f>'20_Timeline'!CL38</f>
        <v>48976.0</v>
      </c>
      <c r="CM7" s="178">
        <f>'20_Timeline'!CM38</f>
        <v>49004.0</v>
      </c>
      <c r="CN7" s="178">
        <f>'20_Timeline'!CN38</f>
        <v>49035.0</v>
      </c>
      <c r="CO7" s="178">
        <f>'20_Timeline'!CO38</f>
        <v>49065.0</v>
      </c>
      <c r="CP7" s="178">
        <f>'20_Timeline'!CP38</f>
        <v>49096.0</v>
      </c>
      <c r="CQ7" s="178">
        <f>'20_Timeline'!CQ38</f>
        <v>49126.0</v>
      </c>
      <c r="CR7" s="178">
        <f>'20_Timeline'!CR38</f>
        <v>49157.0</v>
      </c>
      <c r="CS7" s="178">
        <f>'20_Timeline'!CS38</f>
        <v>49188.0</v>
      </c>
      <c r="CT7" s="178">
        <f>'20_Timeline'!CT38</f>
        <v>49218.0</v>
      </c>
      <c r="CU7" s="178">
        <f>'20_Timeline'!CU38</f>
        <v>49249.0</v>
      </c>
      <c r="CV7" s="178">
        <f>'20_Timeline'!CV38</f>
        <v>49279.0</v>
      </c>
      <c r="CW7" s="178">
        <f>'20_Timeline'!CW38</f>
        <v>49310.0</v>
      </c>
      <c r="CX7" s="178">
        <f>'20_Timeline'!CX38</f>
        <v>49341.0</v>
      </c>
      <c r="CY7" s="178">
        <f>'20_Timeline'!CY38</f>
        <v>49369.0</v>
      </c>
      <c r="CZ7" s="178">
        <f>'20_Timeline'!CZ38</f>
        <v>49400.0</v>
      </c>
      <c r="DA7" s="178">
        <f>'20_Timeline'!DA38</f>
        <v>49430.0</v>
      </c>
      <c r="DB7" s="178">
        <f>'20_Timeline'!DB38</f>
        <v>49461.0</v>
      </c>
      <c r="DC7" s="178">
        <f>'20_Timeline'!DC38</f>
        <v>49491.0</v>
      </c>
      <c r="DD7" s="178">
        <f>'20_Timeline'!DD38</f>
        <v>49522.0</v>
      </c>
      <c r="DE7" s="178">
        <f>'20_Timeline'!DE38</f>
        <v>49553.0</v>
      </c>
      <c r="DF7" s="178">
        <f>'20_Timeline'!DF38</f>
        <v>49583.0</v>
      </c>
      <c r="DG7" s="178">
        <f>'20_Timeline'!DG38</f>
        <v>49614.0</v>
      </c>
      <c r="DH7" s="178">
        <f>'20_Timeline'!DH38</f>
        <v>49644.0</v>
      </c>
      <c r="DI7" s="178">
        <f>'20_Timeline'!DI38</f>
        <v>49675.0</v>
      </c>
      <c r="DJ7" s="178">
        <f>'20_Timeline'!DJ38</f>
        <v>49706.0</v>
      </c>
      <c r="DK7" s="178">
        <f>'20_Timeline'!DK38</f>
        <v>49735.0</v>
      </c>
      <c r="DL7" s="178">
        <f>'20_Timeline'!DL38</f>
        <v>49766.0</v>
      </c>
      <c r="DM7" s="178">
        <f>'20_Timeline'!DM38</f>
        <v>49796.0</v>
      </c>
      <c r="DN7" s="178">
        <f>'20_Timeline'!DN38</f>
        <v>49827.0</v>
      </c>
      <c r="DO7" s="178">
        <f>'20_Timeline'!DO38</f>
        <v>49857.0</v>
      </c>
      <c r="DP7" s="178">
        <f>'20_Timeline'!DP38</f>
        <v>49888.0</v>
      </c>
      <c r="DQ7" s="178">
        <f>'20_Timeline'!DQ38</f>
        <v>49919.0</v>
      </c>
      <c r="DR7" s="178">
        <f>'20_Timeline'!DR38</f>
        <v>49949.0</v>
      </c>
      <c r="DS7" s="178">
        <f>'20_Timeline'!DS38</f>
        <v>49980.0</v>
      </c>
      <c r="DT7" s="178">
        <f>'20_Timeline'!DT38</f>
        <v>50010.0</v>
      </c>
      <c r="DU7" s="178">
        <f>'20_Timeline'!DU38</f>
        <v>50041.0</v>
      </c>
      <c r="DV7" s="178">
        <f>'20_Timeline'!DV38</f>
        <v>50072.0</v>
      </c>
      <c r="DW7" s="178">
        <f>'20_Timeline'!DW38</f>
        <v>50100.0</v>
      </c>
      <c r="DX7" s="178">
        <f>'20_Timeline'!DX38</f>
        <v>50131.0</v>
      </c>
      <c r="DY7" s="178">
        <f>'20_Timeline'!DY38</f>
        <v>50161.0</v>
      </c>
      <c r="DZ7" s="178">
        <f>'20_Timeline'!DZ38</f>
        <v>50192.0</v>
      </c>
      <c r="EA7" s="178">
        <f>'20_Timeline'!EA38</f>
        <v>50222.0</v>
      </c>
      <c r="EB7" s="178">
        <f>'20_Timeline'!EB38</f>
        <v>50253.0</v>
      </c>
      <c r="EC7" s="178">
        <f>'20_Timeline'!EC38</f>
        <v>50284.0</v>
      </c>
      <c r="ED7" s="178">
        <f>'20_Timeline'!ED38</f>
        <v>50314.0</v>
      </c>
      <c r="EE7" s="178">
        <f>'20_Timeline'!EE38</f>
        <v>50345.0</v>
      </c>
      <c r="EF7" s="178">
        <f>'20_Timeline'!EF38</f>
        <v>50375.0</v>
      </c>
      <c r="EG7" s="178">
        <f>'20_Timeline'!EG38</f>
        <v>50406.0</v>
      </c>
      <c r="EH7" s="178">
        <f>'20_Timeline'!EH38</f>
        <v>50437.0</v>
      </c>
      <c r="EI7" s="178">
        <f>'20_Timeline'!EI38</f>
        <v>50465.0</v>
      </c>
      <c r="EJ7" s="178">
        <f>'20_Timeline'!EJ38</f>
        <v>50496.0</v>
      </c>
      <c r="EK7" s="178">
        <f>'20_Timeline'!EK38</f>
        <v>50526.0</v>
      </c>
      <c r="EL7" s="178">
        <f>'20_Timeline'!EL38</f>
        <v>50557.0</v>
      </c>
      <c r="EM7" s="178">
        <f>'20_Timeline'!EM38</f>
        <v>50587.0</v>
      </c>
      <c r="EN7" s="178">
        <f>'20_Timeline'!EN38</f>
        <v>50618.0</v>
      </c>
      <c r="EO7" s="178">
        <f>'20_Timeline'!EO38</f>
        <v>50649.0</v>
      </c>
      <c r="EP7" s="178">
        <f>'20_Timeline'!EP38</f>
        <v>50679.0</v>
      </c>
      <c r="EQ7" s="178">
        <f>'20_Timeline'!EQ38</f>
        <v>50710.0</v>
      </c>
      <c r="ER7" s="178">
        <f>'20_Timeline'!ER38</f>
        <v>50740.0</v>
      </c>
      <c r="ES7" s="178">
        <f>'20_Timeline'!ES38</f>
        <v>50771.0</v>
      </c>
      <c r="ET7" s="178">
        <f>'20_Timeline'!ET38</f>
        <v>50802.0</v>
      </c>
      <c r="EU7" s="178">
        <f>'20_Timeline'!EU38</f>
        <v>50830.0</v>
      </c>
      <c r="EV7" s="178">
        <f>'20_Timeline'!EV38</f>
        <v>50861.0</v>
      </c>
      <c r="EW7" s="178">
        <f>'20_Timeline'!EW38</f>
        <v>50891.0</v>
      </c>
      <c r="EX7" s="178">
        <f>'20_Timeline'!EX38</f>
        <v>50922.0</v>
      </c>
      <c r="EY7" s="178">
        <f>'20_Timeline'!EY38</f>
        <v>50952.0</v>
      </c>
      <c r="EZ7" s="178">
        <f>'20_Timeline'!EZ38</f>
        <v>50983.0</v>
      </c>
      <c r="FA7" s="178">
        <f>'20_Timeline'!FA38</f>
        <v>51014.0</v>
      </c>
      <c r="FB7" s="178">
        <f>'20_Timeline'!FB38</f>
        <v>51044.0</v>
      </c>
      <c r="FC7" s="178">
        <f>'20_Timeline'!FC38</f>
        <v>51075.0</v>
      </c>
      <c r="FD7" s="178">
        <f>'20_Timeline'!FD38</f>
        <v>51105.0</v>
      </c>
      <c r="FE7" s="178">
        <f>'20_Timeline'!FE38</f>
        <v>51136.0</v>
      </c>
      <c r="FF7" s="178">
        <f>'20_Timeline'!FF38</f>
        <v>51167.0</v>
      </c>
      <c r="FG7" s="178">
        <f>'20_Timeline'!FG38</f>
        <v>51196.0</v>
      </c>
      <c r="FH7" s="178">
        <f>'20_Timeline'!FH38</f>
        <v>51227.0</v>
      </c>
      <c r="FI7" s="178">
        <f>'20_Timeline'!FI38</f>
        <v>51257.0</v>
      </c>
      <c r="FJ7" s="178">
        <f>'20_Timeline'!FJ38</f>
        <v>51288.0</v>
      </c>
      <c r="FK7" s="178">
        <f>'20_Timeline'!FK38</f>
        <v>51318.0</v>
      </c>
      <c r="FL7" s="178">
        <f>'20_Timeline'!FL38</f>
        <v>51349.0</v>
      </c>
      <c r="FM7" s="178">
        <f>'20_Timeline'!FM38</f>
        <v>51380.0</v>
      </c>
      <c r="FN7" s="178">
        <f>'20_Timeline'!FN38</f>
        <v>51410.0</v>
      </c>
      <c r="FO7" s="178">
        <f>'20_Timeline'!FO38</f>
        <v>51441.0</v>
      </c>
      <c r="FP7" s="178">
        <f>'20_Timeline'!FP38</f>
        <v>51471.0</v>
      </c>
      <c r="FQ7" s="178">
        <f>'20_Timeline'!FQ38</f>
        <v>51502.0</v>
      </c>
      <c r="FR7" s="178">
        <f>'20_Timeline'!FR38</f>
        <v>51533.0</v>
      </c>
      <c r="FS7" s="178">
        <f>'20_Timeline'!FS38</f>
        <v>51561.0</v>
      </c>
      <c r="FT7" s="178">
        <f>'20_Timeline'!FT38</f>
        <v>51592.0</v>
      </c>
      <c r="FU7" s="178">
        <f>'20_Timeline'!FU38</f>
        <v>51622.0</v>
      </c>
      <c r="FV7" s="178">
        <f>'20_Timeline'!FV38</f>
        <v>51653.0</v>
      </c>
      <c r="FW7" s="178">
        <f>'20_Timeline'!FW38</f>
        <v>51683.0</v>
      </c>
      <c r="FX7" s="178">
        <f>'20_Timeline'!FX38</f>
        <v>51714.0</v>
      </c>
      <c r="FY7" s="178">
        <f>'20_Timeline'!FY38</f>
        <v>51745.0</v>
      </c>
      <c r="FZ7" s="178">
        <f>'20_Timeline'!FZ38</f>
        <v>51775.0</v>
      </c>
      <c r="GA7" s="178">
        <f>'20_Timeline'!GA38</f>
        <v>51806.0</v>
      </c>
      <c r="GB7" s="178">
        <f>'20_Timeline'!GB38</f>
        <v>51836.0</v>
      </c>
      <c r="GC7" s="178">
        <f>'20_Timeline'!GC38</f>
        <v>51867.0</v>
      </c>
      <c r="GD7" s="178">
        <f>'20_Timeline'!GD38</f>
        <v>51898.0</v>
      </c>
      <c r="GE7" s="178">
        <f>'20_Timeline'!GE38</f>
        <v>51926.0</v>
      </c>
      <c r="GF7" s="178">
        <f>'20_Timeline'!GF38</f>
        <v>51957.0</v>
      </c>
      <c r="GG7" s="178">
        <f>'20_Timeline'!GG38</f>
        <v>51987.0</v>
      </c>
      <c r="GH7" s="178">
        <f>'20_Timeline'!GH38</f>
        <v>52018.0</v>
      </c>
      <c r="GI7" s="178">
        <f>'20_Timeline'!GI38</f>
        <v>52048.0</v>
      </c>
      <c r="GJ7" s="178">
        <f>'20_Timeline'!GJ38</f>
        <v>52079.0</v>
      </c>
      <c r="GK7" s="178">
        <f>'20_Timeline'!GK38</f>
        <v>52110.0</v>
      </c>
      <c r="GL7" s="178">
        <f>'20_Timeline'!GL38</f>
        <v>52140.0</v>
      </c>
      <c r="GM7" s="178">
        <f>'20_Timeline'!GM38</f>
        <v>52171.0</v>
      </c>
      <c r="GN7" s="178">
        <f>'20_Timeline'!GN38</f>
        <v>52201.0</v>
      </c>
      <c r="GO7" s="178">
        <f>'20_Timeline'!GO38</f>
        <v>52232.0</v>
      </c>
      <c r="GP7" s="178">
        <f>'20_Timeline'!GP38</f>
        <v>52263.0</v>
      </c>
      <c r="GQ7" s="178">
        <f>'20_Timeline'!GQ38</f>
        <v>52291.0</v>
      </c>
      <c r="GR7" s="178">
        <f>'20_Timeline'!GR38</f>
        <v>52322.0</v>
      </c>
      <c r="GS7" s="178">
        <f>'20_Timeline'!GS38</f>
        <v>52352.0</v>
      </c>
      <c r="GT7" s="178">
        <f>'20_Timeline'!GT38</f>
        <v>52383.0</v>
      </c>
      <c r="GU7" s="178">
        <f>'20_Timeline'!GU38</f>
        <v>52413.0</v>
      </c>
      <c r="GV7" s="178">
        <f>'20_Timeline'!GV38</f>
        <v>52444.0</v>
      </c>
      <c r="GW7" s="178">
        <f>'20_Timeline'!GW38</f>
        <v>52475.0</v>
      </c>
      <c r="GX7" s="178">
        <f>'20_Timeline'!GX38</f>
        <v>52505.0</v>
      </c>
      <c r="GY7" s="178">
        <f>'20_Timeline'!GY38</f>
        <v>52536.0</v>
      </c>
      <c r="GZ7" s="178">
        <f>'20_Timeline'!GZ38</f>
        <v>52566.0</v>
      </c>
      <c r="HA7" s="178">
        <f>'20_Timeline'!HA38</f>
        <v>52597.0</v>
      </c>
      <c r="HB7" s="178">
        <f>'20_Timeline'!HB38</f>
        <v>52628.0</v>
      </c>
      <c r="HC7" s="178">
        <f>'20_Timeline'!HC38</f>
        <v>52657.0</v>
      </c>
      <c r="HD7" s="178">
        <f>'20_Timeline'!HD38</f>
        <v>52688.0</v>
      </c>
      <c r="HE7" s="178">
        <f>'20_Timeline'!HE38</f>
        <v>52718.0</v>
      </c>
      <c r="HF7" s="178">
        <f>'20_Timeline'!HF38</f>
        <v>52749.0</v>
      </c>
      <c r="HG7" s="178">
        <f>'20_Timeline'!HG38</f>
        <v>52779.0</v>
      </c>
      <c r="HH7" s="178">
        <f>'20_Timeline'!HH38</f>
        <v>52810.0</v>
      </c>
      <c r="HI7" s="178">
        <f>'20_Timeline'!HI38</f>
        <v>52841.0</v>
      </c>
      <c r="HJ7" s="178">
        <f>'20_Timeline'!HJ38</f>
        <v>52871.0</v>
      </c>
      <c r="HK7" s="178">
        <f>'20_Timeline'!HK38</f>
        <v>52902.0</v>
      </c>
      <c r="HL7" s="178">
        <f>'20_Timeline'!HL38</f>
        <v>52932.0</v>
      </c>
      <c r="HM7" s="178">
        <f>'20_Timeline'!HM38</f>
        <v>52963.0</v>
      </c>
      <c r="HN7" s="178">
        <f>'20_Timeline'!HN38</f>
        <v>52994.0</v>
      </c>
      <c r="HO7" s="178">
        <f>'20_Timeline'!HO38</f>
        <v>53022.0</v>
      </c>
      <c r="HP7" s="178">
        <f>'20_Timeline'!HP38</f>
        <v>53053.0</v>
      </c>
      <c r="HQ7" s="178">
        <f>'20_Timeline'!HQ38</f>
        <v>53083.0</v>
      </c>
      <c r="HR7" s="178">
        <f>'20_Timeline'!HR38</f>
        <v>53114.0</v>
      </c>
      <c r="HS7" s="178">
        <f>'20_Timeline'!HS38</f>
        <v>53144.0</v>
      </c>
      <c r="HT7" s="178">
        <f>'20_Timeline'!HT38</f>
        <v>53175.0</v>
      </c>
      <c r="HU7" s="178">
        <f>'20_Timeline'!HU38</f>
        <v>53206.0</v>
      </c>
      <c r="HV7" s="178">
        <f>'20_Timeline'!HV38</f>
        <v>53236.0</v>
      </c>
      <c r="HW7" s="178">
        <f>'20_Timeline'!HW38</f>
        <v>53267.0</v>
      </c>
      <c r="HX7" s="178">
        <f>'20_Timeline'!HX38</f>
        <v>53297.0</v>
      </c>
      <c r="HY7" s="178">
        <f>'20_Timeline'!HY38</f>
        <v>53328.0</v>
      </c>
      <c r="HZ7" s="178">
        <f>'20_Timeline'!HZ38</f>
        <v>53359.0</v>
      </c>
      <c r="IA7" s="178">
        <f>'20_Timeline'!IA38</f>
        <v>53387.0</v>
      </c>
      <c r="IB7" s="178">
        <f>'20_Timeline'!IB38</f>
        <v>53418.0</v>
      </c>
      <c r="IC7" s="178">
        <f>'20_Timeline'!IC38</f>
        <v>53448.0</v>
      </c>
      <c r="ID7" s="178">
        <f>'20_Timeline'!ID38</f>
        <v>53479.0</v>
      </c>
      <c r="IE7" s="178">
        <f>'20_Timeline'!IE38</f>
        <v>53509.0</v>
      </c>
      <c r="IF7" s="178">
        <f>'20_Timeline'!IF38</f>
        <v>53540.0</v>
      </c>
      <c r="IG7" s="178">
        <f>'20_Timeline'!IG38</f>
        <v>53571.0</v>
      </c>
      <c r="IH7" s="178">
        <f>'20_Timeline'!IH38</f>
        <v>53601.0</v>
      </c>
      <c r="II7" s="178">
        <f>'20_Timeline'!II38</f>
        <v>53632.0</v>
      </c>
      <c r="IJ7" s="178">
        <f>'20_Timeline'!IJ38</f>
        <v>53662.0</v>
      </c>
      <c r="IK7" s="178">
        <f>'20_Timeline'!IK38</f>
        <v>53693.0</v>
      </c>
      <c r="IL7" s="178">
        <f>'20_Timeline'!IL38</f>
        <v>53724.0</v>
      </c>
      <c r="IM7" s="178">
        <f>'20_Timeline'!IM38</f>
        <v>53752.0</v>
      </c>
      <c r="IN7" s="178">
        <f>'20_Timeline'!IN38</f>
        <v>53783.0</v>
      </c>
      <c r="IO7" s="178">
        <f>'20_Timeline'!IO38</f>
        <v>53813.0</v>
      </c>
      <c r="IP7" s="178">
        <f>'20_Timeline'!IP38</f>
        <v>53844.0</v>
      </c>
      <c r="IQ7" s="178">
        <f>'20_Timeline'!IQ38</f>
        <v>53874.0</v>
      </c>
      <c r="IR7" s="178">
        <f>'20_Timeline'!IR38</f>
        <v>53905.0</v>
      </c>
      <c r="IS7" s="178">
        <f>'20_Timeline'!IS38</f>
        <v>53936.0</v>
      </c>
      <c r="IT7" s="178">
        <f>'20_Timeline'!IT38</f>
        <v>53966.0</v>
      </c>
      <c r="IU7" s="178">
        <f>'20_Timeline'!IU38</f>
        <v>53997.0</v>
      </c>
      <c r="IV7" s="178">
        <f>'20_Timeline'!IV38</f>
        <v>54027.0</v>
      </c>
      <c r="IW7" s="178">
        <f>'20_Timeline'!IW38</f>
        <v>54058.0</v>
      </c>
      <c r="IX7" s="178">
        <f>'20_Timeline'!IX38</f>
        <v>54089.0</v>
      </c>
      <c r="IY7" s="178">
        <f>'20_Timeline'!IY38</f>
        <v>54118.0</v>
      </c>
      <c r="IZ7" s="178">
        <f>'20_Timeline'!IZ38</f>
        <v>54149.0</v>
      </c>
      <c r="JA7" s="178">
        <f>'20_Timeline'!JA38</f>
        <v>54179.0</v>
      </c>
      <c r="JB7" s="178">
        <f>'20_Timeline'!JB38</f>
        <v>54210.0</v>
      </c>
      <c r="JC7" s="178">
        <f>'20_Timeline'!JC38</f>
        <v>54240.0</v>
      </c>
      <c r="JD7" s="178">
        <f>'20_Timeline'!JD38</f>
        <v>54271.0</v>
      </c>
      <c r="JE7" s="178">
        <f>'20_Timeline'!JE38</f>
        <v>54302.0</v>
      </c>
      <c r="JF7" s="178">
        <f>'20_Timeline'!JF38</f>
        <v>54332.0</v>
      </c>
      <c r="JG7" s="178">
        <f>'20_Timeline'!JG38</f>
        <v>54363.0</v>
      </c>
      <c r="JH7" s="178">
        <f>'20_Timeline'!JH38</f>
        <v>54393.0</v>
      </c>
      <c r="JI7" s="178">
        <f>'20_Timeline'!JI38</f>
        <v>54424.0</v>
      </c>
      <c r="JJ7" s="178">
        <f>'20_Timeline'!JJ38</f>
        <v>54455.0</v>
      </c>
      <c r="JK7" s="178">
        <f>'20_Timeline'!JK38</f>
        <v>54483.0</v>
      </c>
      <c r="JL7" s="178">
        <f>'20_Timeline'!JL38</f>
        <v>54514.0</v>
      </c>
      <c r="JM7" s="178">
        <f>'20_Timeline'!JM38</f>
        <v>54544.0</v>
      </c>
      <c r="JN7" s="178">
        <f>'20_Timeline'!JN38</f>
        <v>54575.0</v>
      </c>
      <c r="JO7" s="178">
        <f>'20_Timeline'!JO38</f>
        <v>54605.0</v>
      </c>
      <c r="JP7" s="178">
        <f>'20_Timeline'!JP38</f>
        <v>54636.0</v>
      </c>
      <c r="JQ7" s="178">
        <f>'20_Timeline'!JQ38</f>
        <v>54667.0</v>
      </c>
      <c r="JR7" s="178">
        <f>'20_Timeline'!JR38</f>
        <v>54697.0</v>
      </c>
      <c r="JS7" s="178">
        <f>'20_Timeline'!JS38</f>
        <v>54728.0</v>
      </c>
      <c r="JT7" s="178">
        <f>'20_Timeline'!JT38</f>
        <v>54758.0</v>
      </c>
      <c r="JU7" s="178">
        <f>'20_Timeline'!JU38</f>
        <v>54789.0</v>
      </c>
      <c r="JV7" s="178">
        <f>'20_Timeline'!JV38</f>
        <v>54820.0</v>
      </c>
      <c r="JW7" s="178">
        <f>'20_Timeline'!JW38</f>
        <v>54848.0</v>
      </c>
      <c r="JX7" s="178">
        <f>'20_Timeline'!JX38</f>
        <v>54879.0</v>
      </c>
      <c r="JY7" s="178">
        <f>'20_Timeline'!JY38</f>
        <v>54909.0</v>
      </c>
      <c r="JZ7" s="178">
        <f>'20_Timeline'!JZ38</f>
        <v>54940.0</v>
      </c>
      <c r="KA7" s="178">
        <f>'20_Timeline'!KA38</f>
        <v>54970.0</v>
      </c>
      <c r="KB7" s="178">
        <f>'20_Timeline'!KB38</f>
        <v>55001.0</v>
      </c>
      <c r="KC7" s="178">
        <f>'20_Timeline'!KC38</f>
        <v>55032.0</v>
      </c>
      <c r="KD7" s="178">
        <f>'20_Timeline'!KD38</f>
        <v>55062.0</v>
      </c>
      <c r="KE7" s="178">
        <f>'20_Timeline'!KE38</f>
        <v>55093.0</v>
      </c>
      <c r="KF7" s="178">
        <f>'20_Timeline'!KF38</f>
        <v>55123.0</v>
      </c>
    </row>
    <row r="8">
      <c r="B8" s="117" t="inlineStr">
        <is>
          <t>Annual period</t>
        </is>
      </c>
      <c r="E8" s="165" t="str">
        <f>IF('20_Timeline'!E43=0,"–",INDEX('20_Timeline'!$E$12:$R$12,'20_Timeline'!E43))</f>
        <v>C1</v>
      </c>
      <c r="F8" s="165" t="str">
        <f>IF('20_Timeline'!F43=0,"–",INDEX('20_Timeline'!$E$12:$R$12,'20_Timeline'!F43))</f>
        <v>C1</v>
      </c>
      <c r="G8" s="165" t="str">
        <f>IF('20_Timeline'!G43=0,"–",INDEX('20_Timeline'!$E$12:$R$12,'20_Timeline'!G43))</f>
        <v>C1</v>
      </c>
      <c r="H8" s="165" t="str">
        <f>IF('20_Timeline'!H43=0,"–",INDEX('20_Timeline'!$E$12:$R$12,'20_Timeline'!H43))</f>
        <v>C1</v>
      </c>
      <c r="I8" s="165" t="str">
        <f>IF('20_Timeline'!I43=0,"–",INDEX('20_Timeline'!$E$12:$R$12,'20_Timeline'!I43))</f>
        <v>C1</v>
      </c>
      <c r="J8" s="165" t="str">
        <f>IF('20_Timeline'!J43=0,"–",INDEX('20_Timeline'!$E$12:$R$12,'20_Timeline'!J43))</f>
        <v>C1</v>
      </c>
      <c r="K8" s="165" t="str">
        <f>IF('20_Timeline'!K43=0,"–",INDEX('20_Timeline'!$E$12:$R$12,'20_Timeline'!K43))</f>
        <v>C1</v>
      </c>
      <c r="L8" s="165" t="str">
        <f>IF('20_Timeline'!L43=0,"–",INDEX('20_Timeline'!$E$12:$R$12,'20_Timeline'!L43))</f>
        <v>C1</v>
      </c>
      <c r="M8" s="165" t="str">
        <f>IF('20_Timeline'!M43=0,"–",INDEX('20_Timeline'!$E$12:$R$12,'20_Timeline'!M43))</f>
        <v>C1</v>
      </c>
      <c r="N8" s="165" t="str">
        <f>IF('20_Timeline'!N43=0,"–",INDEX('20_Timeline'!$E$12:$R$12,'20_Timeline'!N43))</f>
        <v>C1</v>
      </c>
      <c r="O8" s="165" t="str">
        <f>IF('20_Timeline'!O43=0,"–",INDEX('20_Timeline'!$E$12:$R$12,'20_Timeline'!O43))</f>
        <v>C1</v>
      </c>
      <c r="P8" s="165" t="str">
        <f>IF('20_Timeline'!P43=0,"–",INDEX('20_Timeline'!$E$12:$R$12,'20_Timeline'!P43))</f>
        <v>C1</v>
      </c>
      <c r="Q8" s="165" t="str">
        <f>IF('20_Timeline'!Q43=0,"–",INDEX('20_Timeline'!$E$12:$R$12,'20_Timeline'!Q43))</f>
        <v>C2</v>
      </c>
      <c r="R8" s="165" t="str">
        <f>IF('20_Timeline'!R43=0,"–",INDEX('20_Timeline'!$E$12:$R$12,'20_Timeline'!R43))</f>
        <v>C2</v>
      </c>
      <c r="S8" s="165" t="str">
        <f>IF('20_Timeline'!S43=0,"–",INDEX('20_Timeline'!$E$12:$R$12,'20_Timeline'!S43))</f>
        <v>C2</v>
      </c>
      <c r="T8" s="165" t="str">
        <f>IF('20_Timeline'!T43=0,"–",INDEX('20_Timeline'!$E$12:$R$12,'20_Timeline'!T43))</f>
        <v>C2</v>
      </c>
      <c r="U8" s="165" t="str">
        <f>IF('20_Timeline'!U43=0,"–",INDEX('20_Timeline'!$E$12:$R$12,'20_Timeline'!U43))</f>
        <v>C2</v>
      </c>
      <c r="V8" s="165" t="str">
        <f>IF('20_Timeline'!V43=0,"–",INDEX('20_Timeline'!$E$12:$R$12,'20_Timeline'!V43))</f>
        <v>C2</v>
      </c>
      <c r="W8" s="165" t="str">
        <f>IF('20_Timeline'!W43=0,"–",INDEX('20_Timeline'!$E$12:$R$12,'20_Timeline'!W43))</f>
        <v>C2</v>
      </c>
      <c r="X8" s="165" t="str">
        <f>IF('20_Timeline'!X43=0,"–",INDEX('20_Timeline'!$E$12:$R$12,'20_Timeline'!X43))</f>
        <v>C2</v>
      </c>
      <c r="Y8" s="165" t="str">
        <f>IF('20_Timeline'!Y43=0,"–",INDEX('20_Timeline'!$E$12:$R$12,'20_Timeline'!Y43))</f>
        <v>C2</v>
      </c>
      <c r="Z8" s="165" t="str">
        <f>IF('20_Timeline'!Z43=0,"–",INDEX('20_Timeline'!$E$12:$R$12,'20_Timeline'!Z43))</f>
        <v>C2</v>
      </c>
      <c r="AA8" s="165" t="str">
        <f>IF('20_Timeline'!AA43=0,"–",INDEX('20_Timeline'!$E$12:$R$12,'20_Timeline'!AA43))</f>
        <v>C2</v>
      </c>
      <c r="AB8" s="165" t="str">
        <f>IF('20_Timeline'!AB43=0,"–",INDEX('20_Timeline'!$E$12:$R$12,'20_Timeline'!AB43))</f>
        <v>C2</v>
      </c>
      <c r="AC8" s="165" t="str">
        <f>IF('20_Timeline'!AC43=0,"–",INDEX('20_Timeline'!$E$12:$R$12,'20_Timeline'!AC43))</f>
        <v>C3</v>
      </c>
      <c r="AD8" s="165" t="str">
        <f>IF('20_Timeline'!AD43=0,"–",INDEX('20_Timeline'!$E$12:$R$12,'20_Timeline'!AD43))</f>
        <v>C3</v>
      </c>
      <c r="AE8" s="165" t="str">
        <f>IF('20_Timeline'!AE43=0,"–",INDEX('20_Timeline'!$E$12:$R$12,'20_Timeline'!AE43))</f>
        <v>C3</v>
      </c>
      <c r="AF8" s="165" t="str">
        <f>IF('20_Timeline'!AF43=0,"–",INDEX('20_Timeline'!$E$12:$R$12,'20_Timeline'!AF43))</f>
        <v>C3</v>
      </c>
      <c r="AG8" s="165" t="str">
        <f>IF('20_Timeline'!AG43=0,"–",INDEX('20_Timeline'!$E$12:$R$12,'20_Timeline'!AG43))</f>
        <v>C3</v>
      </c>
      <c r="AH8" s="165" t="str">
        <f>IF('20_Timeline'!AH43=0,"–",INDEX('20_Timeline'!$E$12:$R$12,'20_Timeline'!AH43))</f>
        <v>C3</v>
      </c>
      <c r="AI8" s="165" t="str">
        <f>IF('20_Timeline'!AI43=0,"–",INDEX('20_Timeline'!$E$12:$R$12,'20_Timeline'!AI43))</f>
        <v>O1</v>
      </c>
      <c r="AJ8" s="165" t="str">
        <f>IF('20_Timeline'!AJ43=0,"–",INDEX('20_Timeline'!$E$12:$R$12,'20_Timeline'!AJ43))</f>
        <v>O1</v>
      </c>
      <c r="AK8" s="165" t="str">
        <f>IF('20_Timeline'!AK43=0,"–",INDEX('20_Timeline'!$E$12:$R$12,'20_Timeline'!AK43))</f>
        <v>O1</v>
      </c>
      <c r="AL8" s="165" t="str">
        <f>IF('20_Timeline'!AL43=0,"–",INDEX('20_Timeline'!$E$12:$R$12,'20_Timeline'!AL43))</f>
        <v>O1</v>
      </c>
      <c r="AM8" s="165" t="str">
        <f>IF('20_Timeline'!AM43=0,"–",INDEX('20_Timeline'!$E$12:$R$12,'20_Timeline'!AM43))</f>
        <v>O1</v>
      </c>
      <c r="AN8" s="165" t="str">
        <f>IF('20_Timeline'!AN43=0,"–",INDEX('20_Timeline'!$E$12:$R$12,'20_Timeline'!AN43))</f>
        <v>O1</v>
      </c>
      <c r="AO8" s="165" t="str">
        <f>IF('20_Timeline'!AO43=0,"–",INDEX('20_Timeline'!$E$12:$R$12,'20_Timeline'!AO43))</f>
        <v>O1</v>
      </c>
      <c r="AP8" s="165" t="str">
        <f>IF('20_Timeline'!AP43=0,"–",INDEX('20_Timeline'!$E$12:$R$12,'20_Timeline'!AP43))</f>
        <v>O1</v>
      </c>
      <c r="AQ8" s="165" t="str">
        <f>IF('20_Timeline'!AQ43=0,"–",INDEX('20_Timeline'!$E$12:$R$12,'20_Timeline'!AQ43))</f>
        <v>O1</v>
      </c>
      <c r="AR8" s="165" t="str">
        <f>IF('20_Timeline'!AR43=0,"–",INDEX('20_Timeline'!$E$12:$R$12,'20_Timeline'!AR43))</f>
        <v>O1</v>
      </c>
      <c r="AS8" s="165" t="str">
        <f>IF('20_Timeline'!AS43=0,"–",INDEX('20_Timeline'!$E$12:$R$12,'20_Timeline'!AS43))</f>
        <v>O1</v>
      </c>
      <c r="AT8" s="165" t="str">
        <f>IF('20_Timeline'!AT43=0,"–",INDEX('20_Timeline'!$E$12:$R$12,'20_Timeline'!AT43))</f>
        <v>O1</v>
      </c>
      <c r="AU8" s="165" t="str">
        <f>IF('20_Timeline'!AU43=0,"–",INDEX('20_Timeline'!$E$12:$R$12,'20_Timeline'!AU43))</f>
        <v>O2</v>
      </c>
      <c r="AV8" s="165" t="str">
        <f>IF('20_Timeline'!AV43=0,"–",INDEX('20_Timeline'!$E$12:$R$12,'20_Timeline'!AV43))</f>
        <v>O2</v>
      </c>
      <c r="AW8" s="165" t="str">
        <f>IF('20_Timeline'!AW43=0,"–",INDEX('20_Timeline'!$E$12:$R$12,'20_Timeline'!AW43))</f>
        <v>O2</v>
      </c>
      <c r="AX8" s="165" t="str">
        <f>IF('20_Timeline'!AX43=0,"–",INDEX('20_Timeline'!$E$12:$R$12,'20_Timeline'!AX43))</f>
        <v>O2</v>
      </c>
      <c r="AY8" s="165" t="str">
        <f>IF('20_Timeline'!AY43=0,"–",INDEX('20_Timeline'!$E$12:$R$12,'20_Timeline'!AY43))</f>
        <v>O2</v>
      </c>
      <c r="AZ8" s="165" t="str">
        <f>IF('20_Timeline'!AZ43=0,"–",INDEX('20_Timeline'!$E$12:$R$12,'20_Timeline'!AZ43))</f>
        <v>O2</v>
      </c>
      <c r="BA8" s="165" t="str">
        <f>IF('20_Timeline'!BA43=0,"–",INDEX('20_Timeline'!$E$12:$R$12,'20_Timeline'!BA43))</f>
        <v>O2</v>
      </c>
      <c r="BB8" s="165" t="str">
        <f>IF('20_Timeline'!BB43=0,"–",INDEX('20_Timeline'!$E$12:$R$12,'20_Timeline'!BB43))</f>
        <v>O2</v>
      </c>
      <c r="BC8" s="165" t="str">
        <f>IF('20_Timeline'!BC43=0,"–",INDEX('20_Timeline'!$E$12:$R$12,'20_Timeline'!BC43))</f>
        <v>O2</v>
      </c>
      <c r="BD8" s="165" t="str">
        <f>IF('20_Timeline'!BD43=0,"–",INDEX('20_Timeline'!$E$12:$R$12,'20_Timeline'!BD43))</f>
        <v>O2</v>
      </c>
      <c r="BE8" s="165" t="str">
        <f>IF('20_Timeline'!BE43=0,"–",INDEX('20_Timeline'!$E$12:$R$12,'20_Timeline'!BE43))</f>
        <v>O2</v>
      </c>
      <c r="BF8" s="165" t="str">
        <f>IF('20_Timeline'!BF43=0,"–",INDEX('20_Timeline'!$E$12:$R$12,'20_Timeline'!BF43))</f>
        <v>O2</v>
      </c>
      <c r="BG8" s="165" t="str">
        <f>IF('20_Timeline'!BG43=0,"–",INDEX('20_Timeline'!$E$12:$R$12,'20_Timeline'!BG43))</f>
        <v>O3</v>
      </c>
      <c r="BH8" s="165" t="str">
        <f>IF('20_Timeline'!BH43=0,"–",INDEX('20_Timeline'!$E$12:$R$12,'20_Timeline'!BH43))</f>
        <v>O3</v>
      </c>
      <c r="BI8" s="165" t="str">
        <f>IF('20_Timeline'!BI43=0,"–",INDEX('20_Timeline'!$E$12:$R$12,'20_Timeline'!BI43))</f>
        <v>O3</v>
      </c>
      <c r="BJ8" s="165" t="str">
        <f>IF('20_Timeline'!BJ43=0,"–",INDEX('20_Timeline'!$E$12:$R$12,'20_Timeline'!BJ43))</f>
        <v>O3</v>
      </c>
      <c r="BK8" s="165" t="str">
        <f>IF('20_Timeline'!BK43=0,"–",INDEX('20_Timeline'!$E$12:$R$12,'20_Timeline'!BK43))</f>
        <v>O3</v>
      </c>
      <c r="BL8" s="165" t="str">
        <f>IF('20_Timeline'!BL43=0,"–",INDEX('20_Timeline'!$E$12:$R$12,'20_Timeline'!BL43))</f>
        <v>O3</v>
      </c>
      <c r="BM8" s="165" t="str">
        <f>IF('20_Timeline'!BM43=0,"–",INDEX('20_Timeline'!$E$12:$R$12,'20_Timeline'!BM43))</f>
        <v>O3</v>
      </c>
      <c r="BN8" s="165" t="str">
        <f>IF('20_Timeline'!BN43=0,"–",INDEX('20_Timeline'!$E$12:$R$12,'20_Timeline'!BN43))</f>
        <v>O3</v>
      </c>
      <c r="BO8" s="165" t="str">
        <f>IF('20_Timeline'!BO43=0,"–",INDEX('20_Timeline'!$E$12:$R$12,'20_Timeline'!BO43))</f>
        <v>O3</v>
      </c>
      <c r="BP8" s="165" t="str">
        <f>IF('20_Timeline'!BP43=0,"–",INDEX('20_Timeline'!$E$12:$R$12,'20_Timeline'!BP43))</f>
        <v>O3</v>
      </c>
      <c r="BQ8" s="165" t="str">
        <f>IF('20_Timeline'!BQ43=0,"–",INDEX('20_Timeline'!$E$12:$R$12,'20_Timeline'!BQ43))</f>
        <v>O3</v>
      </c>
      <c r="BR8" s="165" t="str">
        <f>IF('20_Timeline'!BR43=0,"–",INDEX('20_Timeline'!$E$12:$R$12,'20_Timeline'!BR43))</f>
        <v>O3</v>
      </c>
      <c r="BS8" s="165" t="str">
        <f>IF('20_Timeline'!BS43=0,"–",INDEX('20_Timeline'!$E$12:$R$12,'20_Timeline'!BS43))</f>
        <v>O4</v>
      </c>
      <c r="BT8" s="165" t="str">
        <f>IF('20_Timeline'!BT43=0,"–",INDEX('20_Timeline'!$E$12:$R$12,'20_Timeline'!BT43))</f>
        <v>O4</v>
      </c>
      <c r="BU8" s="165" t="str">
        <f>IF('20_Timeline'!BU43=0,"–",INDEX('20_Timeline'!$E$12:$R$12,'20_Timeline'!BU43))</f>
        <v>O4</v>
      </c>
      <c r="BV8" s="165" t="str">
        <f>IF('20_Timeline'!BV43=0,"–",INDEX('20_Timeline'!$E$12:$R$12,'20_Timeline'!BV43))</f>
        <v>O4</v>
      </c>
      <c r="BW8" s="165" t="str">
        <f>IF('20_Timeline'!BW43=0,"–",INDEX('20_Timeline'!$E$12:$R$12,'20_Timeline'!BW43))</f>
        <v>O4</v>
      </c>
      <c r="BX8" s="165" t="str">
        <f>IF('20_Timeline'!BX43=0,"–",INDEX('20_Timeline'!$E$12:$R$12,'20_Timeline'!BX43))</f>
        <v>O4</v>
      </c>
      <c r="BY8" s="165" t="str">
        <f>IF('20_Timeline'!BY43=0,"–",INDEX('20_Timeline'!$E$12:$R$12,'20_Timeline'!BY43))</f>
        <v>O4</v>
      </c>
      <c r="BZ8" s="165" t="str">
        <f>IF('20_Timeline'!BZ43=0,"–",INDEX('20_Timeline'!$E$12:$R$12,'20_Timeline'!BZ43))</f>
        <v>O4</v>
      </c>
      <c r="CA8" s="165" t="str">
        <f>IF('20_Timeline'!CA43=0,"–",INDEX('20_Timeline'!$E$12:$R$12,'20_Timeline'!CA43))</f>
        <v>O4</v>
      </c>
      <c r="CB8" s="165" t="str">
        <f>IF('20_Timeline'!CB43=0,"–",INDEX('20_Timeline'!$E$12:$R$12,'20_Timeline'!CB43))</f>
        <v>O4</v>
      </c>
      <c r="CC8" s="165" t="str">
        <f>IF('20_Timeline'!CC43=0,"–",INDEX('20_Timeline'!$E$12:$R$12,'20_Timeline'!CC43))</f>
        <v>O4</v>
      </c>
      <c r="CD8" s="165" t="str">
        <f>IF('20_Timeline'!CD43=0,"–",INDEX('20_Timeline'!$E$12:$R$12,'20_Timeline'!CD43))</f>
        <v>O4</v>
      </c>
      <c r="CE8" s="165" t="str">
        <f>IF('20_Timeline'!CE43=0,"–",INDEX('20_Timeline'!$E$12:$R$12,'20_Timeline'!CE43))</f>
        <v>O5</v>
      </c>
      <c r="CF8" s="165" t="str">
        <f>IF('20_Timeline'!CF43=0,"–",INDEX('20_Timeline'!$E$12:$R$12,'20_Timeline'!CF43))</f>
        <v>O5</v>
      </c>
      <c r="CG8" s="165" t="str">
        <f>IF('20_Timeline'!CG43=0,"–",INDEX('20_Timeline'!$E$12:$R$12,'20_Timeline'!CG43))</f>
        <v>O5</v>
      </c>
      <c r="CH8" s="165" t="str">
        <f>IF('20_Timeline'!CH43=0,"–",INDEX('20_Timeline'!$E$12:$R$12,'20_Timeline'!CH43))</f>
        <v>O5</v>
      </c>
      <c r="CI8" s="165" t="str">
        <f>IF('20_Timeline'!CI43=0,"–",INDEX('20_Timeline'!$E$12:$R$12,'20_Timeline'!CI43))</f>
        <v>O5</v>
      </c>
      <c r="CJ8" s="165" t="str">
        <f>IF('20_Timeline'!CJ43=0,"–",INDEX('20_Timeline'!$E$12:$R$12,'20_Timeline'!CJ43))</f>
        <v>O5</v>
      </c>
      <c r="CK8" s="165" t="str">
        <f>IF('20_Timeline'!CK43=0,"–",INDEX('20_Timeline'!$E$12:$R$12,'20_Timeline'!CK43))</f>
        <v>O5</v>
      </c>
      <c r="CL8" s="165" t="str">
        <f>IF('20_Timeline'!CL43=0,"–",INDEX('20_Timeline'!$E$12:$R$12,'20_Timeline'!CL43))</f>
        <v>O5</v>
      </c>
      <c r="CM8" s="165" t="str">
        <f>IF('20_Timeline'!CM43=0,"–",INDEX('20_Timeline'!$E$12:$R$12,'20_Timeline'!CM43))</f>
        <v>O5</v>
      </c>
      <c r="CN8" s="165" t="str">
        <f>IF('20_Timeline'!CN43=0,"–",INDEX('20_Timeline'!$E$12:$R$12,'20_Timeline'!CN43))</f>
        <v>O5</v>
      </c>
      <c r="CO8" s="165" t="str">
        <f>IF('20_Timeline'!CO43=0,"–",INDEX('20_Timeline'!$E$12:$R$12,'20_Timeline'!CO43))</f>
        <v>O5</v>
      </c>
      <c r="CP8" s="165" t="str">
        <f>IF('20_Timeline'!CP43=0,"–",INDEX('20_Timeline'!$E$12:$R$12,'20_Timeline'!CP43))</f>
        <v>O5</v>
      </c>
      <c r="CQ8" s="165" t="str">
        <f>IF('20_Timeline'!CQ43=0,"–",INDEX('20_Timeline'!$E$12:$R$12,'20_Timeline'!CQ43))</f>
        <v>O6</v>
      </c>
      <c r="CR8" s="165" t="str">
        <f>IF('20_Timeline'!CR43=0,"–",INDEX('20_Timeline'!$E$12:$R$12,'20_Timeline'!CR43))</f>
        <v>O6</v>
      </c>
      <c r="CS8" s="165" t="str">
        <f>IF('20_Timeline'!CS43=0,"–",INDEX('20_Timeline'!$E$12:$R$12,'20_Timeline'!CS43))</f>
        <v>O6</v>
      </c>
      <c r="CT8" s="165" t="str">
        <f>IF('20_Timeline'!CT43=0,"–",INDEX('20_Timeline'!$E$12:$R$12,'20_Timeline'!CT43))</f>
        <v>O6</v>
      </c>
      <c r="CU8" s="165" t="str">
        <f>IF('20_Timeline'!CU43=0,"–",INDEX('20_Timeline'!$E$12:$R$12,'20_Timeline'!CU43))</f>
        <v>O6</v>
      </c>
      <c r="CV8" s="165" t="str">
        <f>IF('20_Timeline'!CV43=0,"–",INDEX('20_Timeline'!$E$12:$R$12,'20_Timeline'!CV43))</f>
        <v>O6</v>
      </c>
      <c r="CW8" s="165" t="str">
        <f>IF('20_Timeline'!CW43=0,"–",INDEX('20_Timeline'!$E$12:$R$12,'20_Timeline'!CW43))</f>
        <v>O6</v>
      </c>
      <c r="CX8" s="165" t="str">
        <f>IF('20_Timeline'!CX43=0,"–",INDEX('20_Timeline'!$E$12:$R$12,'20_Timeline'!CX43))</f>
        <v>O6</v>
      </c>
      <c r="CY8" s="165" t="str">
        <f>IF('20_Timeline'!CY43=0,"–",INDEX('20_Timeline'!$E$12:$R$12,'20_Timeline'!CY43))</f>
        <v>O6</v>
      </c>
      <c r="CZ8" s="165" t="str">
        <f>IF('20_Timeline'!CZ43=0,"–",INDEX('20_Timeline'!$E$12:$R$12,'20_Timeline'!CZ43))</f>
        <v>O6</v>
      </c>
      <c r="DA8" s="165" t="str">
        <f>IF('20_Timeline'!DA43=0,"–",INDEX('20_Timeline'!$E$12:$R$12,'20_Timeline'!DA43))</f>
        <v>O6</v>
      </c>
      <c r="DB8" s="165" t="str">
        <f>IF('20_Timeline'!DB43=0,"–",INDEX('20_Timeline'!$E$12:$R$12,'20_Timeline'!DB43))</f>
        <v>O6</v>
      </c>
      <c r="DC8" s="165" t="str">
        <f>IF('20_Timeline'!DC43=0,"–",INDEX('20_Timeline'!$E$12:$R$12,'20_Timeline'!DC43))</f>
        <v>O7</v>
      </c>
      <c r="DD8" s="165" t="str">
        <f>IF('20_Timeline'!DD43=0,"–",INDEX('20_Timeline'!$E$12:$R$12,'20_Timeline'!DD43))</f>
        <v>O7</v>
      </c>
      <c r="DE8" s="165" t="str">
        <f>IF('20_Timeline'!DE43=0,"–",INDEX('20_Timeline'!$E$12:$R$12,'20_Timeline'!DE43))</f>
        <v>O7</v>
      </c>
      <c r="DF8" s="165" t="str">
        <f>IF('20_Timeline'!DF43=0,"–",INDEX('20_Timeline'!$E$12:$R$12,'20_Timeline'!DF43))</f>
        <v>O7</v>
      </c>
      <c r="DG8" s="165" t="str">
        <f>IF('20_Timeline'!DG43=0,"–",INDEX('20_Timeline'!$E$12:$R$12,'20_Timeline'!DG43))</f>
        <v>O7</v>
      </c>
      <c r="DH8" s="165" t="str">
        <f>IF('20_Timeline'!DH43=0,"–",INDEX('20_Timeline'!$E$12:$R$12,'20_Timeline'!DH43))</f>
        <v>O7</v>
      </c>
      <c r="DI8" s="165" t="str">
        <f>IF('20_Timeline'!DI43=0,"–",INDEX('20_Timeline'!$E$12:$R$12,'20_Timeline'!DI43))</f>
        <v>O7</v>
      </c>
      <c r="DJ8" s="165" t="str">
        <f>IF('20_Timeline'!DJ43=0,"–",INDEX('20_Timeline'!$E$12:$R$12,'20_Timeline'!DJ43))</f>
        <v>O7</v>
      </c>
      <c r="DK8" s="165" t="str">
        <f>IF('20_Timeline'!DK43=0,"–",INDEX('20_Timeline'!$E$12:$R$12,'20_Timeline'!DK43))</f>
        <v>O7</v>
      </c>
      <c r="DL8" s="165" t="str">
        <f>IF('20_Timeline'!DL43=0,"–",INDEX('20_Timeline'!$E$12:$R$12,'20_Timeline'!DL43))</f>
        <v>O7</v>
      </c>
      <c r="DM8" s="165" t="str">
        <f>IF('20_Timeline'!DM43=0,"–",INDEX('20_Timeline'!$E$12:$R$12,'20_Timeline'!DM43))</f>
        <v>O7</v>
      </c>
      <c r="DN8" s="165" t="str">
        <f>IF('20_Timeline'!DN43=0,"–",INDEX('20_Timeline'!$E$12:$R$12,'20_Timeline'!DN43))</f>
        <v>O7</v>
      </c>
      <c r="DO8" s="165" t="str">
        <f>IF('20_Timeline'!DO43=0,"–",INDEX('20_Timeline'!$E$12:$R$12,'20_Timeline'!DO43))</f>
        <v>O8</v>
      </c>
      <c r="DP8" s="165" t="str">
        <f>IF('20_Timeline'!DP43=0,"–",INDEX('20_Timeline'!$E$12:$R$12,'20_Timeline'!DP43))</f>
        <v>O8</v>
      </c>
      <c r="DQ8" s="165" t="str">
        <f>IF('20_Timeline'!DQ43=0,"–",INDEX('20_Timeline'!$E$12:$R$12,'20_Timeline'!DQ43))</f>
        <v>O8</v>
      </c>
      <c r="DR8" s="165" t="str">
        <f>IF('20_Timeline'!DR43=0,"–",INDEX('20_Timeline'!$E$12:$R$12,'20_Timeline'!DR43))</f>
        <v>O8</v>
      </c>
      <c r="DS8" s="165" t="str">
        <f>IF('20_Timeline'!DS43=0,"–",INDEX('20_Timeline'!$E$12:$R$12,'20_Timeline'!DS43))</f>
        <v>O8</v>
      </c>
      <c r="DT8" s="165" t="str">
        <f>IF('20_Timeline'!DT43=0,"–",INDEX('20_Timeline'!$E$12:$R$12,'20_Timeline'!DT43))</f>
        <v>O8</v>
      </c>
      <c r="DU8" s="165" t="str">
        <f>IF('20_Timeline'!DU43=0,"–",INDEX('20_Timeline'!$E$12:$R$12,'20_Timeline'!DU43))</f>
        <v>O8</v>
      </c>
      <c r="DV8" s="165" t="str">
        <f>IF('20_Timeline'!DV43=0,"–",INDEX('20_Timeline'!$E$12:$R$12,'20_Timeline'!DV43))</f>
        <v>O8</v>
      </c>
      <c r="DW8" s="165" t="str">
        <f>IF('20_Timeline'!DW43=0,"–",INDEX('20_Timeline'!$E$12:$R$12,'20_Timeline'!DW43))</f>
        <v>O8</v>
      </c>
      <c r="DX8" s="165" t="str">
        <f>IF('20_Timeline'!DX43=0,"–",INDEX('20_Timeline'!$E$12:$R$12,'20_Timeline'!DX43))</f>
        <v>O8</v>
      </c>
      <c r="DY8" s="165" t="str">
        <f>IF('20_Timeline'!DY43=0,"–",INDEX('20_Timeline'!$E$12:$R$12,'20_Timeline'!DY43))</f>
        <v>O8</v>
      </c>
      <c r="DZ8" s="165" t="str">
        <f>IF('20_Timeline'!DZ43=0,"–",INDEX('20_Timeline'!$E$12:$R$12,'20_Timeline'!DZ43))</f>
        <v>O8</v>
      </c>
      <c r="EA8" s="165" t="str">
        <f>IF('20_Timeline'!EA43=0,"–",INDEX('20_Timeline'!$E$12:$R$12,'20_Timeline'!EA43))</f>
        <v>O9</v>
      </c>
      <c r="EB8" s="165" t="str">
        <f>IF('20_Timeline'!EB43=0,"–",INDEX('20_Timeline'!$E$12:$R$12,'20_Timeline'!EB43))</f>
        <v>O9</v>
      </c>
      <c r="EC8" s="165" t="str">
        <f>IF('20_Timeline'!EC43=0,"–",INDEX('20_Timeline'!$E$12:$R$12,'20_Timeline'!EC43))</f>
        <v>O9</v>
      </c>
      <c r="ED8" s="165" t="str">
        <f>IF('20_Timeline'!ED43=0,"–",INDEX('20_Timeline'!$E$12:$R$12,'20_Timeline'!ED43))</f>
        <v>O9</v>
      </c>
      <c r="EE8" s="165" t="str">
        <f>IF('20_Timeline'!EE43=0,"–",INDEX('20_Timeline'!$E$12:$R$12,'20_Timeline'!EE43))</f>
        <v>O9</v>
      </c>
      <c r="EF8" s="165" t="str">
        <f>IF('20_Timeline'!EF43=0,"–",INDEX('20_Timeline'!$E$12:$R$12,'20_Timeline'!EF43))</f>
        <v>O9</v>
      </c>
      <c r="EG8" s="165" t="str">
        <f>IF('20_Timeline'!EG43=0,"–",INDEX('20_Timeline'!$E$12:$R$12,'20_Timeline'!EG43))</f>
        <v>O9</v>
      </c>
      <c r="EH8" s="165" t="str">
        <f>IF('20_Timeline'!EH43=0,"–",INDEX('20_Timeline'!$E$12:$R$12,'20_Timeline'!EH43))</f>
        <v>O9</v>
      </c>
      <c r="EI8" s="165" t="str">
        <f>IF('20_Timeline'!EI43=0,"–",INDEX('20_Timeline'!$E$12:$R$12,'20_Timeline'!EI43))</f>
        <v>O9</v>
      </c>
      <c r="EJ8" s="165" t="str">
        <f>IF('20_Timeline'!EJ43=0,"–",INDEX('20_Timeline'!$E$12:$R$12,'20_Timeline'!EJ43))</f>
        <v>O9</v>
      </c>
      <c r="EK8" s="165" t="str">
        <f>IF('20_Timeline'!EK43=0,"–",INDEX('20_Timeline'!$E$12:$R$12,'20_Timeline'!EK43))</f>
        <v>O9</v>
      </c>
      <c r="EL8" s="165" t="str">
        <f>IF('20_Timeline'!EL43=0,"–",INDEX('20_Timeline'!$E$12:$R$12,'20_Timeline'!EL43))</f>
        <v>O9</v>
      </c>
      <c r="EM8" s="165" t="str">
        <f>IF('20_Timeline'!EM43=0,"–",INDEX('20_Timeline'!$E$12:$R$12,'20_Timeline'!EM43))</f>
        <v>O10</v>
      </c>
      <c r="EN8" s="165" t="str">
        <f>IF('20_Timeline'!EN43=0,"–",INDEX('20_Timeline'!$E$12:$R$12,'20_Timeline'!EN43))</f>
        <v>O10</v>
      </c>
      <c r="EO8" s="165" t="str">
        <f>IF('20_Timeline'!EO43=0,"–",INDEX('20_Timeline'!$E$12:$R$12,'20_Timeline'!EO43))</f>
        <v>O10</v>
      </c>
      <c r="EP8" s="165" t="str">
        <f>IF('20_Timeline'!EP43=0,"–",INDEX('20_Timeline'!$E$12:$R$12,'20_Timeline'!EP43))</f>
        <v>O10</v>
      </c>
      <c r="EQ8" s="165" t="str">
        <f>IF('20_Timeline'!EQ43=0,"–",INDEX('20_Timeline'!$E$12:$R$12,'20_Timeline'!EQ43))</f>
        <v>O10</v>
      </c>
      <c r="ER8" s="165" t="str">
        <f>IF('20_Timeline'!ER43=0,"–",INDEX('20_Timeline'!$E$12:$R$12,'20_Timeline'!ER43))</f>
        <v>O10</v>
      </c>
      <c r="ES8" s="165" t="str">
        <f>IF('20_Timeline'!ES43=0,"–",INDEX('20_Timeline'!$E$12:$R$12,'20_Timeline'!ES43))</f>
        <v>O10</v>
      </c>
      <c r="ET8" s="165" t="str">
        <f>IF('20_Timeline'!ET43=0,"–",INDEX('20_Timeline'!$E$12:$R$12,'20_Timeline'!ET43))</f>
        <v>O10</v>
      </c>
      <c r="EU8" s="165" t="str">
        <f>IF('20_Timeline'!EU43=0,"–",INDEX('20_Timeline'!$E$12:$R$12,'20_Timeline'!EU43))</f>
        <v>O10</v>
      </c>
      <c r="EV8" s="165" t="str">
        <f>IF('20_Timeline'!EV43=0,"–",INDEX('20_Timeline'!$E$12:$R$12,'20_Timeline'!EV43))</f>
        <v>O10</v>
      </c>
      <c r="EW8" s="165" t="str">
        <f>IF('20_Timeline'!EW43=0,"–",INDEX('20_Timeline'!$E$12:$R$12,'20_Timeline'!EW43))</f>
        <v>O10</v>
      </c>
      <c r="EX8" s="165" t="str">
        <f>IF('20_Timeline'!EX43=0,"–",INDEX('20_Timeline'!$E$12:$R$12,'20_Timeline'!EX43))</f>
        <v>O10</v>
      </c>
      <c r="EY8" s="165" t="str">
        <f>IF('20_Timeline'!EY43=0,"–",INDEX('20_Timeline'!$E$12:$R$12,'20_Timeline'!EY43))</f>
        <v>–</v>
      </c>
      <c r="EZ8" s="165" t="str">
        <f>IF('20_Timeline'!EZ43=0,"–",INDEX('20_Timeline'!$E$12:$R$12,'20_Timeline'!EZ43))</f>
        <v>–</v>
      </c>
      <c r="FA8" s="165" t="str">
        <f>IF('20_Timeline'!FA43=0,"–",INDEX('20_Timeline'!$E$12:$R$12,'20_Timeline'!FA43))</f>
        <v>–</v>
      </c>
      <c r="FB8" s="165" t="str">
        <f>IF('20_Timeline'!FB43=0,"–",INDEX('20_Timeline'!$E$12:$R$12,'20_Timeline'!FB43))</f>
        <v>–</v>
      </c>
      <c r="FC8" s="165" t="str">
        <f>IF('20_Timeline'!FC43=0,"–",INDEX('20_Timeline'!$E$12:$R$12,'20_Timeline'!FC43))</f>
        <v>–</v>
      </c>
      <c r="FD8" s="165" t="str">
        <f>IF('20_Timeline'!FD43=0,"–",INDEX('20_Timeline'!$E$12:$R$12,'20_Timeline'!FD43))</f>
        <v>–</v>
      </c>
      <c r="FE8" s="165" t="str">
        <f>IF('20_Timeline'!FE43=0,"–",INDEX('20_Timeline'!$E$12:$R$12,'20_Timeline'!FE43))</f>
        <v>–</v>
      </c>
      <c r="FF8" s="165" t="str">
        <f>IF('20_Timeline'!FF43=0,"–",INDEX('20_Timeline'!$E$12:$R$12,'20_Timeline'!FF43))</f>
        <v>–</v>
      </c>
      <c r="FG8" s="165" t="str">
        <f>IF('20_Timeline'!FG43=0,"–",INDEX('20_Timeline'!$E$12:$R$12,'20_Timeline'!FG43))</f>
        <v>–</v>
      </c>
      <c r="FH8" s="165" t="str">
        <f>IF('20_Timeline'!FH43=0,"–",INDEX('20_Timeline'!$E$12:$R$12,'20_Timeline'!FH43))</f>
        <v>–</v>
      </c>
      <c r="FI8" s="165" t="str">
        <f>IF('20_Timeline'!FI43=0,"–",INDEX('20_Timeline'!$E$12:$R$12,'20_Timeline'!FI43))</f>
        <v>–</v>
      </c>
      <c r="FJ8" s="165" t="str">
        <f>IF('20_Timeline'!FJ43=0,"–",INDEX('20_Timeline'!$E$12:$R$12,'20_Timeline'!FJ43))</f>
        <v>–</v>
      </c>
      <c r="FK8" s="165" t="str">
        <f>IF('20_Timeline'!FK43=0,"–",INDEX('20_Timeline'!$E$12:$R$12,'20_Timeline'!FK43))</f>
        <v>–</v>
      </c>
      <c r="FL8" s="165" t="str">
        <f>IF('20_Timeline'!FL43=0,"–",INDEX('20_Timeline'!$E$12:$R$12,'20_Timeline'!FL43))</f>
        <v>–</v>
      </c>
      <c r="FM8" s="165" t="str">
        <f>IF('20_Timeline'!FM43=0,"–",INDEX('20_Timeline'!$E$12:$R$12,'20_Timeline'!FM43))</f>
        <v>–</v>
      </c>
      <c r="FN8" s="165" t="str">
        <f>IF('20_Timeline'!FN43=0,"–",INDEX('20_Timeline'!$E$12:$R$12,'20_Timeline'!FN43))</f>
        <v>–</v>
      </c>
      <c r="FO8" s="165" t="str">
        <f>IF('20_Timeline'!FO43=0,"–",INDEX('20_Timeline'!$E$12:$R$12,'20_Timeline'!FO43))</f>
        <v>–</v>
      </c>
      <c r="FP8" s="165" t="str">
        <f>IF('20_Timeline'!FP43=0,"–",INDEX('20_Timeline'!$E$12:$R$12,'20_Timeline'!FP43))</f>
        <v>–</v>
      </c>
      <c r="FQ8" s="165" t="str">
        <f>IF('20_Timeline'!FQ43=0,"–",INDEX('20_Timeline'!$E$12:$R$12,'20_Timeline'!FQ43))</f>
        <v>–</v>
      </c>
      <c r="FR8" s="165" t="str">
        <f>IF('20_Timeline'!FR43=0,"–",INDEX('20_Timeline'!$E$12:$R$12,'20_Timeline'!FR43))</f>
        <v>–</v>
      </c>
      <c r="FS8" s="165" t="str">
        <f>IF('20_Timeline'!FS43=0,"–",INDEX('20_Timeline'!$E$12:$R$12,'20_Timeline'!FS43))</f>
        <v>–</v>
      </c>
      <c r="FT8" s="165" t="str">
        <f>IF('20_Timeline'!FT43=0,"–",INDEX('20_Timeline'!$E$12:$R$12,'20_Timeline'!FT43))</f>
        <v>–</v>
      </c>
      <c r="FU8" s="165" t="str">
        <f>IF('20_Timeline'!FU43=0,"–",INDEX('20_Timeline'!$E$12:$R$12,'20_Timeline'!FU43))</f>
        <v>–</v>
      </c>
      <c r="FV8" s="165" t="str">
        <f>IF('20_Timeline'!FV43=0,"–",INDEX('20_Timeline'!$E$12:$R$12,'20_Timeline'!FV43))</f>
        <v>–</v>
      </c>
      <c r="FW8" s="165" t="str">
        <f>IF('20_Timeline'!FW43=0,"–",INDEX('20_Timeline'!$E$12:$R$12,'20_Timeline'!FW43))</f>
        <v>–</v>
      </c>
      <c r="FX8" s="165" t="str">
        <f>IF('20_Timeline'!FX43=0,"–",INDEX('20_Timeline'!$E$12:$R$12,'20_Timeline'!FX43))</f>
        <v>–</v>
      </c>
      <c r="FY8" s="165" t="str">
        <f>IF('20_Timeline'!FY43=0,"–",INDEX('20_Timeline'!$E$12:$R$12,'20_Timeline'!FY43))</f>
        <v>–</v>
      </c>
      <c r="FZ8" s="165" t="str">
        <f>IF('20_Timeline'!FZ43=0,"–",INDEX('20_Timeline'!$E$12:$R$12,'20_Timeline'!FZ43))</f>
        <v>–</v>
      </c>
      <c r="GA8" s="165" t="str">
        <f>IF('20_Timeline'!GA43=0,"–",INDEX('20_Timeline'!$E$12:$R$12,'20_Timeline'!GA43))</f>
        <v>–</v>
      </c>
      <c r="GB8" s="165" t="str">
        <f>IF('20_Timeline'!GB43=0,"–",INDEX('20_Timeline'!$E$12:$R$12,'20_Timeline'!GB43))</f>
        <v>–</v>
      </c>
      <c r="GC8" s="165" t="str">
        <f>IF('20_Timeline'!GC43=0,"–",INDEX('20_Timeline'!$E$12:$R$12,'20_Timeline'!GC43))</f>
        <v>–</v>
      </c>
      <c r="GD8" s="165" t="str">
        <f>IF('20_Timeline'!GD43=0,"–",INDEX('20_Timeline'!$E$12:$R$12,'20_Timeline'!GD43))</f>
        <v>–</v>
      </c>
      <c r="GE8" s="165" t="str">
        <f>IF('20_Timeline'!GE43=0,"–",INDEX('20_Timeline'!$E$12:$R$12,'20_Timeline'!GE43))</f>
        <v>–</v>
      </c>
      <c r="GF8" s="165" t="str">
        <f>IF('20_Timeline'!GF43=0,"–",INDEX('20_Timeline'!$E$12:$R$12,'20_Timeline'!GF43))</f>
        <v>–</v>
      </c>
      <c r="GG8" s="165" t="str">
        <f>IF('20_Timeline'!GG43=0,"–",INDEX('20_Timeline'!$E$12:$R$12,'20_Timeline'!GG43))</f>
        <v>–</v>
      </c>
      <c r="GH8" s="165" t="str">
        <f>IF('20_Timeline'!GH43=0,"–",INDEX('20_Timeline'!$E$12:$R$12,'20_Timeline'!GH43))</f>
        <v>–</v>
      </c>
      <c r="GI8" s="165" t="str">
        <f>IF('20_Timeline'!GI43=0,"–",INDEX('20_Timeline'!$E$12:$R$12,'20_Timeline'!GI43))</f>
        <v>–</v>
      </c>
      <c r="GJ8" s="165" t="str">
        <f>IF('20_Timeline'!GJ43=0,"–",INDEX('20_Timeline'!$E$12:$R$12,'20_Timeline'!GJ43))</f>
        <v>–</v>
      </c>
      <c r="GK8" s="165" t="str">
        <f>IF('20_Timeline'!GK43=0,"–",INDEX('20_Timeline'!$E$12:$R$12,'20_Timeline'!GK43))</f>
        <v>–</v>
      </c>
      <c r="GL8" s="165" t="str">
        <f>IF('20_Timeline'!GL43=0,"–",INDEX('20_Timeline'!$E$12:$R$12,'20_Timeline'!GL43))</f>
        <v>–</v>
      </c>
      <c r="GM8" s="165" t="str">
        <f>IF('20_Timeline'!GM43=0,"–",INDEX('20_Timeline'!$E$12:$R$12,'20_Timeline'!GM43))</f>
        <v>–</v>
      </c>
      <c r="GN8" s="165" t="str">
        <f>IF('20_Timeline'!GN43=0,"–",INDEX('20_Timeline'!$E$12:$R$12,'20_Timeline'!GN43))</f>
        <v>–</v>
      </c>
      <c r="GO8" s="165" t="str">
        <f>IF('20_Timeline'!GO43=0,"–",INDEX('20_Timeline'!$E$12:$R$12,'20_Timeline'!GO43))</f>
        <v>–</v>
      </c>
      <c r="GP8" s="165" t="str">
        <f>IF('20_Timeline'!GP43=0,"–",INDEX('20_Timeline'!$E$12:$R$12,'20_Timeline'!GP43))</f>
        <v>–</v>
      </c>
      <c r="GQ8" s="165" t="str">
        <f>IF('20_Timeline'!GQ43=0,"–",INDEX('20_Timeline'!$E$12:$R$12,'20_Timeline'!GQ43))</f>
        <v>–</v>
      </c>
      <c r="GR8" s="165" t="str">
        <f>IF('20_Timeline'!GR43=0,"–",INDEX('20_Timeline'!$E$12:$R$12,'20_Timeline'!GR43))</f>
        <v>–</v>
      </c>
      <c r="GS8" s="165" t="str">
        <f>IF('20_Timeline'!GS43=0,"–",INDEX('20_Timeline'!$E$12:$R$12,'20_Timeline'!GS43))</f>
        <v>–</v>
      </c>
      <c r="GT8" s="165" t="str">
        <f>IF('20_Timeline'!GT43=0,"–",INDEX('20_Timeline'!$E$12:$R$12,'20_Timeline'!GT43))</f>
        <v>–</v>
      </c>
      <c r="GU8" s="165" t="str">
        <f>IF('20_Timeline'!GU43=0,"–",INDEX('20_Timeline'!$E$12:$R$12,'20_Timeline'!GU43))</f>
        <v>–</v>
      </c>
      <c r="GV8" s="165" t="str">
        <f>IF('20_Timeline'!GV43=0,"–",INDEX('20_Timeline'!$E$12:$R$12,'20_Timeline'!GV43))</f>
        <v>–</v>
      </c>
      <c r="GW8" s="165" t="str">
        <f>IF('20_Timeline'!GW43=0,"–",INDEX('20_Timeline'!$E$12:$R$12,'20_Timeline'!GW43))</f>
        <v>–</v>
      </c>
      <c r="GX8" s="165" t="str">
        <f>IF('20_Timeline'!GX43=0,"–",INDEX('20_Timeline'!$E$12:$R$12,'20_Timeline'!GX43))</f>
        <v>–</v>
      </c>
      <c r="GY8" s="165" t="str">
        <f>IF('20_Timeline'!GY43=0,"–",INDEX('20_Timeline'!$E$12:$R$12,'20_Timeline'!GY43))</f>
        <v>–</v>
      </c>
      <c r="GZ8" s="165" t="str">
        <f>IF('20_Timeline'!GZ43=0,"–",INDEX('20_Timeline'!$E$12:$R$12,'20_Timeline'!GZ43))</f>
        <v>–</v>
      </c>
      <c r="HA8" s="165" t="str">
        <f>IF('20_Timeline'!HA43=0,"–",INDEX('20_Timeline'!$E$12:$R$12,'20_Timeline'!HA43))</f>
        <v>–</v>
      </c>
      <c r="HB8" s="165" t="str">
        <f>IF('20_Timeline'!HB43=0,"–",INDEX('20_Timeline'!$E$12:$R$12,'20_Timeline'!HB43))</f>
        <v>–</v>
      </c>
      <c r="HC8" s="165" t="str">
        <f>IF('20_Timeline'!HC43=0,"–",INDEX('20_Timeline'!$E$12:$R$12,'20_Timeline'!HC43))</f>
        <v>–</v>
      </c>
      <c r="HD8" s="165" t="str">
        <f>IF('20_Timeline'!HD43=0,"–",INDEX('20_Timeline'!$E$12:$R$12,'20_Timeline'!HD43))</f>
        <v>–</v>
      </c>
      <c r="HE8" s="165" t="str">
        <f>IF('20_Timeline'!HE43=0,"–",INDEX('20_Timeline'!$E$12:$R$12,'20_Timeline'!HE43))</f>
        <v>–</v>
      </c>
      <c r="HF8" s="165" t="str">
        <f>IF('20_Timeline'!HF43=0,"–",INDEX('20_Timeline'!$E$12:$R$12,'20_Timeline'!HF43))</f>
        <v>–</v>
      </c>
      <c r="HG8" s="165" t="str">
        <f>IF('20_Timeline'!HG43=0,"–",INDEX('20_Timeline'!$E$12:$R$12,'20_Timeline'!HG43))</f>
        <v>–</v>
      </c>
      <c r="HH8" s="165" t="str">
        <f>IF('20_Timeline'!HH43=0,"–",INDEX('20_Timeline'!$E$12:$R$12,'20_Timeline'!HH43))</f>
        <v>–</v>
      </c>
      <c r="HI8" s="165" t="str">
        <f>IF('20_Timeline'!HI43=0,"–",INDEX('20_Timeline'!$E$12:$R$12,'20_Timeline'!HI43))</f>
        <v>–</v>
      </c>
      <c r="HJ8" s="165" t="str">
        <f>IF('20_Timeline'!HJ43=0,"–",INDEX('20_Timeline'!$E$12:$R$12,'20_Timeline'!HJ43))</f>
        <v>–</v>
      </c>
      <c r="HK8" s="165" t="str">
        <f>IF('20_Timeline'!HK43=0,"–",INDEX('20_Timeline'!$E$12:$R$12,'20_Timeline'!HK43))</f>
        <v>–</v>
      </c>
      <c r="HL8" s="165" t="str">
        <f>IF('20_Timeline'!HL43=0,"–",INDEX('20_Timeline'!$E$12:$R$12,'20_Timeline'!HL43))</f>
        <v>–</v>
      </c>
      <c r="HM8" s="165" t="str">
        <f>IF('20_Timeline'!HM43=0,"–",INDEX('20_Timeline'!$E$12:$R$12,'20_Timeline'!HM43))</f>
        <v>–</v>
      </c>
      <c r="HN8" s="165" t="str">
        <f>IF('20_Timeline'!HN43=0,"–",INDEX('20_Timeline'!$E$12:$R$12,'20_Timeline'!HN43))</f>
        <v>–</v>
      </c>
      <c r="HO8" s="165" t="str">
        <f>IF('20_Timeline'!HO43=0,"–",INDEX('20_Timeline'!$E$12:$R$12,'20_Timeline'!HO43))</f>
        <v>–</v>
      </c>
      <c r="HP8" s="165" t="str">
        <f>IF('20_Timeline'!HP43=0,"–",INDEX('20_Timeline'!$E$12:$R$12,'20_Timeline'!HP43))</f>
        <v>–</v>
      </c>
      <c r="HQ8" s="165" t="str">
        <f>IF('20_Timeline'!HQ43=0,"–",INDEX('20_Timeline'!$E$12:$R$12,'20_Timeline'!HQ43))</f>
        <v>–</v>
      </c>
      <c r="HR8" s="165" t="str">
        <f>IF('20_Timeline'!HR43=0,"–",INDEX('20_Timeline'!$E$12:$R$12,'20_Timeline'!HR43))</f>
        <v>–</v>
      </c>
      <c r="HS8" s="165" t="str">
        <f>IF('20_Timeline'!HS43=0,"–",INDEX('20_Timeline'!$E$12:$R$12,'20_Timeline'!HS43))</f>
        <v>–</v>
      </c>
      <c r="HT8" s="165" t="str">
        <f>IF('20_Timeline'!HT43=0,"–",INDEX('20_Timeline'!$E$12:$R$12,'20_Timeline'!HT43))</f>
        <v>–</v>
      </c>
      <c r="HU8" s="165" t="str">
        <f>IF('20_Timeline'!HU43=0,"–",INDEX('20_Timeline'!$E$12:$R$12,'20_Timeline'!HU43))</f>
        <v>–</v>
      </c>
      <c r="HV8" s="165" t="str">
        <f>IF('20_Timeline'!HV43=0,"–",INDEX('20_Timeline'!$E$12:$R$12,'20_Timeline'!HV43))</f>
        <v>–</v>
      </c>
      <c r="HW8" s="165" t="str">
        <f>IF('20_Timeline'!HW43=0,"–",INDEX('20_Timeline'!$E$12:$R$12,'20_Timeline'!HW43))</f>
        <v>–</v>
      </c>
      <c r="HX8" s="165" t="str">
        <f>IF('20_Timeline'!HX43=0,"–",INDEX('20_Timeline'!$E$12:$R$12,'20_Timeline'!HX43))</f>
        <v>–</v>
      </c>
      <c r="HY8" s="165" t="str">
        <f>IF('20_Timeline'!HY43=0,"–",INDEX('20_Timeline'!$E$12:$R$12,'20_Timeline'!HY43))</f>
        <v>–</v>
      </c>
      <c r="HZ8" s="165" t="str">
        <f>IF('20_Timeline'!HZ43=0,"–",INDEX('20_Timeline'!$E$12:$R$12,'20_Timeline'!HZ43))</f>
        <v>–</v>
      </c>
      <c r="IA8" s="165" t="str">
        <f>IF('20_Timeline'!IA43=0,"–",INDEX('20_Timeline'!$E$12:$R$12,'20_Timeline'!IA43))</f>
        <v>–</v>
      </c>
      <c r="IB8" s="165" t="str">
        <f>IF('20_Timeline'!IB43=0,"–",INDEX('20_Timeline'!$E$12:$R$12,'20_Timeline'!IB43))</f>
        <v>–</v>
      </c>
      <c r="IC8" s="165" t="str">
        <f>IF('20_Timeline'!IC43=0,"–",INDEX('20_Timeline'!$E$12:$R$12,'20_Timeline'!IC43))</f>
        <v>–</v>
      </c>
      <c r="ID8" s="165" t="str">
        <f>IF('20_Timeline'!ID43=0,"–",INDEX('20_Timeline'!$E$12:$R$12,'20_Timeline'!ID43))</f>
        <v>–</v>
      </c>
      <c r="IE8" s="165" t="str">
        <f>IF('20_Timeline'!IE43=0,"–",INDEX('20_Timeline'!$E$12:$R$12,'20_Timeline'!IE43))</f>
        <v>–</v>
      </c>
      <c r="IF8" s="165" t="str">
        <f>IF('20_Timeline'!IF43=0,"–",INDEX('20_Timeline'!$E$12:$R$12,'20_Timeline'!IF43))</f>
        <v>–</v>
      </c>
      <c r="IG8" s="165" t="str">
        <f>IF('20_Timeline'!IG43=0,"–",INDEX('20_Timeline'!$E$12:$R$12,'20_Timeline'!IG43))</f>
        <v>–</v>
      </c>
      <c r="IH8" s="165" t="str">
        <f>IF('20_Timeline'!IH43=0,"–",INDEX('20_Timeline'!$E$12:$R$12,'20_Timeline'!IH43))</f>
        <v>–</v>
      </c>
      <c r="II8" s="165" t="str">
        <f>IF('20_Timeline'!II43=0,"–",INDEX('20_Timeline'!$E$12:$R$12,'20_Timeline'!II43))</f>
        <v>–</v>
      </c>
      <c r="IJ8" s="165" t="str">
        <f>IF('20_Timeline'!IJ43=0,"–",INDEX('20_Timeline'!$E$12:$R$12,'20_Timeline'!IJ43))</f>
        <v>–</v>
      </c>
      <c r="IK8" s="165" t="str">
        <f>IF('20_Timeline'!IK43=0,"–",INDEX('20_Timeline'!$E$12:$R$12,'20_Timeline'!IK43))</f>
        <v>–</v>
      </c>
      <c r="IL8" s="165" t="str">
        <f>IF('20_Timeline'!IL43=0,"–",INDEX('20_Timeline'!$E$12:$R$12,'20_Timeline'!IL43))</f>
        <v>–</v>
      </c>
      <c r="IM8" s="165" t="str">
        <f>IF('20_Timeline'!IM43=0,"–",INDEX('20_Timeline'!$E$12:$R$12,'20_Timeline'!IM43))</f>
        <v>–</v>
      </c>
      <c r="IN8" s="165" t="str">
        <f>IF('20_Timeline'!IN43=0,"–",INDEX('20_Timeline'!$E$12:$R$12,'20_Timeline'!IN43))</f>
        <v>–</v>
      </c>
      <c r="IO8" s="165" t="str">
        <f>IF('20_Timeline'!IO43=0,"–",INDEX('20_Timeline'!$E$12:$R$12,'20_Timeline'!IO43))</f>
        <v>–</v>
      </c>
      <c r="IP8" s="165" t="str">
        <f>IF('20_Timeline'!IP43=0,"–",INDEX('20_Timeline'!$E$12:$R$12,'20_Timeline'!IP43))</f>
        <v>–</v>
      </c>
      <c r="IQ8" s="165" t="str">
        <f>IF('20_Timeline'!IQ43=0,"–",INDEX('20_Timeline'!$E$12:$R$12,'20_Timeline'!IQ43))</f>
        <v>–</v>
      </c>
      <c r="IR8" s="165" t="str">
        <f>IF('20_Timeline'!IR43=0,"–",INDEX('20_Timeline'!$E$12:$R$12,'20_Timeline'!IR43))</f>
        <v>–</v>
      </c>
      <c r="IS8" s="165" t="str">
        <f>IF('20_Timeline'!IS43=0,"–",INDEX('20_Timeline'!$E$12:$R$12,'20_Timeline'!IS43))</f>
        <v>–</v>
      </c>
      <c r="IT8" s="165" t="str">
        <f>IF('20_Timeline'!IT43=0,"–",INDEX('20_Timeline'!$E$12:$R$12,'20_Timeline'!IT43))</f>
        <v>–</v>
      </c>
      <c r="IU8" s="165" t="str">
        <f>IF('20_Timeline'!IU43=0,"–",INDEX('20_Timeline'!$E$12:$R$12,'20_Timeline'!IU43))</f>
        <v>–</v>
      </c>
      <c r="IV8" s="165" t="str">
        <f>IF('20_Timeline'!IV43=0,"–",INDEX('20_Timeline'!$E$12:$R$12,'20_Timeline'!IV43))</f>
        <v>–</v>
      </c>
      <c r="IW8" s="165" t="str">
        <f>IF('20_Timeline'!IW43=0,"–",INDEX('20_Timeline'!$E$12:$R$12,'20_Timeline'!IW43))</f>
        <v>–</v>
      </c>
      <c r="IX8" s="165" t="str">
        <f>IF('20_Timeline'!IX43=0,"–",INDEX('20_Timeline'!$E$12:$R$12,'20_Timeline'!IX43))</f>
        <v>–</v>
      </c>
      <c r="IY8" s="165" t="str">
        <f>IF('20_Timeline'!IY43=0,"–",INDEX('20_Timeline'!$E$12:$R$12,'20_Timeline'!IY43))</f>
        <v>–</v>
      </c>
      <c r="IZ8" s="165" t="str">
        <f>IF('20_Timeline'!IZ43=0,"–",INDEX('20_Timeline'!$E$12:$R$12,'20_Timeline'!IZ43))</f>
        <v>–</v>
      </c>
      <c r="JA8" s="165" t="str">
        <f>IF('20_Timeline'!JA43=0,"–",INDEX('20_Timeline'!$E$12:$R$12,'20_Timeline'!JA43))</f>
        <v>–</v>
      </c>
      <c r="JB8" s="165" t="str">
        <f>IF('20_Timeline'!JB43=0,"–",INDEX('20_Timeline'!$E$12:$R$12,'20_Timeline'!JB43))</f>
        <v>–</v>
      </c>
      <c r="JC8" s="165" t="str">
        <f>IF('20_Timeline'!JC43=0,"–",INDEX('20_Timeline'!$E$12:$R$12,'20_Timeline'!JC43))</f>
        <v>–</v>
      </c>
      <c r="JD8" s="165" t="str">
        <f>IF('20_Timeline'!JD43=0,"–",INDEX('20_Timeline'!$E$12:$R$12,'20_Timeline'!JD43))</f>
        <v>–</v>
      </c>
      <c r="JE8" s="165" t="str">
        <f>IF('20_Timeline'!JE43=0,"–",INDEX('20_Timeline'!$E$12:$R$12,'20_Timeline'!JE43))</f>
        <v>–</v>
      </c>
      <c r="JF8" s="165" t="str">
        <f>IF('20_Timeline'!JF43=0,"–",INDEX('20_Timeline'!$E$12:$R$12,'20_Timeline'!JF43))</f>
        <v>–</v>
      </c>
      <c r="JG8" s="165" t="str">
        <f>IF('20_Timeline'!JG43=0,"–",INDEX('20_Timeline'!$E$12:$R$12,'20_Timeline'!JG43))</f>
        <v>–</v>
      </c>
      <c r="JH8" s="165" t="str">
        <f>IF('20_Timeline'!JH43=0,"–",INDEX('20_Timeline'!$E$12:$R$12,'20_Timeline'!JH43))</f>
        <v>–</v>
      </c>
      <c r="JI8" s="165" t="str">
        <f>IF('20_Timeline'!JI43=0,"–",INDEX('20_Timeline'!$E$12:$R$12,'20_Timeline'!JI43))</f>
        <v>–</v>
      </c>
      <c r="JJ8" s="165" t="str">
        <f>IF('20_Timeline'!JJ43=0,"–",INDEX('20_Timeline'!$E$12:$R$12,'20_Timeline'!JJ43))</f>
        <v>–</v>
      </c>
      <c r="JK8" s="165" t="str">
        <f>IF('20_Timeline'!JK43=0,"–",INDEX('20_Timeline'!$E$12:$R$12,'20_Timeline'!JK43))</f>
        <v>–</v>
      </c>
      <c r="JL8" s="165" t="str">
        <f>IF('20_Timeline'!JL43=0,"–",INDEX('20_Timeline'!$E$12:$R$12,'20_Timeline'!JL43))</f>
        <v>–</v>
      </c>
      <c r="JM8" s="165" t="str">
        <f>IF('20_Timeline'!JM43=0,"–",INDEX('20_Timeline'!$E$12:$R$12,'20_Timeline'!JM43))</f>
        <v>–</v>
      </c>
      <c r="JN8" s="165" t="str">
        <f>IF('20_Timeline'!JN43=0,"–",INDEX('20_Timeline'!$E$12:$R$12,'20_Timeline'!JN43))</f>
        <v>–</v>
      </c>
      <c r="JO8" s="165" t="str">
        <f>IF('20_Timeline'!JO43=0,"–",INDEX('20_Timeline'!$E$12:$R$12,'20_Timeline'!JO43))</f>
        <v>–</v>
      </c>
      <c r="JP8" s="165" t="str">
        <f>IF('20_Timeline'!JP43=0,"–",INDEX('20_Timeline'!$E$12:$R$12,'20_Timeline'!JP43))</f>
        <v>–</v>
      </c>
      <c r="JQ8" s="165" t="str">
        <f>IF('20_Timeline'!JQ43=0,"–",INDEX('20_Timeline'!$E$12:$R$12,'20_Timeline'!JQ43))</f>
        <v>–</v>
      </c>
      <c r="JR8" s="165" t="str">
        <f>IF('20_Timeline'!JR43=0,"–",INDEX('20_Timeline'!$E$12:$R$12,'20_Timeline'!JR43))</f>
        <v>–</v>
      </c>
      <c r="JS8" s="165" t="str">
        <f>IF('20_Timeline'!JS43=0,"–",INDEX('20_Timeline'!$E$12:$R$12,'20_Timeline'!JS43))</f>
        <v>–</v>
      </c>
      <c r="JT8" s="165" t="str">
        <f>IF('20_Timeline'!JT43=0,"–",INDEX('20_Timeline'!$E$12:$R$12,'20_Timeline'!JT43))</f>
        <v>–</v>
      </c>
      <c r="JU8" s="165" t="str">
        <f>IF('20_Timeline'!JU43=0,"–",INDEX('20_Timeline'!$E$12:$R$12,'20_Timeline'!JU43))</f>
        <v>–</v>
      </c>
      <c r="JV8" s="165" t="str">
        <f>IF('20_Timeline'!JV43=0,"–",INDEX('20_Timeline'!$E$12:$R$12,'20_Timeline'!JV43))</f>
        <v>–</v>
      </c>
      <c r="JW8" s="165" t="str">
        <f>IF('20_Timeline'!JW43=0,"–",INDEX('20_Timeline'!$E$12:$R$12,'20_Timeline'!JW43))</f>
        <v>–</v>
      </c>
      <c r="JX8" s="165" t="str">
        <f>IF('20_Timeline'!JX43=0,"–",INDEX('20_Timeline'!$E$12:$R$12,'20_Timeline'!JX43))</f>
        <v>–</v>
      </c>
      <c r="JY8" s="165" t="str">
        <f>IF('20_Timeline'!JY43=0,"–",INDEX('20_Timeline'!$E$12:$R$12,'20_Timeline'!JY43))</f>
        <v>–</v>
      </c>
      <c r="JZ8" s="165" t="str">
        <f>IF('20_Timeline'!JZ43=0,"–",INDEX('20_Timeline'!$E$12:$R$12,'20_Timeline'!JZ43))</f>
        <v>–</v>
      </c>
      <c r="KA8" s="165" t="str">
        <f>IF('20_Timeline'!KA43=0,"–",INDEX('20_Timeline'!$E$12:$R$12,'20_Timeline'!KA43))</f>
        <v>–</v>
      </c>
      <c r="KB8" s="165" t="str">
        <f>IF('20_Timeline'!KB43=0,"–",INDEX('20_Timeline'!$E$12:$R$12,'20_Timeline'!KB43))</f>
        <v>–</v>
      </c>
      <c r="KC8" s="165" t="str">
        <f>IF('20_Timeline'!KC43=0,"–",INDEX('20_Timeline'!$E$12:$R$12,'20_Timeline'!KC43))</f>
        <v>–</v>
      </c>
      <c r="KD8" s="165" t="str">
        <f>IF('20_Timeline'!KD43=0,"–",INDEX('20_Timeline'!$E$12:$R$12,'20_Timeline'!KD43))</f>
        <v>–</v>
      </c>
      <c r="KE8" s="165" t="str">
        <f>IF('20_Timeline'!KE43=0,"–",INDEX('20_Timeline'!$E$12:$R$12,'20_Timeline'!KE43))</f>
        <v>–</v>
      </c>
      <c r="KF8" s="165" t="str">
        <f>IF('20_Timeline'!KF43=0,"–",INDEX('20_Timeline'!$E$12:$R$12,'20_Timeline'!KF43))</f>
        <v>–</v>
      </c>
    </row>
    <row r="10" ht="20" customHeight="1">
      <c r="B10" s="113" t="inlineStr">
        <is>
          <t>Annual roll-up (C1–C4, O1–O10)</t>
        </is>
      </c>
      <c r="C10" s="37" t="inlineStr">
        <is>
          <t>ዓመታዊ ማጠቃለያ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Period</t>
        </is>
      </c>
      <c r="C11" s="117" t="inlineStr"/>
      <c r="E11" s="108" t="inlineStr">
        <is>
          <t>C1</t>
        </is>
      </c>
      <c r="F11" s="108" t="inlineStr">
        <is>
          <t>C2</t>
        </is>
      </c>
      <c r="G11" s="108" t="inlineStr">
        <is>
          <t>C3</t>
        </is>
      </c>
      <c r="H11" s="108" t="inlineStr">
        <is>
          <t>C4</t>
        </is>
      </c>
      <c r="I11" s="108" t="inlineStr">
        <is>
          <t>O1</t>
        </is>
      </c>
      <c r="J11" s="108" t="inlineStr">
        <is>
          <t>O2</t>
        </is>
      </c>
      <c r="K11" s="108" t="inlineStr">
        <is>
          <t>O3</t>
        </is>
      </c>
      <c r="L11" s="108" t="inlineStr">
        <is>
          <t>O4</t>
        </is>
      </c>
      <c r="M11" s="108" t="inlineStr">
        <is>
          <t>O5</t>
        </is>
      </c>
      <c r="N11" s="108" t="inlineStr">
        <is>
          <t>O6</t>
        </is>
      </c>
      <c r="O11" s="108" t="inlineStr">
        <is>
          <t>O7</t>
        </is>
      </c>
      <c r="P11" s="108" t="inlineStr">
        <is>
          <t>O8</t>
        </is>
      </c>
      <c r="Q11" s="108" t="inlineStr">
        <is>
          <t>O9</t>
        </is>
      </c>
      <c r="R11" s="108" t="inlineStr">
        <is>
          <t>O10</t>
        </is>
      </c>
    </row>
    <row r="12">
      <c r="B12" s="36" t="inlineStr">
        <is>
          <t>Drawdowns</t>
        </is>
      </c>
      <c r="C12" s="117" t="inlineStr">
        <is>
          <t>ETB</t>
        </is>
      </c>
      <c r="D12" s="169">
        <f>SUM(E12:R12)</f>
        <v>115614212.233574</v>
      </c>
      <c r="E12" s="173">
        <f>SUMIFS($E$64:$KF$64,$E$57:$KF$57,'20_Timeline'!E11)</f>
        <v>0</v>
      </c>
      <c r="F12" s="173">
        <f>SUMIFS($E$64:$KF$64,$E$57:$KF$57,'20_Timeline'!F11)</f>
        <v>103798674.069717</v>
      </c>
      <c r="G12" s="173">
        <f>SUMIFS($E$64:$KF$64,$E$57:$KF$57,'20_Timeline'!G11)</f>
        <v>11815538.1638576</v>
      </c>
      <c r="H12" s="173">
        <f>SUMIFS($E$64:$KF$64,$E$57:$KF$57,'20_Timeline'!H11)</f>
        <v>0</v>
      </c>
      <c r="I12" s="173">
        <f>SUMIFS($E$64:$KF$64,$E$57:$KF$57,'20_Timeline'!I11)</f>
        <v>0</v>
      </c>
      <c r="J12" s="173">
        <f>SUMIFS($E$64:$KF$64,$E$57:$KF$57,'20_Timeline'!J11)</f>
        <v>0</v>
      </c>
      <c r="K12" s="173">
        <f>SUMIFS($E$64:$KF$64,$E$57:$KF$57,'20_Timeline'!K11)</f>
        <v>0</v>
      </c>
      <c r="L12" s="173">
        <f>SUMIFS($E$64:$KF$64,$E$57:$KF$57,'20_Timeline'!L11)</f>
        <v>0</v>
      </c>
      <c r="M12" s="173">
        <f>SUMIFS($E$64:$KF$64,$E$57:$KF$57,'20_Timeline'!M11)</f>
        <v>0</v>
      </c>
      <c r="N12" s="173">
        <f>SUMIFS($E$64:$KF$64,$E$57:$KF$57,'20_Timeline'!N11)</f>
        <v>0</v>
      </c>
      <c r="O12" s="173">
        <f>SUMIFS($E$64:$KF$64,$E$57:$KF$57,'20_Timeline'!O11)</f>
        <v>0</v>
      </c>
      <c r="P12" s="173">
        <f>SUMIFS($E$64:$KF$64,$E$57:$KF$57,'20_Timeline'!P11)</f>
        <v>0</v>
      </c>
      <c r="Q12" s="173">
        <f>SUMIFS($E$64:$KF$64,$E$57:$KF$57,'20_Timeline'!Q11)</f>
        <v>0</v>
      </c>
      <c r="R12" s="173">
        <f>SUMIFS($E$64:$KF$64,$E$57:$KF$57,'20_Timeline'!R11)</f>
        <v>0</v>
      </c>
    </row>
    <row r="13">
      <c r="B13" s="36" t="inlineStr">
        <is>
          <t>IDC capitalised (construction)</t>
        </is>
      </c>
      <c r="C13" s="117" t="inlineStr">
        <is>
          <t>ETB</t>
        </is>
      </c>
      <c r="D13" s="169">
        <f>SUM(E13:R13)</f>
        <v>17535681.8706267</v>
      </c>
      <c r="E13" s="173">
        <f>SUMIFS($E$66:$KF$66,$E$57:$KF$57,'20_Timeline'!E11)</f>
        <v>0</v>
      </c>
      <c r="F13" s="173">
        <f>SUMIFS($E$66:$KF$66,$E$57:$KF$57,'20_Timeline'!F11)</f>
        <v>7972174.21506759</v>
      </c>
      <c r="G13" s="173">
        <f>SUMIFS($E$66:$KF$66,$E$57:$KF$57,'20_Timeline'!G11)</f>
        <v>9563507.65555912</v>
      </c>
      <c r="H13" s="173">
        <f>SUMIFS($E$66:$KF$66,$E$57:$KF$57,'20_Timeline'!H11)</f>
        <v>0</v>
      </c>
      <c r="I13" s="173">
        <f>SUMIFS($E$66:$KF$66,$E$57:$KF$57,'20_Timeline'!I11)</f>
        <v>0</v>
      </c>
      <c r="J13" s="173">
        <f>SUMIFS($E$66:$KF$66,$E$57:$KF$57,'20_Timeline'!J11)</f>
        <v>0</v>
      </c>
      <c r="K13" s="173">
        <f>SUMIFS($E$66:$KF$66,$E$57:$KF$57,'20_Timeline'!K11)</f>
        <v>0</v>
      </c>
      <c r="L13" s="173">
        <f>SUMIFS($E$66:$KF$66,$E$57:$KF$57,'20_Timeline'!L11)</f>
        <v>0</v>
      </c>
      <c r="M13" s="173">
        <f>SUMIFS($E$66:$KF$66,$E$57:$KF$57,'20_Timeline'!M11)</f>
        <v>0</v>
      </c>
      <c r="N13" s="173">
        <f>SUMIFS($E$66:$KF$66,$E$57:$KF$57,'20_Timeline'!N11)</f>
        <v>0</v>
      </c>
      <c r="O13" s="173">
        <f>SUMIFS($E$66:$KF$66,$E$57:$KF$57,'20_Timeline'!O11)</f>
        <v>0</v>
      </c>
      <c r="P13" s="173">
        <f>SUMIFS($E$66:$KF$66,$E$57:$KF$57,'20_Timeline'!P11)</f>
        <v>0</v>
      </c>
      <c r="Q13" s="173">
        <f>SUMIFS($E$66:$KF$66,$E$57:$KF$57,'20_Timeline'!Q11)</f>
        <v>0</v>
      </c>
      <c r="R13" s="173">
        <f>SUMIFS($E$66:$KF$66,$E$57:$KF$57,'20_Timeline'!R11)</f>
        <v>0</v>
      </c>
    </row>
    <row r="14">
      <c r="B14" s="36" t="inlineStr">
        <is>
          <t>Interest capitalised (grace)</t>
        </is>
      </c>
      <c r="C14" s="117" t="inlineStr">
        <is>
          <t>ETB</t>
        </is>
      </c>
      <c r="D14" s="169">
        <f>SUM(E14:R14)</f>
        <v>0</v>
      </c>
      <c r="E14" s="173">
        <f>SUMIFS($E$67:$KF$67,$E$57:$KF$57,'20_Timeline'!E11)</f>
        <v>0</v>
      </c>
      <c r="F14" s="173">
        <f>SUMIFS($E$67:$KF$67,$E$57:$KF$57,'20_Timeline'!F11)</f>
        <v>0</v>
      </c>
      <c r="G14" s="173">
        <f>SUMIFS($E$67:$KF$67,$E$57:$KF$57,'20_Timeline'!G11)</f>
        <v>0</v>
      </c>
      <c r="H14" s="173">
        <f>SUMIFS($E$67:$KF$67,$E$57:$KF$57,'20_Timeline'!H11)</f>
        <v>0</v>
      </c>
      <c r="I14" s="173">
        <f>SUMIFS($E$67:$KF$67,$E$57:$KF$57,'20_Timeline'!I11)</f>
        <v>0</v>
      </c>
      <c r="J14" s="173">
        <f>SUMIFS($E$67:$KF$67,$E$57:$KF$57,'20_Timeline'!J11)</f>
        <v>0</v>
      </c>
      <c r="K14" s="173">
        <f>SUMIFS($E$67:$KF$67,$E$57:$KF$57,'20_Timeline'!K11)</f>
        <v>0</v>
      </c>
      <c r="L14" s="173">
        <f>SUMIFS($E$67:$KF$67,$E$57:$KF$57,'20_Timeline'!L11)</f>
        <v>0</v>
      </c>
      <c r="M14" s="173">
        <f>SUMIFS($E$67:$KF$67,$E$57:$KF$57,'20_Timeline'!M11)</f>
        <v>0</v>
      </c>
      <c r="N14" s="173">
        <f>SUMIFS($E$67:$KF$67,$E$57:$KF$57,'20_Timeline'!N11)</f>
        <v>0</v>
      </c>
      <c r="O14" s="173">
        <f>SUMIFS($E$67:$KF$67,$E$57:$KF$57,'20_Timeline'!O11)</f>
        <v>0</v>
      </c>
      <c r="P14" s="173">
        <f>SUMIFS($E$67:$KF$67,$E$57:$KF$57,'20_Timeline'!P11)</f>
        <v>0</v>
      </c>
      <c r="Q14" s="173">
        <f>SUMIFS($E$67:$KF$67,$E$57:$KF$57,'20_Timeline'!Q11)</f>
        <v>0</v>
      </c>
      <c r="R14" s="173">
        <f>SUMIFS($E$67:$KF$67,$E$57:$KF$57,'20_Timeline'!R11)</f>
        <v>0</v>
      </c>
    </row>
    <row r="15">
      <c r="B15" s="36" t="inlineStr">
        <is>
          <t>Interest paid</t>
        </is>
      </c>
      <c r="C15" s="117" t="inlineStr">
        <is>
          <t>ETB</t>
        </is>
      </c>
      <c r="D15" s="169">
        <f>SUM(E15:R15)</f>
        <v>38971347.1605663</v>
      </c>
      <c r="E15" s="173">
        <f>SUMIFS($E$68:$KF$68,$E$57:$KF$57,'20_Timeline'!E11)</f>
        <v>0</v>
      </c>
      <c r="F15" s="173">
        <f>SUMIFS($E$68:$KF$68,$E$57:$KF$57,'20_Timeline'!F11)</f>
        <v>0</v>
      </c>
      <c r="G15" s="173">
        <f>SUMIFS($E$68:$KF$68,$E$57:$KF$57,'20_Timeline'!G11)</f>
        <v>0</v>
      </c>
      <c r="H15" s="173">
        <f>SUMIFS($E$68:$KF$68,$E$57:$KF$57,'20_Timeline'!H11)</f>
        <v>0</v>
      </c>
      <c r="I15" s="173">
        <f>SUMIFS($E$68:$KF$68,$E$57:$KF$57,'20_Timeline'!I11)</f>
        <v>14569759.4817826</v>
      </c>
      <c r="J15" s="173">
        <f>SUMIFS($E$68:$KF$68,$E$57:$KF$57,'20_Timeline'!J11)</f>
        <v>7991598.89332806</v>
      </c>
      <c r="K15" s="173">
        <f>SUMIFS($E$68:$KF$68,$E$57:$KF$57,'20_Timeline'!K11)</f>
        <v>3268392.53225351</v>
      </c>
      <c r="L15" s="173">
        <f>SUMIFS($E$68:$KF$68,$E$57:$KF$57,'20_Timeline'!L11)</f>
        <v>3018006.12904212</v>
      </c>
      <c r="M15" s="173">
        <f>SUMIFS($E$68:$KF$68,$E$57:$KF$57,'20_Timeline'!M11)</f>
        <v>2727895.81904109</v>
      </c>
      <c r="N15" s="173">
        <f>SUMIFS($E$68:$KF$68,$E$57:$KF$57,'20_Timeline'!N11)</f>
        <v>2391759.3879513</v>
      </c>
      <c r="O15" s="173">
        <f>SUMIFS($E$68:$KF$68,$E$57:$KF$57,'20_Timeline'!O11)</f>
        <v>2002294.77255936</v>
      </c>
      <c r="P15" s="173">
        <f>SUMIFS($E$68:$KF$68,$E$57:$KF$57,'20_Timeline'!P11)</f>
        <v>1551041.43429246</v>
      </c>
      <c r="Q15" s="173">
        <f>SUMIFS($E$68:$KF$68,$E$57:$KF$57,'20_Timeline'!Q11)</f>
        <v>1028196.56662176</v>
      </c>
      <c r="R15" s="173">
        <f>SUMIFS($E$68:$KF$68,$E$57:$KF$57,'20_Timeline'!R11)</f>
        <v>422402.14369405</v>
      </c>
    </row>
    <row r="16">
      <c r="B16" s="36" t="inlineStr">
        <is>
          <t>Interest expense (P&amp;L)</t>
        </is>
      </c>
      <c r="C16" s="117" t="inlineStr">
        <is>
          <t>ETB</t>
        </is>
      </c>
      <c r="D16" s="169">
        <f>SUM(E16:R16)</f>
        <v>38971347.1605663</v>
      </c>
      <c r="E16" s="173">
        <f>E15+E14</f>
        <v>0</v>
      </c>
      <c r="F16" s="173">
        <f>F15+F14</f>
        <v>0</v>
      </c>
      <c r="G16" s="173">
        <f>G15+G14</f>
        <v>0</v>
      </c>
      <c r="H16" s="173">
        <f>H15+H14</f>
        <v>0</v>
      </c>
      <c r="I16" s="173">
        <f>I15+I14</f>
        <v>14569759.4817826</v>
      </c>
      <c r="J16" s="173">
        <f>J15+J14</f>
        <v>7991598.89332806</v>
      </c>
      <c r="K16" s="173">
        <f>K15+K14</f>
        <v>3268392.53225351</v>
      </c>
      <c r="L16" s="173">
        <f>L15+L14</f>
        <v>3018006.12904212</v>
      </c>
      <c r="M16" s="173">
        <f>M15+M14</f>
        <v>2727895.81904109</v>
      </c>
      <c r="N16" s="173">
        <f>N15+N14</f>
        <v>2391759.3879513</v>
      </c>
      <c r="O16" s="173">
        <f>O15+O14</f>
        <v>2002294.77255936</v>
      </c>
      <c r="P16" s="173">
        <f>P15+P14</f>
        <v>1551041.43429246</v>
      </c>
      <c r="Q16" s="173">
        <f>Q15+Q14</f>
        <v>1028196.56662176</v>
      </c>
      <c r="R16" s="173">
        <f>R15+R14</f>
        <v>422402.14369405</v>
      </c>
    </row>
    <row r="17">
      <c r="B17" s="36" t="inlineStr">
        <is>
          <t>Scheduled principal</t>
        </is>
      </c>
      <c r="C17" s="117" t="inlineStr">
        <is>
          <t>ETB</t>
        </is>
      </c>
      <c r="D17" s="169">
        <f>SUM(E17:R17)</f>
        <v>25486969.2325821</v>
      </c>
      <c r="E17" s="173">
        <f>SUMIFS($E$72:$KF$72,$E$57:$KF$57,'20_Timeline'!E11)</f>
        <v>0</v>
      </c>
      <c r="F17" s="173">
        <f>SUMIFS($E$72:$KF$72,$E$57:$KF$57,'20_Timeline'!F11)</f>
        <v>0</v>
      </c>
      <c r="G17" s="173">
        <f>SUMIFS($E$72:$KF$72,$E$57:$KF$57,'20_Timeline'!G11)</f>
        <v>0</v>
      </c>
      <c r="H17" s="173">
        <f>SUMIFS($E$72:$KF$72,$E$57:$KF$57,'20_Timeline'!H11)</f>
        <v>0</v>
      </c>
      <c r="I17" s="173">
        <f>SUMIFS($E$72:$KF$72,$E$57:$KF$57,'20_Timeline'!I11)</f>
        <v>0</v>
      </c>
      <c r="J17" s="173">
        <f>SUMIFS($E$72:$KF$72,$E$57:$KF$57,'20_Timeline'!J11)</f>
        <v>3124000.01350097</v>
      </c>
      <c r="K17" s="173">
        <f>SUMIFS($E$72:$KF$72,$E$57:$KF$57,'20_Timeline'!K11)</f>
        <v>1578227.21831358</v>
      </c>
      <c r="L17" s="173">
        <f>SUMIFS($E$72:$KF$72,$E$57:$KF$57,'20_Timeline'!L11)</f>
        <v>1828613.62152498</v>
      </c>
      <c r="M17" s="173">
        <f>SUMIFS($E$72:$KF$72,$E$57:$KF$57,'20_Timeline'!M11)</f>
        <v>2118723.931526</v>
      </c>
      <c r="N17" s="173">
        <f>SUMIFS($E$72:$KF$72,$E$57:$KF$57,'20_Timeline'!N11)</f>
        <v>2454860.3626158</v>
      </c>
      <c r="O17" s="173">
        <f>SUMIFS($E$72:$KF$72,$E$57:$KF$57,'20_Timeline'!O11)</f>
        <v>2844324.97800773</v>
      </c>
      <c r="P17" s="173">
        <f>SUMIFS($E$72:$KF$72,$E$57:$KF$57,'20_Timeline'!P11)</f>
        <v>3295578.31627463</v>
      </c>
      <c r="Q17" s="173">
        <f>SUMIFS($E$72:$KF$72,$E$57:$KF$57,'20_Timeline'!Q11)</f>
        <v>3818423.18394534</v>
      </c>
      <c r="R17" s="173">
        <f>SUMIFS($E$72:$KF$72,$E$57:$KF$57,'20_Timeline'!R11)</f>
        <v>4424217.60687305</v>
      </c>
    </row>
    <row r="18">
      <c r="B18" s="36" t="inlineStr">
        <is>
          <t>Cash sweep prepayment</t>
        </is>
      </c>
      <c r="C18" s="117" t="inlineStr">
        <is>
          <t>ETB</t>
        </is>
      </c>
      <c r="D18" s="169">
        <f>SUM(E18:R18)</f>
        <v>107662924.871619</v>
      </c>
      <c r="E18" s="173">
        <f>SUMIFS($E$74:$KF$74,$E$57:$KF$57,'20_Timeline'!E11)</f>
        <v>0</v>
      </c>
      <c r="F18" s="173">
        <f>SUMIFS($E$74:$KF$74,$E$57:$KF$57,'20_Timeline'!F11)</f>
        <v>0</v>
      </c>
      <c r="G18" s="173">
        <f>SUMIFS($E$74:$KF$74,$E$57:$KF$57,'20_Timeline'!G11)</f>
        <v>0</v>
      </c>
      <c r="H18" s="173">
        <f>SUMIFS($E$74:$KF$74,$E$57:$KF$57,'20_Timeline'!H11)</f>
        <v>0</v>
      </c>
      <c r="I18" s="173">
        <f>SUMIFS($E$74:$KF$74,$E$57:$KF$57,'20_Timeline'!I11)</f>
        <v>78736993.9916189</v>
      </c>
      <c r="J18" s="173">
        <f>SUMIFS($E$74:$KF$74,$E$57:$KF$57,'20_Timeline'!J11)</f>
        <v>28925930.88</v>
      </c>
      <c r="K18" s="173">
        <f>SUMIFS($E$74:$KF$74,$E$57:$KF$57,'20_Timeline'!K11)</f>
        <v>0</v>
      </c>
      <c r="L18" s="173">
        <f>SUMIFS($E$74:$KF$74,$E$57:$KF$57,'20_Timeline'!L11)</f>
        <v>0</v>
      </c>
      <c r="M18" s="173">
        <f>SUMIFS($E$74:$KF$74,$E$57:$KF$57,'20_Timeline'!M11)</f>
        <v>0</v>
      </c>
      <c r="N18" s="173">
        <f>SUMIFS($E$74:$KF$74,$E$57:$KF$57,'20_Timeline'!N11)</f>
        <v>0</v>
      </c>
      <c r="O18" s="173">
        <f>SUMIFS($E$74:$KF$74,$E$57:$KF$57,'20_Timeline'!O11)</f>
        <v>0</v>
      </c>
      <c r="P18" s="173">
        <f>SUMIFS($E$74:$KF$74,$E$57:$KF$57,'20_Timeline'!P11)</f>
        <v>0</v>
      </c>
      <c r="Q18" s="173">
        <f>SUMIFS($E$74:$KF$74,$E$57:$KF$57,'20_Timeline'!Q11)</f>
        <v>0</v>
      </c>
      <c r="R18" s="173">
        <f>SUMIFS($E$74:$KF$74,$E$57:$KF$57,'20_Timeline'!R11)</f>
        <v>0</v>
      </c>
    </row>
    <row r="19">
      <c r="B19" s="97" t="inlineStr">
        <is>
          <t>Debt service (interest paid + scheduled principal)</t>
        </is>
      </c>
      <c r="C19" s="180" t="inlineStr">
        <is>
          <t>ETB</t>
        </is>
      </c>
      <c r="D19" s="181">
        <f>SUM(E19:R19)</f>
        <v>64458316.3931484</v>
      </c>
      <c r="E19" s="182">
        <f>E15+E17</f>
        <v>0</v>
      </c>
      <c r="F19" s="182">
        <f>F15+F17</f>
        <v>0</v>
      </c>
      <c r="G19" s="182">
        <f>G15+G17</f>
        <v>0</v>
      </c>
      <c r="H19" s="182">
        <f>H15+H17</f>
        <v>0</v>
      </c>
      <c r="I19" s="182">
        <f>I15+I17</f>
        <v>14569759.4817826</v>
      </c>
      <c r="J19" s="182">
        <f>J15+J17</f>
        <v>11115598.906829</v>
      </c>
      <c r="K19" s="182">
        <f>K15+K17</f>
        <v>4846619.7505671</v>
      </c>
      <c r="L19" s="182">
        <f>L15+L17</f>
        <v>4846619.7505671</v>
      </c>
      <c r="M19" s="182">
        <f>M15+M17</f>
        <v>4846619.7505671</v>
      </c>
      <c r="N19" s="182">
        <f>N15+N17</f>
        <v>4846619.7505671</v>
      </c>
      <c r="O19" s="182">
        <f>O15+O17</f>
        <v>4846619.7505671</v>
      </c>
      <c r="P19" s="182">
        <f>P15+P17</f>
        <v>4846619.7505671</v>
      </c>
      <c r="Q19" s="182">
        <f>Q15+Q17</f>
        <v>4846619.7505671</v>
      </c>
      <c r="R19" s="182">
        <f>R15+R17</f>
        <v>4846619.7505671</v>
      </c>
    </row>
    <row r="20">
      <c r="B20" s="97" t="inlineStr">
        <is>
          <t>Closing loan balance</t>
        </is>
      </c>
      <c r="C20" s="180" t="inlineStr">
        <is>
          <t>ETB</t>
        </is>
      </c>
      <c r="D20" s="181">
        <f>R20</f>
        <v>0</v>
      </c>
      <c r="E20" s="182">
        <f>SUMIFS($E$75:$KF$75,$E$53:$KF$53,'20_Timeline'!E21)</f>
        <v>0</v>
      </c>
      <c r="F20" s="182">
        <f>SUMIFS($E$75:$KF$75,$E$53:$KF$53,'20_Timeline'!F21)</f>
        <v>111770848.284784</v>
      </c>
      <c r="G20" s="182">
        <f>SUMIFS($E$75:$KF$75,$E$53:$KF$53,'20_Timeline'!G21)</f>
        <v>133149894.104201</v>
      </c>
      <c r="H20" s="182">
        <f>SUMIFS($E$75:$KF$75,$E$53:$KF$53,'20_Timeline'!H21)</f>
        <v>133149894.104201</v>
      </c>
      <c r="I20" s="182">
        <f>SUMIFS($E$75:$KF$75,$E$53:$KF$53,'20_Timeline'!I21)</f>
        <v>54412900.1125821</v>
      </c>
      <c r="J20" s="182">
        <f>SUMIFS($E$75:$KF$75,$E$53:$KF$53,'20_Timeline'!J21)</f>
        <v>22362969.2190811</v>
      </c>
      <c r="K20" s="182">
        <f>SUMIFS($E$75:$KF$75,$E$53:$KF$53,'20_Timeline'!K21)</f>
        <v>20784742.0007675</v>
      </c>
      <c r="L20" s="182">
        <f>SUMIFS($E$75:$KF$75,$E$53:$KF$53,'20_Timeline'!L21)</f>
        <v>18956128.3792425</v>
      </c>
      <c r="M20" s="182">
        <f>SUMIFS($E$75:$KF$75,$E$53:$KF$53,'20_Timeline'!M21)</f>
        <v>16837404.4477165</v>
      </c>
      <c r="N20" s="182">
        <f>SUMIFS($E$75:$KF$75,$E$53:$KF$53,'20_Timeline'!N21)</f>
        <v>14382544.0851008</v>
      </c>
      <c r="O20" s="182">
        <f>SUMIFS($E$75:$KF$75,$E$53:$KF$53,'20_Timeline'!O21)</f>
        <v>11538219.107093</v>
      </c>
      <c r="P20" s="182">
        <f>SUMIFS($E$75:$KF$75,$E$53:$KF$53,'20_Timeline'!P21)</f>
        <v>8242640.79081838</v>
      </c>
      <c r="Q20" s="182">
        <f>SUMIFS($E$75:$KF$75,$E$53:$KF$53,'20_Timeline'!Q21)</f>
        <v>4424217.60687305</v>
      </c>
      <c r="R20" s="182">
        <f>SUMIFS($E$75:$KF$75,$E$53:$KF$53,'20_Timeline'!R21)</f>
        <v>0</v>
      </c>
    </row>
    <row r="21">
      <c r="B21" s="36" t="inlineStr">
        <is>
          <t>Opening loan balance</t>
        </is>
      </c>
      <c r="C21" s="117" t="inlineStr">
        <is>
          <t>ETB</t>
        </is>
      </c>
      <c r="E21" s="173" t="n">
        <v>0</v>
      </c>
      <c r="F21" s="170">
        <f>E20</f>
        <v>0</v>
      </c>
      <c r="G21" s="170">
        <f>F20</f>
        <v>111770848.284784</v>
      </c>
      <c r="H21" s="170">
        <f>G20</f>
        <v>133149894.104201</v>
      </c>
      <c r="I21" s="170">
        <f>H20</f>
        <v>133149894.104201</v>
      </c>
      <c r="J21" s="170">
        <f>I20</f>
        <v>54412900.1125821</v>
      </c>
      <c r="K21" s="170">
        <f>J20</f>
        <v>22362969.2190811</v>
      </c>
      <c r="L21" s="170">
        <f>K20</f>
        <v>20784742.0007675</v>
      </c>
      <c r="M21" s="170">
        <f>L20</f>
        <v>18956128.3792425</v>
      </c>
      <c r="N21" s="170">
        <f>M20</f>
        <v>16837404.4477165</v>
      </c>
      <c r="O21" s="170">
        <f>N20</f>
        <v>14382544.0851008</v>
      </c>
      <c r="P21" s="170">
        <f>O20</f>
        <v>11538219.107093</v>
      </c>
      <c r="Q21" s="170">
        <f>P20</f>
        <v>8242640.79081838</v>
      </c>
      <c r="R21" s="170">
        <f>Q20</f>
        <v>4424217.60687305</v>
      </c>
    </row>
    <row r="22">
      <c r="B22" s="36" t="inlineStr">
        <is>
          <t>Land lease principal paid</t>
        </is>
      </c>
      <c r="C22" s="117" t="inlineStr">
        <is>
          <t>ETB</t>
        </is>
      </c>
      <c r="D22" s="169">
        <f>SUM(E22:R22)</f>
        <v>54000000</v>
      </c>
      <c r="E22" s="173">
        <f>SUMIFS($E$84:$KF$84,$E$57:$KF$57,'20_Timeline'!E11)</f>
        <v>0</v>
      </c>
      <c r="F22" s="173">
        <f>SUMIFS($E$84:$KF$84,$E$57:$KF$57,'20_Timeline'!F11)</f>
        <v>4500000</v>
      </c>
      <c r="G22" s="173">
        <f>SUMIFS($E$84:$KF$84,$E$57:$KF$57,'20_Timeline'!G11)</f>
        <v>4500000</v>
      </c>
      <c r="H22" s="173">
        <f>SUMIFS($E$84:$KF$84,$E$57:$KF$57,'20_Timeline'!H11)</f>
        <v>0</v>
      </c>
      <c r="I22" s="173">
        <f>SUMIFS($E$84:$KF$84,$E$57:$KF$57,'20_Timeline'!I11)</f>
        <v>4500000</v>
      </c>
      <c r="J22" s="173">
        <f>SUMIFS($E$84:$KF$84,$E$57:$KF$57,'20_Timeline'!J11)</f>
        <v>4500000</v>
      </c>
      <c r="K22" s="173">
        <f>SUMIFS($E$84:$KF$84,$E$57:$KF$57,'20_Timeline'!K11)</f>
        <v>4500000</v>
      </c>
      <c r="L22" s="173">
        <f>SUMIFS($E$84:$KF$84,$E$57:$KF$57,'20_Timeline'!L11)</f>
        <v>4500000</v>
      </c>
      <c r="M22" s="173">
        <f>SUMIFS($E$84:$KF$84,$E$57:$KF$57,'20_Timeline'!M11)</f>
        <v>4500000</v>
      </c>
      <c r="N22" s="173">
        <f>SUMIFS($E$84:$KF$84,$E$57:$KF$57,'20_Timeline'!N11)</f>
        <v>4500000</v>
      </c>
      <c r="O22" s="173">
        <f>SUMIFS($E$84:$KF$84,$E$57:$KF$57,'20_Timeline'!O11)</f>
        <v>4500000</v>
      </c>
      <c r="P22" s="173">
        <f>SUMIFS($E$84:$KF$84,$E$57:$KF$57,'20_Timeline'!P11)</f>
        <v>4500000</v>
      </c>
      <c r="Q22" s="173">
        <f>SUMIFS($E$84:$KF$84,$E$57:$KF$57,'20_Timeline'!Q11)</f>
        <v>4500000</v>
      </c>
      <c r="R22" s="173">
        <f>SUMIFS($E$84:$KF$84,$E$57:$KF$57,'20_Timeline'!R11)</f>
        <v>4500000</v>
      </c>
    </row>
    <row r="23">
      <c r="B23" s="36" t="inlineStr">
        <is>
          <t>Land lease interest</t>
        </is>
      </c>
      <c r="C23" s="117" t="inlineStr">
        <is>
          <t>ETB</t>
        </is>
      </c>
      <c r="D23" s="169">
        <f>SUM(E23:R23)</f>
        <v>92610000</v>
      </c>
      <c r="E23" s="173">
        <f>SUMIFS($E$85:$KF$85,$E$57:$KF$57,'20_Timeline'!E11)</f>
        <v>0</v>
      </c>
      <c r="F23" s="173">
        <f>SUMIFS($E$85:$KF$85,$E$57:$KF$57,'20_Timeline'!F11)</f>
        <v>9450000</v>
      </c>
      <c r="G23" s="173">
        <f>SUMIFS($E$85:$KF$85,$E$57:$KF$57,'20_Timeline'!G11)</f>
        <v>9135000</v>
      </c>
      <c r="H23" s="173">
        <f>SUMIFS($E$85:$KF$85,$E$57:$KF$57,'20_Timeline'!H11)</f>
        <v>0</v>
      </c>
      <c r="I23" s="173">
        <f>SUMIFS($E$85:$KF$85,$E$57:$KF$57,'20_Timeline'!I11)</f>
        <v>8820000</v>
      </c>
      <c r="J23" s="173">
        <f>SUMIFS($E$85:$KF$85,$E$57:$KF$57,'20_Timeline'!J11)</f>
        <v>8505000</v>
      </c>
      <c r="K23" s="173">
        <f>SUMIFS($E$85:$KF$85,$E$57:$KF$57,'20_Timeline'!K11)</f>
        <v>8190000</v>
      </c>
      <c r="L23" s="173">
        <f>SUMIFS($E$85:$KF$85,$E$57:$KF$57,'20_Timeline'!L11)</f>
        <v>7875000</v>
      </c>
      <c r="M23" s="173">
        <f>SUMIFS($E$85:$KF$85,$E$57:$KF$57,'20_Timeline'!M11)</f>
        <v>7560000</v>
      </c>
      <c r="N23" s="173">
        <f>SUMIFS($E$85:$KF$85,$E$57:$KF$57,'20_Timeline'!N11)</f>
        <v>7245000</v>
      </c>
      <c r="O23" s="173">
        <f>SUMIFS($E$85:$KF$85,$E$57:$KF$57,'20_Timeline'!O11)</f>
        <v>6930000</v>
      </c>
      <c r="P23" s="173">
        <f>SUMIFS($E$85:$KF$85,$E$57:$KF$57,'20_Timeline'!P11)</f>
        <v>6615000</v>
      </c>
      <c r="Q23" s="173">
        <f>SUMIFS($E$85:$KF$85,$E$57:$KF$57,'20_Timeline'!Q11)</f>
        <v>6300000</v>
      </c>
      <c r="R23" s="173">
        <f>SUMIFS($E$85:$KF$85,$E$57:$KF$57,'20_Timeline'!R11)</f>
        <v>5985000</v>
      </c>
    </row>
    <row r="24">
      <c r="B24" s="36" t="inlineStr">
        <is>
          <t>Lease liability recognised</t>
        </is>
      </c>
      <c r="C24" s="117" t="inlineStr">
        <is>
          <t>ETB</t>
        </is>
      </c>
      <c r="D24" s="169">
        <f>SUM(E24:R24)</f>
        <v>135000000</v>
      </c>
      <c r="E24" s="173">
        <f>SUMIFS($E$81:$KF$81,$E$57:$KF$57,'20_Timeline'!E11)</f>
        <v>135000000</v>
      </c>
      <c r="F24" s="173">
        <f>SUMIFS($E$81:$KF$81,$E$57:$KF$57,'20_Timeline'!F11)</f>
        <v>0</v>
      </c>
      <c r="G24" s="173">
        <f>SUMIFS($E$81:$KF$81,$E$57:$KF$57,'20_Timeline'!G11)</f>
        <v>0</v>
      </c>
      <c r="H24" s="173">
        <f>SUMIFS($E$81:$KF$81,$E$57:$KF$57,'20_Timeline'!H11)</f>
        <v>0</v>
      </c>
      <c r="I24" s="173">
        <f>SUMIFS($E$81:$KF$81,$E$57:$KF$57,'20_Timeline'!I11)</f>
        <v>0</v>
      </c>
      <c r="J24" s="173">
        <f>SUMIFS($E$81:$KF$81,$E$57:$KF$57,'20_Timeline'!J11)</f>
        <v>0</v>
      </c>
      <c r="K24" s="173">
        <f>SUMIFS($E$81:$KF$81,$E$57:$KF$57,'20_Timeline'!K11)</f>
        <v>0</v>
      </c>
      <c r="L24" s="173">
        <f>SUMIFS($E$81:$KF$81,$E$57:$KF$57,'20_Timeline'!L11)</f>
        <v>0</v>
      </c>
      <c r="M24" s="173">
        <f>SUMIFS($E$81:$KF$81,$E$57:$KF$57,'20_Timeline'!M11)</f>
        <v>0</v>
      </c>
      <c r="N24" s="173">
        <f>SUMIFS($E$81:$KF$81,$E$57:$KF$57,'20_Timeline'!N11)</f>
        <v>0</v>
      </c>
      <c r="O24" s="173">
        <f>SUMIFS($E$81:$KF$81,$E$57:$KF$57,'20_Timeline'!O11)</f>
        <v>0</v>
      </c>
      <c r="P24" s="173">
        <f>SUMIFS($E$81:$KF$81,$E$57:$KF$57,'20_Timeline'!P11)</f>
        <v>0</v>
      </c>
      <c r="Q24" s="173">
        <f>SUMIFS($E$81:$KF$81,$E$57:$KF$57,'20_Timeline'!Q11)</f>
        <v>0</v>
      </c>
      <c r="R24" s="173">
        <f>SUMIFS($E$81:$KF$81,$E$57:$KF$57,'20_Timeline'!R11)</f>
        <v>0</v>
      </c>
    </row>
    <row r="25">
      <c r="B25" s="36" t="inlineStr">
        <is>
          <t>Closing lease liability</t>
        </is>
      </c>
      <c r="C25" s="117" t="inlineStr">
        <is>
          <t>ETB</t>
        </is>
      </c>
      <c r="D25" s="169">
        <f>R25</f>
        <v>81000000</v>
      </c>
      <c r="E25" s="173">
        <f>SUMIFS($E$86:$KF$86,$E$53:$KF$53,'20_Timeline'!E21)</f>
        <v>135000000</v>
      </c>
      <c r="F25" s="173">
        <f>SUMIFS($E$86:$KF$86,$E$53:$KF$53,'20_Timeline'!F21)</f>
        <v>130500000</v>
      </c>
      <c r="G25" s="173">
        <f>SUMIFS($E$86:$KF$86,$E$53:$KF$53,'20_Timeline'!G21)</f>
        <v>126000000</v>
      </c>
      <c r="H25" s="173">
        <f>SUMIFS($E$86:$KF$86,$E$53:$KF$53,'20_Timeline'!H21)</f>
        <v>126000000</v>
      </c>
      <c r="I25" s="173">
        <f>SUMIFS($E$86:$KF$86,$E$53:$KF$53,'20_Timeline'!I21)</f>
        <v>121500000</v>
      </c>
      <c r="J25" s="173">
        <f>SUMIFS($E$86:$KF$86,$E$53:$KF$53,'20_Timeline'!J21)</f>
        <v>117000000</v>
      </c>
      <c r="K25" s="173">
        <f>SUMIFS($E$86:$KF$86,$E$53:$KF$53,'20_Timeline'!K21)</f>
        <v>112500000</v>
      </c>
      <c r="L25" s="173">
        <f>SUMIFS($E$86:$KF$86,$E$53:$KF$53,'20_Timeline'!L21)</f>
        <v>108000000</v>
      </c>
      <c r="M25" s="173">
        <f>SUMIFS($E$86:$KF$86,$E$53:$KF$53,'20_Timeline'!M21)</f>
        <v>103500000</v>
      </c>
      <c r="N25" s="173">
        <f>SUMIFS($E$86:$KF$86,$E$53:$KF$53,'20_Timeline'!N21)</f>
        <v>99000000</v>
      </c>
      <c r="O25" s="173">
        <f>SUMIFS($E$86:$KF$86,$E$53:$KF$53,'20_Timeline'!O21)</f>
        <v>94500000</v>
      </c>
      <c r="P25" s="173">
        <f>SUMIFS($E$86:$KF$86,$E$53:$KF$53,'20_Timeline'!P21)</f>
        <v>90000000</v>
      </c>
      <c r="Q25" s="173">
        <f>SUMIFS($E$86:$KF$86,$E$53:$KF$53,'20_Timeline'!Q21)</f>
        <v>85500000</v>
      </c>
      <c r="R25" s="173">
        <f>SUMIFS($E$86:$KF$86,$E$53:$KF$53,'20_Timeline'!R21)</f>
        <v>81000000</v>
      </c>
    </row>
    <row r="27" ht="20" customHeight="1">
      <c r="B27" s="113" t="inlineStr">
        <is>
          <t>Loan scalars and lender summary</t>
        </is>
      </c>
      <c r="C27" s="37" t="inlineStr">
        <is>
          <t>የብድር ማጠቃለያ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Months between repayments</t>
        </is>
      </c>
      <c r="C28" s="117" t="inlineStr">
        <is>
          <t>months</t>
        </is>
      </c>
      <c r="D28" s="148">
        <f>CHOOSE(FREQ,1,3,12)</f>
        <v>3</v>
      </c>
    </row>
    <row r="29">
      <c r="B29" s="36" t="inlineStr">
        <is>
          <t>Tenor after completion</t>
        </is>
      </c>
      <c r="C29" s="117" t="inlineStr">
        <is>
          <t>months</t>
        </is>
      </c>
      <c r="D29" s="148">
        <f>TENOR_Y*12</f>
        <v>120</v>
      </c>
    </row>
    <row r="30">
      <c r="B30" s="36" t="inlineStr">
        <is>
          <t>Number of scheduled repayments</t>
        </is>
      </c>
      <c r="C30" s="117" t="inlineStr">
        <is>
          <t>no.</t>
        </is>
      </c>
      <c r="D30" s="148">
        <f>MAX(0,INT((TENOR_M-GRACE_M)/FREQ_M))</f>
        <v>36</v>
      </c>
    </row>
    <row r="31">
      <c r="B31" s="36" t="inlineStr">
        <is>
          <t>Annual lease instalment</t>
        </is>
      </c>
      <c r="C31" s="117" t="inlineStr">
        <is>
          <t>ETB</t>
        </is>
      </c>
      <c r="D31" s="173">
        <f>IF(LEASE_N&gt;0,LAND_VALUE*(1-LEASE_DP)/LEASE_N,0)*IF(LAND_TYPE=1,1,0)</f>
        <v>4500000</v>
      </c>
    </row>
    <row r="32">
      <c r="B32" s="36" t="inlineStr">
        <is>
          <t>Total drawdowns</t>
        </is>
      </c>
      <c r="C32" s="117" t="inlineStr">
        <is>
          <t>ETB</t>
        </is>
      </c>
      <c r="D32" s="173">
        <f>$D$64</f>
        <v>115614212.233574</v>
      </c>
    </row>
    <row r="33">
      <c r="B33" s="36" t="inlineStr">
        <is>
          <t>Total interest capitalised (IDC + grace)</t>
        </is>
      </c>
      <c r="C33" s="117" t="inlineStr">
        <is>
          <t>ETB</t>
        </is>
      </c>
      <c r="D33" s="173">
        <f>$D$66+$D$67</f>
        <v>17535681.8706267</v>
      </c>
    </row>
    <row r="34">
      <c r="B34" s="36" t="inlineStr">
        <is>
          <t>Total interest (all)</t>
        </is>
      </c>
      <c r="C34" s="117" t="inlineStr">
        <is>
          <t>ETB</t>
        </is>
      </c>
      <c r="D34" s="172">
        <f>$D$65</f>
        <v>56507029.031193</v>
      </c>
    </row>
    <row r="35">
      <c r="B35" s="36" t="inlineStr">
        <is>
          <t>Total principal repaid (scheduled + sweep)</t>
        </is>
      </c>
      <c r="C35" s="117" t="inlineStr">
        <is>
          <t>ETB</t>
        </is>
      </c>
      <c r="D35" s="173">
        <f>$D$72+$D$74</f>
        <v>133149894.104201</v>
      </c>
    </row>
    <row r="36">
      <c r="B36" s="36" t="inlineStr">
        <is>
          <t>Peak debt (incl. capitalised interest)</t>
        </is>
      </c>
      <c r="C36" s="117" t="inlineStr">
        <is>
          <t>ETB</t>
        </is>
      </c>
      <c r="D36" s="172">
        <f>$D$75</f>
        <v>133149894.104201</v>
      </c>
    </row>
    <row r="37">
      <c r="B37" s="36" t="inlineStr">
        <is>
          <t>Balance at start of repayment</t>
        </is>
      </c>
      <c r="C37" s="117" t="inlineStr">
        <is>
          <t>ETB</t>
        </is>
      </c>
      <c r="D37" s="173">
        <f>$D$69</f>
        <v>54412900.1125821</v>
      </c>
    </row>
    <row r="38">
      <c r="B38" s="36" t="inlineStr">
        <is>
          <t>Average life after completion</t>
        </is>
      </c>
      <c r="C38" s="117" t="inlineStr">
        <is>
          <t>years</t>
        </is>
      </c>
      <c r="D38" s="187">
        <f>IF(LN_PRIN_TOT&gt;0,$D$79/LN_PRIN_TOT,0)</f>
        <v>1.95125187908238</v>
      </c>
    </row>
    <row r="39">
      <c r="B39" s="36" t="inlineStr">
        <is>
          <t>Final repayment month index</t>
        </is>
      </c>
      <c r="C39" s="117" t="inlineStr">
        <is>
          <t>no.</t>
        </is>
      </c>
      <c r="D39" s="148">
        <f>$D$77</f>
        <v>150</v>
      </c>
    </row>
    <row r="40">
      <c r="B40" s="36" t="inlineStr">
        <is>
          <t>Final repayment date</t>
        </is>
      </c>
      <c r="C40" s="117" t="inlineStr">
        <is>
          <t>date</t>
        </is>
      </c>
      <c r="D40" s="166">
        <f>IF(LN_TLAST&gt;0,EDATE(START_DATE,LN_TLAST)-1,0)</f>
        <v>50951.0</v>
      </c>
    </row>
    <row r="41">
      <c r="B41" s="36" t="inlineStr">
        <is>
          <t>First scheduled repayment month</t>
        </is>
      </c>
      <c r="C41" s="117" t="inlineStr">
        <is>
          <t>no.</t>
        </is>
      </c>
      <c r="D41" s="148">
        <f>IF($D$78=999,0,$D$78)</f>
        <v>45</v>
      </c>
    </row>
    <row r="42">
      <c r="B42" s="36" t="inlineStr">
        <is>
          <t>Instalment at first scheduled repayment</t>
        </is>
      </c>
      <c r="C42" s="117" t="inlineStr">
        <is>
          <t>ETB</t>
        </is>
      </c>
      <c r="D42" s="172">
        <f>IF(LN_TFIRST&gt;0,INDEX(E76:KF76,LN_TFIRST),0)</f>
        <v>1418577.22389271</v>
      </c>
    </row>
    <row r="43">
      <c r="B43" s="36" t="inlineStr">
        <is>
          <t>Monthly-equivalent instalment</t>
        </is>
      </c>
      <c r="C43" s="117" t="inlineStr">
        <is>
          <t>ETB</t>
        </is>
      </c>
      <c r="D43" s="172">
        <f>LN_INSTAL/FREQ_M</f>
        <v>472859.074630902</v>
      </c>
    </row>
    <row r="44">
      <c r="B44" s="36" t="inlineStr">
        <is>
          <t>Balance outstanding at end of tenor</t>
        </is>
      </c>
      <c r="C44" s="117" t="inlineStr">
        <is>
          <t>ETB</t>
        </is>
      </c>
      <c r="D44" s="173">
        <f>SUMIFS(E75:KF75,E55:KF55,MIN(TENOR_M,288-CONSTR_EFF))</f>
        <v>0</v>
      </c>
    </row>
    <row r="45">
      <c r="B45" s="36" t="inlineStr">
        <is>
          <t>Balance outstanding at end of O10</t>
        </is>
      </c>
      <c r="C45" s="117" t="inlineStr">
        <is>
          <t>ETB</t>
        </is>
      </c>
      <c r="D45" s="173">
        <f>SUMIFS(E75:KF75,E55:KF55,12*OPS_YEARS)</f>
        <v>0</v>
      </c>
    </row>
    <row r="46">
      <c r="B46" s="36" t="inlineStr">
        <is>
          <t>Min DSCR (from ratios)</t>
        </is>
      </c>
      <c r="C46" s="117" t="inlineStr">
        <is>
          <t>x</t>
        </is>
      </c>
      <c r="D46" s="188">
        <f>'43_Ratios'!$D$25</f>
        <v>1.7426163135394</v>
      </c>
    </row>
    <row r="47">
      <c r="B47" s="36" t="inlineStr">
        <is>
          <t>Average DSCR</t>
        </is>
      </c>
      <c r="C47" s="117" t="inlineStr">
        <is>
          <t>x</t>
        </is>
      </c>
      <c r="D47" s="188">
        <f>'43_Ratios'!$D$26</f>
        <v>4.39873125464734</v>
      </c>
    </row>
    <row r="48">
      <c r="B48" s="36" t="inlineStr">
        <is>
          <t>LLCR at completion</t>
        </is>
      </c>
      <c r="C48" s="117" t="inlineStr">
        <is>
          <t>x</t>
        </is>
      </c>
      <c r="D48" s="188">
        <f>'43_Ratios'!$D$28</f>
        <v>1.46121685820763</v>
      </c>
    </row>
    <row r="49">
      <c r="B49" s="36" t="inlineStr">
        <is>
          <t>Min interest cover (ICR)</t>
        </is>
      </c>
      <c r="C49" s="117" t="inlineStr">
        <is>
          <t>x</t>
        </is>
      </c>
      <c r="D49" s="188">
        <f>'43_Ratios'!$D$29</f>
        <v>1.64331476998958</v>
      </c>
    </row>
    <row r="50">
      <c r="B50" s="36" t="inlineStr">
        <is>
          <t>Max gearing</t>
        </is>
      </c>
      <c r="C50" s="117" t="inlineStr">
        <is>
          <t>%</t>
        </is>
      </c>
      <c r="D50" s="150">
        <f>'43_Ratios'!$D$30</f>
        <v>0.953350004111246</v>
      </c>
    </row>
    <row r="52" ht="20" customHeight="1">
      <c r="B52" s="113" t="inlineStr">
        <is>
          <t>Timing and rate</t>
        </is>
      </c>
      <c r="C52" s="37" t="inlineStr">
        <is>
          <t>ጊዜና የወለድ መጠን</t>
        </is>
      </c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</row>
    <row r="53">
      <c r="B53" s="36" t="inlineStr">
        <is>
          <t>Month t</t>
        </is>
      </c>
      <c r="C53" s="117" t="inlineStr">
        <is>
          <t>no.</t>
        </is>
      </c>
      <c r="E53" s="174">
        <f>'20_Timeline'!E37</f>
        <v>1</v>
      </c>
      <c r="F53" s="174">
        <f>'20_Timeline'!F37</f>
        <v>2</v>
      </c>
      <c r="G53" s="174">
        <f>'20_Timeline'!G37</f>
        <v>3</v>
      </c>
      <c r="H53" s="174">
        <f>'20_Timeline'!H37</f>
        <v>4</v>
      </c>
      <c r="I53" s="174">
        <f>'20_Timeline'!I37</f>
        <v>5</v>
      </c>
      <c r="J53" s="174">
        <f>'20_Timeline'!J37</f>
        <v>6</v>
      </c>
      <c r="K53" s="174">
        <f>'20_Timeline'!K37</f>
        <v>7</v>
      </c>
      <c r="L53" s="174">
        <f>'20_Timeline'!L37</f>
        <v>8</v>
      </c>
      <c r="M53" s="174">
        <f>'20_Timeline'!M37</f>
        <v>9</v>
      </c>
      <c r="N53" s="174">
        <f>'20_Timeline'!N37</f>
        <v>10</v>
      </c>
      <c r="O53" s="174">
        <f>'20_Timeline'!O37</f>
        <v>11</v>
      </c>
      <c r="P53" s="174">
        <f>'20_Timeline'!P37</f>
        <v>12</v>
      </c>
      <c r="Q53" s="174">
        <f>'20_Timeline'!Q37</f>
        <v>13</v>
      </c>
      <c r="R53" s="174">
        <f>'20_Timeline'!R37</f>
        <v>14</v>
      </c>
      <c r="S53" s="174">
        <f>'20_Timeline'!S37</f>
        <v>15</v>
      </c>
      <c r="T53" s="174">
        <f>'20_Timeline'!T37</f>
        <v>16</v>
      </c>
      <c r="U53" s="174">
        <f>'20_Timeline'!U37</f>
        <v>17</v>
      </c>
      <c r="V53" s="174">
        <f>'20_Timeline'!V37</f>
        <v>18</v>
      </c>
      <c r="W53" s="174">
        <f>'20_Timeline'!W37</f>
        <v>19</v>
      </c>
      <c r="X53" s="174">
        <f>'20_Timeline'!X37</f>
        <v>20</v>
      </c>
      <c r="Y53" s="174">
        <f>'20_Timeline'!Y37</f>
        <v>21</v>
      </c>
      <c r="Z53" s="174">
        <f>'20_Timeline'!Z37</f>
        <v>22</v>
      </c>
      <c r="AA53" s="174">
        <f>'20_Timeline'!AA37</f>
        <v>23</v>
      </c>
      <c r="AB53" s="174">
        <f>'20_Timeline'!AB37</f>
        <v>24</v>
      </c>
      <c r="AC53" s="174">
        <f>'20_Timeline'!AC37</f>
        <v>25</v>
      </c>
      <c r="AD53" s="174">
        <f>'20_Timeline'!AD37</f>
        <v>26</v>
      </c>
      <c r="AE53" s="174">
        <f>'20_Timeline'!AE37</f>
        <v>27</v>
      </c>
      <c r="AF53" s="174">
        <f>'20_Timeline'!AF37</f>
        <v>28</v>
      </c>
      <c r="AG53" s="174">
        <f>'20_Timeline'!AG37</f>
        <v>29</v>
      </c>
      <c r="AH53" s="174">
        <f>'20_Timeline'!AH37</f>
        <v>30</v>
      </c>
      <c r="AI53" s="174">
        <f>'20_Timeline'!AI37</f>
        <v>31</v>
      </c>
      <c r="AJ53" s="174">
        <f>'20_Timeline'!AJ37</f>
        <v>32</v>
      </c>
      <c r="AK53" s="174">
        <f>'20_Timeline'!AK37</f>
        <v>33</v>
      </c>
      <c r="AL53" s="174">
        <f>'20_Timeline'!AL37</f>
        <v>34</v>
      </c>
      <c r="AM53" s="174">
        <f>'20_Timeline'!AM37</f>
        <v>35</v>
      </c>
      <c r="AN53" s="174">
        <f>'20_Timeline'!AN37</f>
        <v>36</v>
      </c>
      <c r="AO53" s="174">
        <f>'20_Timeline'!AO37</f>
        <v>37</v>
      </c>
      <c r="AP53" s="174">
        <f>'20_Timeline'!AP37</f>
        <v>38</v>
      </c>
      <c r="AQ53" s="174">
        <f>'20_Timeline'!AQ37</f>
        <v>39</v>
      </c>
      <c r="AR53" s="174">
        <f>'20_Timeline'!AR37</f>
        <v>40</v>
      </c>
      <c r="AS53" s="174">
        <f>'20_Timeline'!AS37</f>
        <v>41</v>
      </c>
      <c r="AT53" s="174">
        <f>'20_Timeline'!AT37</f>
        <v>42</v>
      </c>
      <c r="AU53" s="174">
        <f>'20_Timeline'!AU37</f>
        <v>43</v>
      </c>
      <c r="AV53" s="174">
        <f>'20_Timeline'!AV37</f>
        <v>44</v>
      </c>
      <c r="AW53" s="174">
        <f>'20_Timeline'!AW37</f>
        <v>45</v>
      </c>
      <c r="AX53" s="174">
        <f>'20_Timeline'!AX37</f>
        <v>46</v>
      </c>
      <c r="AY53" s="174">
        <f>'20_Timeline'!AY37</f>
        <v>47</v>
      </c>
      <c r="AZ53" s="174">
        <f>'20_Timeline'!AZ37</f>
        <v>48</v>
      </c>
      <c r="BA53" s="174">
        <f>'20_Timeline'!BA37</f>
        <v>49</v>
      </c>
      <c r="BB53" s="174">
        <f>'20_Timeline'!BB37</f>
        <v>50</v>
      </c>
      <c r="BC53" s="174">
        <f>'20_Timeline'!BC37</f>
        <v>51</v>
      </c>
      <c r="BD53" s="174">
        <f>'20_Timeline'!BD37</f>
        <v>52</v>
      </c>
      <c r="BE53" s="174">
        <f>'20_Timeline'!BE37</f>
        <v>53</v>
      </c>
      <c r="BF53" s="174">
        <f>'20_Timeline'!BF37</f>
        <v>54</v>
      </c>
      <c r="BG53" s="174">
        <f>'20_Timeline'!BG37</f>
        <v>55</v>
      </c>
      <c r="BH53" s="174">
        <f>'20_Timeline'!BH37</f>
        <v>56</v>
      </c>
      <c r="BI53" s="174">
        <f>'20_Timeline'!BI37</f>
        <v>57</v>
      </c>
      <c r="BJ53" s="174">
        <f>'20_Timeline'!BJ37</f>
        <v>58</v>
      </c>
      <c r="BK53" s="174">
        <f>'20_Timeline'!BK37</f>
        <v>59</v>
      </c>
      <c r="BL53" s="174">
        <f>'20_Timeline'!BL37</f>
        <v>60</v>
      </c>
      <c r="BM53" s="174">
        <f>'20_Timeline'!BM37</f>
        <v>61</v>
      </c>
      <c r="BN53" s="174">
        <f>'20_Timeline'!BN37</f>
        <v>62</v>
      </c>
      <c r="BO53" s="174">
        <f>'20_Timeline'!BO37</f>
        <v>63</v>
      </c>
      <c r="BP53" s="174">
        <f>'20_Timeline'!BP37</f>
        <v>64</v>
      </c>
      <c r="BQ53" s="174">
        <f>'20_Timeline'!BQ37</f>
        <v>65</v>
      </c>
      <c r="BR53" s="174">
        <f>'20_Timeline'!BR37</f>
        <v>66</v>
      </c>
      <c r="BS53" s="174">
        <f>'20_Timeline'!BS37</f>
        <v>67</v>
      </c>
      <c r="BT53" s="174">
        <f>'20_Timeline'!BT37</f>
        <v>68</v>
      </c>
      <c r="BU53" s="174">
        <f>'20_Timeline'!BU37</f>
        <v>69</v>
      </c>
      <c r="BV53" s="174">
        <f>'20_Timeline'!BV37</f>
        <v>70</v>
      </c>
      <c r="BW53" s="174">
        <f>'20_Timeline'!BW37</f>
        <v>71</v>
      </c>
      <c r="BX53" s="174">
        <f>'20_Timeline'!BX37</f>
        <v>72</v>
      </c>
      <c r="BY53" s="174">
        <f>'20_Timeline'!BY37</f>
        <v>73</v>
      </c>
      <c r="BZ53" s="174">
        <f>'20_Timeline'!BZ37</f>
        <v>74</v>
      </c>
      <c r="CA53" s="174">
        <f>'20_Timeline'!CA37</f>
        <v>75</v>
      </c>
      <c r="CB53" s="174">
        <f>'20_Timeline'!CB37</f>
        <v>76</v>
      </c>
      <c r="CC53" s="174">
        <f>'20_Timeline'!CC37</f>
        <v>77</v>
      </c>
      <c r="CD53" s="174">
        <f>'20_Timeline'!CD37</f>
        <v>78</v>
      </c>
      <c r="CE53" s="174">
        <f>'20_Timeline'!CE37</f>
        <v>79</v>
      </c>
      <c r="CF53" s="174">
        <f>'20_Timeline'!CF37</f>
        <v>80</v>
      </c>
      <c r="CG53" s="174">
        <f>'20_Timeline'!CG37</f>
        <v>81</v>
      </c>
      <c r="CH53" s="174">
        <f>'20_Timeline'!CH37</f>
        <v>82</v>
      </c>
      <c r="CI53" s="174">
        <f>'20_Timeline'!CI37</f>
        <v>83</v>
      </c>
      <c r="CJ53" s="174">
        <f>'20_Timeline'!CJ37</f>
        <v>84</v>
      </c>
      <c r="CK53" s="174">
        <f>'20_Timeline'!CK37</f>
        <v>85</v>
      </c>
      <c r="CL53" s="174">
        <f>'20_Timeline'!CL37</f>
        <v>86</v>
      </c>
      <c r="CM53" s="174">
        <f>'20_Timeline'!CM37</f>
        <v>87</v>
      </c>
      <c r="CN53" s="174">
        <f>'20_Timeline'!CN37</f>
        <v>88</v>
      </c>
      <c r="CO53" s="174">
        <f>'20_Timeline'!CO37</f>
        <v>89</v>
      </c>
      <c r="CP53" s="174">
        <f>'20_Timeline'!CP37</f>
        <v>90</v>
      </c>
      <c r="CQ53" s="174">
        <f>'20_Timeline'!CQ37</f>
        <v>91</v>
      </c>
      <c r="CR53" s="174">
        <f>'20_Timeline'!CR37</f>
        <v>92</v>
      </c>
      <c r="CS53" s="174">
        <f>'20_Timeline'!CS37</f>
        <v>93</v>
      </c>
      <c r="CT53" s="174">
        <f>'20_Timeline'!CT37</f>
        <v>94</v>
      </c>
      <c r="CU53" s="174">
        <f>'20_Timeline'!CU37</f>
        <v>95</v>
      </c>
      <c r="CV53" s="174">
        <f>'20_Timeline'!CV37</f>
        <v>96</v>
      </c>
      <c r="CW53" s="174">
        <f>'20_Timeline'!CW37</f>
        <v>97</v>
      </c>
      <c r="CX53" s="174">
        <f>'20_Timeline'!CX37</f>
        <v>98</v>
      </c>
      <c r="CY53" s="174">
        <f>'20_Timeline'!CY37</f>
        <v>99</v>
      </c>
      <c r="CZ53" s="174">
        <f>'20_Timeline'!CZ37</f>
        <v>100</v>
      </c>
      <c r="DA53" s="174">
        <f>'20_Timeline'!DA37</f>
        <v>101</v>
      </c>
      <c r="DB53" s="174">
        <f>'20_Timeline'!DB37</f>
        <v>102</v>
      </c>
      <c r="DC53" s="174">
        <f>'20_Timeline'!DC37</f>
        <v>103</v>
      </c>
      <c r="DD53" s="174">
        <f>'20_Timeline'!DD37</f>
        <v>104</v>
      </c>
      <c r="DE53" s="174">
        <f>'20_Timeline'!DE37</f>
        <v>105</v>
      </c>
      <c r="DF53" s="174">
        <f>'20_Timeline'!DF37</f>
        <v>106</v>
      </c>
      <c r="DG53" s="174">
        <f>'20_Timeline'!DG37</f>
        <v>107</v>
      </c>
      <c r="DH53" s="174">
        <f>'20_Timeline'!DH37</f>
        <v>108</v>
      </c>
      <c r="DI53" s="174">
        <f>'20_Timeline'!DI37</f>
        <v>109</v>
      </c>
      <c r="DJ53" s="174">
        <f>'20_Timeline'!DJ37</f>
        <v>110</v>
      </c>
      <c r="DK53" s="174">
        <f>'20_Timeline'!DK37</f>
        <v>111</v>
      </c>
      <c r="DL53" s="174">
        <f>'20_Timeline'!DL37</f>
        <v>112</v>
      </c>
      <c r="DM53" s="174">
        <f>'20_Timeline'!DM37</f>
        <v>113</v>
      </c>
      <c r="DN53" s="174">
        <f>'20_Timeline'!DN37</f>
        <v>114</v>
      </c>
      <c r="DO53" s="174">
        <f>'20_Timeline'!DO37</f>
        <v>115</v>
      </c>
      <c r="DP53" s="174">
        <f>'20_Timeline'!DP37</f>
        <v>116</v>
      </c>
      <c r="DQ53" s="174">
        <f>'20_Timeline'!DQ37</f>
        <v>117</v>
      </c>
      <c r="DR53" s="174">
        <f>'20_Timeline'!DR37</f>
        <v>118</v>
      </c>
      <c r="DS53" s="174">
        <f>'20_Timeline'!DS37</f>
        <v>119</v>
      </c>
      <c r="DT53" s="174">
        <f>'20_Timeline'!DT37</f>
        <v>120</v>
      </c>
      <c r="DU53" s="174">
        <f>'20_Timeline'!DU37</f>
        <v>121</v>
      </c>
      <c r="DV53" s="174">
        <f>'20_Timeline'!DV37</f>
        <v>122</v>
      </c>
      <c r="DW53" s="174">
        <f>'20_Timeline'!DW37</f>
        <v>123</v>
      </c>
      <c r="DX53" s="174">
        <f>'20_Timeline'!DX37</f>
        <v>124</v>
      </c>
      <c r="DY53" s="174">
        <f>'20_Timeline'!DY37</f>
        <v>125</v>
      </c>
      <c r="DZ53" s="174">
        <f>'20_Timeline'!DZ37</f>
        <v>126</v>
      </c>
      <c r="EA53" s="174">
        <f>'20_Timeline'!EA37</f>
        <v>127</v>
      </c>
      <c r="EB53" s="174">
        <f>'20_Timeline'!EB37</f>
        <v>128</v>
      </c>
      <c r="EC53" s="174">
        <f>'20_Timeline'!EC37</f>
        <v>129</v>
      </c>
      <c r="ED53" s="174">
        <f>'20_Timeline'!ED37</f>
        <v>130</v>
      </c>
      <c r="EE53" s="174">
        <f>'20_Timeline'!EE37</f>
        <v>131</v>
      </c>
      <c r="EF53" s="174">
        <f>'20_Timeline'!EF37</f>
        <v>132</v>
      </c>
      <c r="EG53" s="174">
        <f>'20_Timeline'!EG37</f>
        <v>133</v>
      </c>
      <c r="EH53" s="174">
        <f>'20_Timeline'!EH37</f>
        <v>134</v>
      </c>
      <c r="EI53" s="174">
        <f>'20_Timeline'!EI37</f>
        <v>135</v>
      </c>
      <c r="EJ53" s="174">
        <f>'20_Timeline'!EJ37</f>
        <v>136</v>
      </c>
      <c r="EK53" s="174">
        <f>'20_Timeline'!EK37</f>
        <v>137</v>
      </c>
      <c r="EL53" s="174">
        <f>'20_Timeline'!EL37</f>
        <v>138</v>
      </c>
      <c r="EM53" s="174">
        <f>'20_Timeline'!EM37</f>
        <v>139</v>
      </c>
      <c r="EN53" s="174">
        <f>'20_Timeline'!EN37</f>
        <v>140</v>
      </c>
      <c r="EO53" s="174">
        <f>'20_Timeline'!EO37</f>
        <v>141</v>
      </c>
      <c r="EP53" s="174">
        <f>'20_Timeline'!EP37</f>
        <v>142</v>
      </c>
      <c r="EQ53" s="174">
        <f>'20_Timeline'!EQ37</f>
        <v>143</v>
      </c>
      <c r="ER53" s="174">
        <f>'20_Timeline'!ER37</f>
        <v>144</v>
      </c>
      <c r="ES53" s="174">
        <f>'20_Timeline'!ES37</f>
        <v>145</v>
      </c>
      <c r="ET53" s="174">
        <f>'20_Timeline'!ET37</f>
        <v>146</v>
      </c>
      <c r="EU53" s="174">
        <f>'20_Timeline'!EU37</f>
        <v>147</v>
      </c>
      <c r="EV53" s="174">
        <f>'20_Timeline'!EV37</f>
        <v>148</v>
      </c>
      <c r="EW53" s="174">
        <f>'20_Timeline'!EW37</f>
        <v>149</v>
      </c>
      <c r="EX53" s="174">
        <f>'20_Timeline'!EX37</f>
        <v>150</v>
      </c>
      <c r="EY53" s="174">
        <f>'20_Timeline'!EY37</f>
        <v>151</v>
      </c>
      <c r="EZ53" s="174">
        <f>'20_Timeline'!EZ37</f>
        <v>152</v>
      </c>
      <c r="FA53" s="174">
        <f>'20_Timeline'!FA37</f>
        <v>153</v>
      </c>
      <c r="FB53" s="174">
        <f>'20_Timeline'!FB37</f>
        <v>154</v>
      </c>
      <c r="FC53" s="174">
        <f>'20_Timeline'!FC37</f>
        <v>155</v>
      </c>
      <c r="FD53" s="174">
        <f>'20_Timeline'!FD37</f>
        <v>156</v>
      </c>
      <c r="FE53" s="174">
        <f>'20_Timeline'!FE37</f>
        <v>157</v>
      </c>
      <c r="FF53" s="174">
        <f>'20_Timeline'!FF37</f>
        <v>158</v>
      </c>
      <c r="FG53" s="174">
        <f>'20_Timeline'!FG37</f>
        <v>159</v>
      </c>
      <c r="FH53" s="174">
        <f>'20_Timeline'!FH37</f>
        <v>160</v>
      </c>
      <c r="FI53" s="174">
        <f>'20_Timeline'!FI37</f>
        <v>161</v>
      </c>
      <c r="FJ53" s="174">
        <f>'20_Timeline'!FJ37</f>
        <v>162</v>
      </c>
      <c r="FK53" s="174">
        <f>'20_Timeline'!FK37</f>
        <v>163</v>
      </c>
      <c r="FL53" s="174">
        <f>'20_Timeline'!FL37</f>
        <v>164</v>
      </c>
      <c r="FM53" s="174">
        <f>'20_Timeline'!FM37</f>
        <v>165</v>
      </c>
      <c r="FN53" s="174">
        <f>'20_Timeline'!FN37</f>
        <v>166</v>
      </c>
      <c r="FO53" s="174">
        <f>'20_Timeline'!FO37</f>
        <v>167</v>
      </c>
      <c r="FP53" s="174">
        <f>'20_Timeline'!FP37</f>
        <v>168</v>
      </c>
      <c r="FQ53" s="174">
        <f>'20_Timeline'!FQ37</f>
        <v>169</v>
      </c>
      <c r="FR53" s="174">
        <f>'20_Timeline'!FR37</f>
        <v>170</v>
      </c>
      <c r="FS53" s="174">
        <f>'20_Timeline'!FS37</f>
        <v>171</v>
      </c>
      <c r="FT53" s="174">
        <f>'20_Timeline'!FT37</f>
        <v>172</v>
      </c>
      <c r="FU53" s="174">
        <f>'20_Timeline'!FU37</f>
        <v>173</v>
      </c>
      <c r="FV53" s="174">
        <f>'20_Timeline'!FV37</f>
        <v>174</v>
      </c>
      <c r="FW53" s="174">
        <f>'20_Timeline'!FW37</f>
        <v>175</v>
      </c>
      <c r="FX53" s="174">
        <f>'20_Timeline'!FX37</f>
        <v>176</v>
      </c>
      <c r="FY53" s="174">
        <f>'20_Timeline'!FY37</f>
        <v>177</v>
      </c>
      <c r="FZ53" s="174">
        <f>'20_Timeline'!FZ37</f>
        <v>178</v>
      </c>
      <c r="GA53" s="174">
        <f>'20_Timeline'!GA37</f>
        <v>179</v>
      </c>
      <c r="GB53" s="174">
        <f>'20_Timeline'!GB37</f>
        <v>180</v>
      </c>
      <c r="GC53" s="174">
        <f>'20_Timeline'!GC37</f>
        <v>181</v>
      </c>
      <c r="GD53" s="174">
        <f>'20_Timeline'!GD37</f>
        <v>182</v>
      </c>
      <c r="GE53" s="174">
        <f>'20_Timeline'!GE37</f>
        <v>183</v>
      </c>
      <c r="GF53" s="174">
        <f>'20_Timeline'!GF37</f>
        <v>184</v>
      </c>
      <c r="GG53" s="174">
        <f>'20_Timeline'!GG37</f>
        <v>185</v>
      </c>
      <c r="GH53" s="174">
        <f>'20_Timeline'!GH37</f>
        <v>186</v>
      </c>
      <c r="GI53" s="174">
        <f>'20_Timeline'!GI37</f>
        <v>187</v>
      </c>
      <c r="GJ53" s="174">
        <f>'20_Timeline'!GJ37</f>
        <v>188</v>
      </c>
      <c r="GK53" s="174">
        <f>'20_Timeline'!GK37</f>
        <v>189</v>
      </c>
      <c r="GL53" s="174">
        <f>'20_Timeline'!GL37</f>
        <v>190</v>
      </c>
      <c r="GM53" s="174">
        <f>'20_Timeline'!GM37</f>
        <v>191</v>
      </c>
      <c r="GN53" s="174">
        <f>'20_Timeline'!GN37</f>
        <v>192</v>
      </c>
      <c r="GO53" s="174">
        <f>'20_Timeline'!GO37</f>
        <v>193</v>
      </c>
      <c r="GP53" s="174">
        <f>'20_Timeline'!GP37</f>
        <v>194</v>
      </c>
      <c r="GQ53" s="174">
        <f>'20_Timeline'!GQ37</f>
        <v>195</v>
      </c>
      <c r="GR53" s="174">
        <f>'20_Timeline'!GR37</f>
        <v>196</v>
      </c>
      <c r="GS53" s="174">
        <f>'20_Timeline'!GS37</f>
        <v>197</v>
      </c>
      <c r="GT53" s="174">
        <f>'20_Timeline'!GT37</f>
        <v>198</v>
      </c>
      <c r="GU53" s="174">
        <f>'20_Timeline'!GU37</f>
        <v>199</v>
      </c>
      <c r="GV53" s="174">
        <f>'20_Timeline'!GV37</f>
        <v>200</v>
      </c>
      <c r="GW53" s="174">
        <f>'20_Timeline'!GW37</f>
        <v>201</v>
      </c>
      <c r="GX53" s="174">
        <f>'20_Timeline'!GX37</f>
        <v>202</v>
      </c>
      <c r="GY53" s="174">
        <f>'20_Timeline'!GY37</f>
        <v>203</v>
      </c>
      <c r="GZ53" s="174">
        <f>'20_Timeline'!GZ37</f>
        <v>204</v>
      </c>
      <c r="HA53" s="174">
        <f>'20_Timeline'!HA37</f>
        <v>205</v>
      </c>
      <c r="HB53" s="174">
        <f>'20_Timeline'!HB37</f>
        <v>206</v>
      </c>
      <c r="HC53" s="174">
        <f>'20_Timeline'!HC37</f>
        <v>207</v>
      </c>
      <c r="HD53" s="174">
        <f>'20_Timeline'!HD37</f>
        <v>208</v>
      </c>
      <c r="HE53" s="174">
        <f>'20_Timeline'!HE37</f>
        <v>209</v>
      </c>
      <c r="HF53" s="174">
        <f>'20_Timeline'!HF37</f>
        <v>210</v>
      </c>
      <c r="HG53" s="174">
        <f>'20_Timeline'!HG37</f>
        <v>211</v>
      </c>
      <c r="HH53" s="174">
        <f>'20_Timeline'!HH37</f>
        <v>212</v>
      </c>
      <c r="HI53" s="174">
        <f>'20_Timeline'!HI37</f>
        <v>213</v>
      </c>
      <c r="HJ53" s="174">
        <f>'20_Timeline'!HJ37</f>
        <v>214</v>
      </c>
      <c r="HK53" s="174">
        <f>'20_Timeline'!HK37</f>
        <v>215</v>
      </c>
      <c r="HL53" s="174">
        <f>'20_Timeline'!HL37</f>
        <v>216</v>
      </c>
      <c r="HM53" s="174">
        <f>'20_Timeline'!HM37</f>
        <v>217</v>
      </c>
      <c r="HN53" s="174">
        <f>'20_Timeline'!HN37</f>
        <v>218</v>
      </c>
      <c r="HO53" s="174">
        <f>'20_Timeline'!HO37</f>
        <v>219</v>
      </c>
      <c r="HP53" s="174">
        <f>'20_Timeline'!HP37</f>
        <v>220</v>
      </c>
      <c r="HQ53" s="174">
        <f>'20_Timeline'!HQ37</f>
        <v>221</v>
      </c>
      <c r="HR53" s="174">
        <f>'20_Timeline'!HR37</f>
        <v>222</v>
      </c>
      <c r="HS53" s="174">
        <f>'20_Timeline'!HS37</f>
        <v>223</v>
      </c>
      <c r="HT53" s="174">
        <f>'20_Timeline'!HT37</f>
        <v>224</v>
      </c>
      <c r="HU53" s="174">
        <f>'20_Timeline'!HU37</f>
        <v>225</v>
      </c>
      <c r="HV53" s="174">
        <f>'20_Timeline'!HV37</f>
        <v>226</v>
      </c>
      <c r="HW53" s="174">
        <f>'20_Timeline'!HW37</f>
        <v>227</v>
      </c>
      <c r="HX53" s="174">
        <f>'20_Timeline'!HX37</f>
        <v>228</v>
      </c>
      <c r="HY53" s="174">
        <f>'20_Timeline'!HY37</f>
        <v>229</v>
      </c>
      <c r="HZ53" s="174">
        <f>'20_Timeline'!HZ37</f>
        <v>230</v>
      </c>
      <c r="IA53" s="174">
        <f>'20_Timeline'!IA37</f>
        <v>231</v>
      </c>
      <c r="IB53" s="174">
        <f>'20_Timeline'!IB37</f>
        <v>232</v>
      </c>
      <c r="IC53" s="174">
        <f>'20_Timeline'!IC37</f>
        <v>233</v>
      </c>
      <c r="ID53" s="174">
        <f>'20_Timeline'!ID37</f>
        <v>234</v>
      </c>
      <c r="IE53" s="174">
        <f>'20_Timeline'!IE37</f>
        <v>235</v>
      </c>
      <c r="IF53" s="174">
        <f>'20_Timeline'!IF37</f>
        <v>236</v>
      </c>
      <c r="IG53" s="174">
        <f>'20_Timeline'!IG37</f>
        <v>237</v>
      </c>
      <c r="IH53" s="174">
        <f>'20_Timeline'!IH37</f>
        <v>238</v>
      </c>
      <c r="II53" s="174">
        <f>'20_Timeline'!II37</f>
        <v>239</v>
      </c>
      <c r="IJ53" s="174">
        <f>'20_Timeline'!IJ37</f>
        <v>240</v>
      </c>
      <c r="IK53" s="174">
        <f>'20_Timeline'!IK37</f>
        <v>241</v>
      </c>
      <c r="IL53" s="174">
        <f>'20_Timeline'!IL37</f>
        <v>242</v>
      </c>
      <c r="IM53" s="174">
        <f>'20_Timeline'!IM37</f>
        <v>243</v>
      </c>
      <c r="IN53" s="174">
        <f>'20_Timeline'!IN37</f>
        <v>244</v>
      </c>
      <c r="IO53" s="174">
        <f>'20_Timeline'!IO37</f>
        <v>245</v>
      </c>
      <c r="IP53" s="174">
        <f>'20_Timeline'!IP37</f>
        <v>246</v>
      </c>
      <c r="IQ53" s="174">
        <f>'20_Timeline'!IQ37</f>
        <v>247</v>
      </c>
      <c r="IR53" s="174">
        <f>'20_Timeline'!IR37</f>
        <v>248</v>
      </c>
      <c r="IS53" s="174">
        <f>'20_Timeline'!IS37</f>
        <v>249</v>
      </c>
      <c r="IT53" s="174">
        <f>'20_Timeline'!IT37</f>
        <v>250</v>
      </c>
      <c r="IU53" s="174">
        <f>'20_Timeline'!IU37</f>
        <v>251</v>
      </c>
      <c r="IV53" s="174">
        <f>'20_Timeline'!IV37</f>
        <v>252</v>
      </c>
      <c r="IW53" s="174">
        <f>'20_Timeline'!IW37</f>
        <v>253</v>
      </c>
      <c r="IX53" s="174">
        <f>'20_Timeline'!IX37</f>
        <v>254</v>
      </c>
      <c r="IY53" s="174">
        <f>'20_Timeline'!IY37</f>
        <v>255</v>
      </c>
      <c r="IZ53" s="174">
        <f>'20_Timeline'!IZ37</f>
        <v>256</v>
      </c>
      <c r="JA53" s="174">
        <f>'20_Timeline'!JA37</f>
        <v>257</v>
      </c>
      <c r="JB53" s="174">
        <f>'20_Timeline'!JB37</f>
        <v>258</v>
      </c>
      <c r="JC53" s="174">
        <f>'20_Timeline'!JC37</f>
        <v>259</v>
      </c>
      <c r="JD53" s="174">
        <f>'20_Timeline'!JD37</f>
        <v>260</v>
      </c>
      <c r="JE53" s="174">
        <f>'20_Timeline'!JE37</f>
        <v>261</v>
      </c>
      <c r="JF53" s="174">
        <f>'20_Timeline'!JF37</f>
        <v>262</v>
      </c>
      <c r="JG53" s="174">
        <f>'20_Timeline'!JG37</f>
        <v>263</v>
      </c>
      <c r="JH53" s="174">
        <f>'20_Timeline'!JH37</f>
        <v>264</v>
      </c>
      <c r="JI53" s="174">
        <f>'20_Timeline'!JI37</f>
        <v>265</v>
      </c>
      <c r="JJ53" s="174">
        <f>'20_Timeline'!JJ37</f>
        <v>266</v>
      </c>
      <c r="JK53" s="174">
        <f>'20_Timeline'!JK37</f>
        <v>267</v>
      </c>
      <c r="JL53" s="174">
        <f>'20_Timeline'!JL37</f>
        <v>268</v>
      </c>
      <c r="JM53" s="174">
        <f>'20_Timeline'!JM37</f>
        <v>269</v>
      </c>
      <c r="JN53" s="174">
        <f>'20_Timeline'!JN37</f>
        <v>270</v>
      </c>
      <c r="JO53" s="174">
        <f>'20_Timeline'!JO37</f>
        <v>271</v>
      </c>
      <c r="JP53" s="174">
        <f>'20_Timeline'!JP37</f>
        <v>272</v>
      </c>
      <c r="JQ53" s="174">
        <f>'20_Timeline'!JQ37</f>
        <v>273</v>
      </c>
      <c r="JR53" s="174">
        <f>'20_Timeline'!JR37</f>
        <v>274</v>
      </c>
      <c r="JS53" s="174">
        <f>'20_Timeline'!JS37</f>
        <v>275</v>
      </c>
      <c r="JT53" s="174">
        <f>'20_Timeline'!JT37</f>
        <v>276</v>
      </c>
      <c r="JU53" s="174">
        <f>'20_Timeline'!JU37</f>
        <v>277</v>
      </c>
      <c r="JV53" s="174">
        <f>'20_Timeline'!JV37</f>
        <v>278</v>
      </c>
      <c r="JW53" s="174">
        <f>'20_Timeline'!JW37</f>
        <v>279</v>
      </c>
      <c r="JX53" s="174">
        <f>'20_Timeline'!JX37</f>
        <v>280</v>
      </c>
      <c r="JY53" s="174">
        <f>'20_Timeline'!JY37</f>
        <v>281</v>
      </c>
      <c r="JZ53" s="174">
        <f>'20_Timeline'!JZ37</f>
        <v>282</v>
      </c>
      <c r="KA53" s="174">
        <f>'20_Timeline'!KA37</f>
        <v>283</v>
      </c>
      <c r="KB53" s="174">
        <f>'20_Timeline'!KB37</f>
        <v>284</v>
      </c>
      <c r="KC53" s="174">
        <f>'20_Timeline'!KC37</f>
        <v>285</v>
      </c>
      <c r="KD53" s="174">
        <f>'20_Timeline'!KD37</f>
        <v>286</v>
      </c>
      <c r="KE53" s="174">
        <f>'20_Timeline'!KE37</f>
        <v>287</v>
      </c>
      <c r="KF53" s="174">
        <f>'20_Timeline'!KF37</f>
        <v>288</v>
      </c>
    </row>
    <row r="54">
      <c r="B54" s="36" t="inlineStr">
        <is>
          <t>Construction flag</t>
        </is>
      </c>
      <c r="C54" s="117" t="inlineStr">
        <is>
          <t>flag</t>
        </is>
      </c>
      <c r="D54" s="147">
        <f>SUM(E54:KF54)</f>
        <v>30</v>
      </c>
      <c r="E54" s="174">
        <f>'20_Timeline'!E39</f>
        <v>1</v>
      </c>
      <c r="F54" s="174">
        <f>'20_Timeline'!F39</f>
        <v>1</v>
      </c>
      <c r="G54" s="174">
        <f>'20_Timeline'!G39</f>
        <v>1</v>
      </c>
      <c r="H54" s="174">
        <f>'20_Timeline'!H39</f>
        <v>1</v>
      </c>
      <c r="I54" s="174">
        <f>'20_Timeline'!I39</f>
        <v>1</v>
      </c>
      <c r="J54" s="174">
        <f>'20_Timeline'!J39</f>
        <v>1</v>
      </c>
      <c r="K54" s="174">
        <f>'20_Timeline'!K39</f>
        <v>1</v>
      </c>
      <c r="L54" s="174">
        <f>'20_Timeline'!L39</f>
        <v>1</v>
      </c>
      <c r="M54" s="174">
        <f>'20_Timeline'!M39</f>
        <v>1</v>
      </c>
      <c r="N54" s="174">
        <f>'20_Timeline'!N39</f>
        <v>1</v>
      </c>
      <c r="O54" s="174">
        <f>'20_Timeline'!O39</f>
        <v>1</v>
      </c>
      <c r="P54" s="174">
        <f>'20_Timeline'!P39</f>
        <v>1</v>
      </c>
      <c r="Q54" s="174">
        <f>'20_Timeline'!Q39</f>
        <v>1</v>
      </c>
      <c r="R54" s="174">
        <f>'20_Timeline'!R39</f>
        <v>1</v>
      </c>
      <c r="S54" s="174">
        <f>'20_Timeline'!S39</f>
        <v>1</v>
      </c>
      <c r="T54" s="174">
        <f>'20_Timeline'!T39</f>
        <v>1</v>
      </c>
      <c r="U54" s="174">
        <f>'20_Timeline'!U39</f>
        <v>1</v>
      </c>
      <c r="V54" s="174">
        <f>'20_Timeline'!V39</f>
        <v>1</v>
      </c>
      <c r="W54" s="174">
        <f>'20_Timeline'!W39</f>
        <v>1</v>
      </c>
      <c r="X54" s="174">
        <f>'20_Timeline'!X39</f>
        <v>1</v>
      </c>
      <c r="Y54" s="174">
        <f>'20_Timeline'!Y39</f>
        <v>1</v>
      </c>
      <c r="Z54" s="174">
        <f>'20_Timeline'!Z39</f>
        <v>1</v>
      </c>
      <c r="AA54" s="174">
        <f>'20_Timeline'!AA39</f>
        <v>1</v>
      </c>
      <c r="AB54" s="174">
        <f>'20_Timeline'!AB39</f>
        <v>1</v>
      </c>
      <c r="AC54" s="174">
        <f>'20_Timeline'!AC39</f>
        <v>1</v>
      </c>
      <c r="AD54" s="174">
        <f>'20_Timeline'!AD39</f>
        <v>1</v>
      </c>
      <c r="AE54" s="174">
        <f>'20_Timeline'!AE39</f>
        <v>1</v>
      </c>
      <c r="AF54" s="174">
        <f>'20_Timeline'!AF39</f>
        <v>1</v>
      </c>
      <c r="AG54" s="174">
        <f>'20_Timeline'!AG39</f>
        <v>1</v>
      </c>
      <c r="AH54" s="174">
        <f>'20_Timeline'!AH39</f>
        <v>1</v>
      </c>
      <c r="AI54" s="174">
        <f>'20_Timeline'!AI39</f>
        <v>0</v>
      </c>
      <c r="AJ54" s="174">
        <f>'20_Timeline'!AJ39</f>
        <v>0</v>
      </c>
      <c r="AK54" s="174">
        <f>'20_Timeline'!AK39</f>
        <v>0</v>
      </c>
      <c r="AL54" s="174">
        <f>'20_Timeline'!AL39</f>
        <v>0</v>
      </c>
      <c r="AM54" s="174">
        <f>'20_Timeline'!AM39</f>
        <v>0</v>
      </c>
      <c r="AN54" s="174">
        <f>'20_Timeline'!AN39</f>
        <v>0</v>
      </c>
      <c r="AO54" s="174">
        <f>'20_Timeline'!AO39</f>
        <v>0</v>
      </c>
      <c r="AP54" s="174">
        <f>'20_Timeline'!AP39</f>
        <v>0</v>
      </c>
      <c r="AQ54" s="174">
        <f>'20_Timeline'!AQ39</f>
        <v>0</v>
      </c>
      <c r="AR54" s="174">
        <f>'20_Timeline'!AR39</f>
        <v>0</v>
      </c>
      <c r="AS54" s="174">
        <f>'20_Timeline'!AS39</f>
        <v>0</v>
      </c>
      <c r="AT54" s="174">
        <f>'20_Timeline'!AT39</f>
        <v>0</v>
      </c>
      <c r="AU54" s="174">
        <f>'20_Timeline'!AU39</f>
        <v>0</v>
      </c>
      <c r="AV54" s="174">
        <f>'20_Timeline'!AV39</f>
        <v>0</v>
      </c>
      <c r="AW54" s="174">
        <f>'20_Timeline'!AW39</f>
        <v>0</v>
      </c>
      <c r="AX54" s="174">
        <f>'20_Timeline'!AX39</f>
        <v>0</v>
      </c>
      <c r="AY54" s="174">
        <f>'20_Timeline'!AY39</f>
        <v>0</v>
      </c>
      <c r="AZ54" s="174">
        <f>'20_Timeline'!AZ39</f>
        <v>0</v>
      </c>
      <c r="BA54" s="174">
        <f>'20_Timeline'!BA39</f>
        <v>0</v>
      </c>
      <c r="BB54" s="174">
        <f>'20_Timeline'!BB39</f>
        <v>0</v>
      </c>
      <c r="BC54" s="174">
        <f>'20_Timeline'!BC39</f>
        <v>0</v>
      </c>
      <c r="BD54" s="174">
        <f>'20_Timeline'!BD39</f>
        <v>0</v>
      </c>
      <c r="BE54" s="174">
        <f>'20_Timeline'!BE39</f>
        <v>0</v>
      </c>
      <c r="BF54" s="174">
        <f>'20_Timeline'!BF39</f>
        <v>0</v>
      </c>
      <c r="BG54" s="174">
        <f>'20_Timeline'!BG39</f>
        <v>0</v>
      </c>
      <c r="BH54" s="174">
        <f>'20_Timeline'!BH39</f>
        <v>0</v>
      </c>
      <c r="BI54" s="174">
        <f>'20_Timeline'!BI39</f>
        <v>0</v>
      </c>
      <c r="BJ54" s="174">
        <f>'20_Timeline'!BJ39</f>
        <v>0</v>
      </c>
      <c r="BK54" s="174">
        <f>'20_Timeline'!BK39</f>
        <v>0</v>
      </c>
      <c r="BL54" s="174">
        <f>'20_Timeline'!BL39</f>
        <v>0</v>
      </c>
      <c r="BM54" s="174">
        <f>'20_Timeline'!BM39</f>
        <v>0</v>
      </c>
      <c r="BN54" s="174">
        <f>'20_Timeline'!BN39</f>
        <v>0</v>
      </c>
      <c r="BO54" s="174">
        <f>'20_Timeline'!BO39</f>
        <v>0</v>
      </c>
      <c r="BP54" s="174">
        <f>'20_Timeline'!BP39</f>
        <v>0</v>
      </c>
      <c r="BQ54" s="174">
        <f>'20_Timeline'!BQ39</f>
        <v>0</v>
      </c>
      <c r="BR54" s="174">
        <f>'20_Timeline'!BR39</f>
        <v>0</v>
      </c>
      <c r="BS54" s="174">
        <f>'20_Timeline'!BS39</f>
        <v>0</v>
      </c>
      <c r="BT54" s="174">
        <f>'20_Timeline'!BT39</f>
        <v>0</v>
      </c>
      <c r="BU54" s="174">
        <f>'20_Timeline'!BU39</f>
        <v>0</v>
      </c>
      <c r="BV54" s="174">
        <f>'20_Timeline'!BV39</f>
        <v>0</v>
      </c>
      <c r="BW54" s="174">
        <f>'20_Timeline'!BW39</f>
        <v>0</v>
      </c>
      <c r="BX54" s="174">
        <f>'20_Timeline'!BX39</f>
        <v>0</v>
      </c>
      <c r="BY54" s="174">
        <f>'20_Timeline'!BY39</f>
        <v>0</v>
      </c>
      <c r="BZ54" s="174">
        <f>'20_Timeline'!BZ39</f>
        <v>0</v>
      </c>
      <c r="CA54" s="174">
        <f>'20_Timeline'!CA39</f>
        <v>0</v>
      </c>
      <c r="CB54" s="174">
        <f>'20_Timeline'!CB39</f>
        <v>0</v>
      </c>
      <c r="CC54" s="174">
        <f>'20_Timeline'!CC39</f>
        <v>0</v>
      </c>
      <c r="CD54" s="174">
        <f>'20_Timeline'!CD39</f>
        <v>0</v>
      </c>
      <c r="CE54" s="174">
        <f>'20_Timeline'!CE39</f>
        <v>0</v>
      </c>
      <c r="CF54" s="174">
        <f>'20_Timeline'!CF39</f>
        <v>0</v>
      </c>
      <c r="CG54" s="174">
        <f>'20_Timeline'!CG39</f>
        <v>0</v>
      </c>
      <c r="CH54" s="174">
        <f>'20_Timeline'!CH39</f>
        <v>0</v>
      </c>
      <c r="CI54" s="174">
        <f>'20_Timeline'!CI39</f>
        <v>0</v>
      </c>
      <c r="CJ54" s="174">
        <f>'20_Timeline'!CJ39</f>
        <v>0</v>
      </c>
      <c r="CK54" s="174">
        <f>'20_Timeline'!CK39</f>
        <v>0</v>
      </c>
      <c r="CL54" s="174">
        <f>'20_Timeline'!CL39</f>
        <v>0</v>
      </c>
      <c r="CM54" s="174">
        <f>'20_Timeline'!CM39</f>
        <v>0</v>
      </c>
      <c r="CN54" s="174">
        <f>'20_Timeline'!CN39</f>
        <v>0</v>
      </c>
      <c r="CO54" s="174">
        <f>'20_Timeline'!CO39</f>
        <v>0</v>
      </c>
      <c r="CP54" s="174">
        <f>'20_Timeline'!CP39</f>
        <v>0</v>
      </c>
      <c r="CQ54" s="174">
        <f>'20_Timeline'!CQ39</f>
        <v>0</v>
      </c>
      <c r="CR54" s="174">
        <f>'20_Timeline'!CR39</f>
        <v>0</v>
      </c>
      <c r="CS54" s="174">
        <f>'20_Timeline'!CS39</f>
        <v>0</v>
      </c>
      <c r="CT54" s="174">
        <f>'20_Timeline'!CT39</f>
        <v>0</v>
      </c>
      <c r="CU54" s="174">
        <f>'20_Timeline'!CU39</f>
        <v>0</v>
      </c>
      <c r="CV54" s="174">
        <f>'20_Timeline'!CV39</f>
        <v>0</v>
      </c>
      <c r="CW54" s="174">
        <f>'20_Timeline'!CW39</f>
        <v>0</v>
      </c>
      <c r="CX54" s="174">
        <f>'20_Timeline'!CX39</f>
        <v>0</v>
      </c>
      <c r="CY54" s="174">
        <f>'20_Timeline'!CY39</f>
        <v>0</v>
      </c>
      <c r="CZ54" s="174">
        <f>'20_Timeline'!CZ39</f>
        <v>0</v>
      </c>
      <c r="DA54" s="174">
        <f>'20_Timeline'!DA39</f>
        <v>0</v>
      </c>
      <c r="DB54" s="174">
        <f>'20_Timeline'!DB39</f>
        <v>0</v>
      </c>
      <c r="DC54" s="174">
        <f>'20_Timeline'!DC39</f>
        <v>0</v>
      </c>
      <c r="DD54" s="174">
        <f>'20_Timeline'!DD39</f>
        <v>0</v>
      </c>
      <c r="DE54" s="174">
        <f>'20_Timeline'!DE39</f>
        <v>0</v>
      </c>
      <c r="DF54" s="174">
        <f>'20_Timeline'!DF39</f>
        <v>0</v>
      </c>
      <c r="DG54" s="174">
        <f>'20_Timeline'!DG39</f>
        <v>0</v>
      </c>
      <c r="DH54" s="174">
        <f>'20_Timeline'!DH39</f>
        <v>0</v>
      </c>
      <c r="DI54" s="174">
        <f>'20_Timeline'!DI39</f>
        <v>0</v>
      </c>
      <c r="DJ54" s="174">
        <f>'20_Timeline'!DJ39</f>
        <v>0</v>
      </c>
      <c r="DK54" s="174">
        <f>'20_Timeline'!DK39</f>
        <v>0</v>
      </c>
      <c r="DL54" s="174">
        <f>'20_Timeline'!DL39</f>
        <v>0</v>
      </c>
      <c r="DM54" s="174">
        <f>'20_Timeline'!DM39</f>
        <v>0</v>
      </c>
      <c r="DN54" s="174">
        <f>'20_Timeline'!DN39</f>
        <v>0</v>
      </c>
      <c r="DO54" s="174">
        <f>'20_Timeline'!DO39</f>
        <v>0</v>
      </c>
      <c r="DP54" s="174">
        <f>'20_Timeline'!DP39</f>
        <v>0</v>
      </c>
      <c r="DQ54" s="174">
        <f>'20_Timeline'!DQ39</f>
        <v>0</v>
      </c>
      <c r="DR54" s="174">
        <f>'20_Timeline'!DR39</f>
        <v>0</v>
      </c>
      <c r="DS54" s="174">
        <f>'20_Timeline'!DS39</f>
        <v>0</v>
      </c>
      <c r="DT54" s="174">
        <f>'20_Timeline'!DT39</f>
        <v>0</v>
      </c>
      <c r="DU54" s="174">
        <f>'20_Timeline'!DU39</f>
        <v>0</v>
      </c>
      <c r="DV54" s="174">
        <f>'20_Timeline'!DV39</f>
        <v>0</v>
      </c>
      <c r="DW54" s="174">
        <f>'20_Timeline'!DW39</f>
        <v>0</v>
      </c>
      <c r="DX54" s="174">
        <f>'20_Timeline'!DX39</f>
        <v>0</v>
      </c>
      <c r="DY54" s="174">
        <f>'20_Timeline'!DY39</f>
        <v>0</v>
      </c>
      <c r="DZ54" s="174">
        <f>'20_Timeline'!DZ39</f>
        <v>0</v>
      </c>
      <c r="EA54" s="174">
        <f>'20_Timeline'!EA39</f>
        <v>0</v>
      </c>
      <c r="EB54" s="174">
        <f>'20_Timeline'!EB39</f>
        <v>0</v>
      </c>
      <c r="EC54" s="174">
        <f>'20_Timeline'!EC39</f>
        <v>0</v>
      </c>
      <c r="ED54" s="174">
        <f>'20_Timeline'!ED39</f>
        <v>0</v>
      </c>
      <c r="EE54" s="174">
        <f>'20_Timeline'!EE39</f>
        <v>0</v>
      </c>
      <c r="EF54" s="174">
        <f>'20_Timeline'!EF39</f>
        <v>0</v>
      </c>
      <c r="EG54" s="174">
        <f>'20_Timeline'!EG39</f>
        <v>0</v>
      </c>
      <c r="EH54" s="174">
        <f>'20_Timeline'!EH39</f>
        <v>0</v>
      </c>
      <c r="EI54" s="174">
        <f>'20_Timeline'!EI39</f>
        <v>0</v>
      </c>
      <c r="EJ54" s="174">
        <f>'20_Timeline'!EJ39</f>
        <v>0</v>
      </c>
      <c r="EK54" s="174">
        <f>'20_Timeline'!EK39</f>
        <v>0</v>
      </c>
      <c r="EL54" s="174">
        <f>'20_Timeline'!EL39</f>
        <v>0</v>
      </c>
      <c r="EM54" s="174">
        <f>'20_Timeline'!EM39</f>
        <v>0</v>
      </c>
      <c r="EN54" s="174">
        <f>'20_Timeline'!EN39</f>
        <v>0</v>
      </c>
      <c r="EO54" s="174">
        <f>'20_Timeline'!EO39</f>
        <v>0</v>
      </c>
      <c r="EP54" s="174">
        <f>'20_Timeline'!EP39</f>
        <v>0</v>
      </c>
      <c r="EQ54" s="174">
        <f>'20_Timeline'!EQ39</f>
        <v>0</v>
      </c>
      <c r="ER54" s="174">
        <f>'20_Timeline'!ER39</f>
        <v>0</v>
      </c>
      <c r="ES54" s="174">
        <f>'20_Timeline'!ES39</f>
        <v>0</v>
      </c>
      <c r="ET54" s="174">
        <f>'20_Timeline'!ET39</f>
        <v>0</v>
      </c>
      <c r="EU54" s="174">
        <f>'20_Timeline'!EU39</f>
        <v>0</v>
      </c>
      <c r="EV54" s="174">
        <f>'20_Timeline'!EV39</f>
        <v>0</v>
      </c>
      <c r="EW54" s="174">
        <f>'20_Timeline'!EW39</f>
        <v>0</v>
      </c>
      <c r="EX54" s="174">
        <f>'20_Timeline'!EX39</f>
        <v>0</v>
      </c>
      <c r="EY54" s="174">
        <f>'20_Timeline'!EY39</f>
        <v>0</v>
      </c>
      <c r="EZ54" s="174">
        <f>'20_Timeline'!EZ39</f>
        <v>0</v>
      </c>
      <c r="FA54" s="174">
        <f>'20_Timeline'!FA39</f>
        <v>0</v>
      </c>
      <c r="FB54" s="174">
        <f>'20_Timeline'!FB39</f>
        <v>0</v>
      </c>
      <c r="FC54" s="174">
        <f>'20_Timeline'!FC39</f>
        <v>0</v>
      </c>
      <c r="FD54" s="174">
        <f>'20_Timeline'!FD39</f>
        <v>0</v>
      </c>
      <c r="FE54" s="174">
        <f>'20_Timeline'!FE39</f>
        <v>0</v>
      </c>
      <c r="FF54" s="174">
        <f>'20_Timeline'!FF39</f>
        <v>0</v>
      </c>
      <c r="FG54" s="174">
        <f>'20_Timeline'!FG39</f>
        <v>0</v>
      </c>
      <c r="FH54" s="174">
        <f>'20_Timeline'!FH39</f>
        <v>0</v>
      </c>
      <c r="FI54" s="174">
        <f>'20_Timeline'!FI39</f>
        <v>0</v>
      </c>
      <c r="FJ54" s="174">
        <f>'20_Timeline'!FJ39</f>
        <v>0</v>
      </c>
      <c r="FK54" s="174">
        <f>'20_Timeline'!FK39</f>
        <v>0</v>
      </c>
      <c r="FL54" s="174">
        <f>'20_Timeline'!FL39</f>
        <v>0</v>
      </c>
      <c r="FM54" s="174">
        <f>'20_Timeline'!FM39</f>
        <v>0</v>
      </c>
      <c r="FN54" s="174">
        <f>'20_Timeline'!FN39</f>
        <v>0</v>
      </c>
      <c r="FO54" s="174">
        <f>'20_Timeline'!FO39</f>
        <v>0</v>
      </c>
      <c r="FP54" s="174">
        <f>'20_Timeline'!FP39</f>
        <v>0</v>
      </c>
      <c r="FQ54" s="174">
        <f>'20_Timeline'!FQ39</f>
        <v>0</v>
      </c>
      <c r="FR54" s="174">
        <f>'20_Timeline'!FR39</f>
        <v>0</v>
      </c>
      <c r="FS54" s="174">
        <f>'20_Timeline'!FS39</f>
        <v>0</v>
      </c>
      <c r="FT54" s="174">
        <f>'20_Timeline'!FT39</f>
        <v>0</v>
      </c>
      <c r="FU54" s="174">
        <f>'20_Timeline'!FU39</f>
        <v>0</v>
      </c>
      <c r="FV54" s="174">
        <f>'20_Timeline'!FV39</f>
        <v>0</v>
      </c>
      <c r="FW54" s="174">
        <f>'20_Timeline'!FW39</f>
        <v>0</v>
      </c>
      <c r="FX54" s="174">
        <f>'20_Timeline'!FX39</f>
        <v>0</v>
      </c>
      <c r="FY54" s="174">
        <f>'20_Timeline'!FY39</f>
        <v>0</v>
      </c>
      <c r="FZ54" s="174">
        <f>'20_Timeline'!FZ39</f>
        <v>0</v>
      </c>
      <c r="GA54" s="174">
        <f>'20_Timeline'!GA39</f>
        <v>0</v>
      </c>
      <c r="GB54" s="174">
        <f>'20_Timeline'!GB39</f>
        <v>0</v>
      </c>
      <c r="GC54" s="174">
        <f>'20_Timeline'!GC39</f>
        <v>0</v>
      </c>
      <c r="GD54" s="174">
        <f>'20_Timeline'!GD39</f>
        <v>0</v>
      </c>
      <c r="GE54" s="174">
        <f>'20_Timeline'!GE39</f>
        <v>0</v>
      </c>
      <c r="GF54" s="174">
        <f>'20_Timeline'!GF39</f>
        <v>0</v>
      </c>
      <c r="GG54" s="174">
        <f>'20_Timeline'!GG39</f>
        <v>0</v>
      </c>
      <c r="GH54" s="174">
        <f>'20_Timeline'!GH39</f>
        <v>0</v>
      </c>
      <c r="GI54" s="174">
        <f>'20_Timeline'!GI39</f>
        <v>0</v>
      </c>
      <c r="GJ54" s="174">
        <f>'20_Timeline'!GJ39</f>
        <v>0</v>
      </c>
      <c r="GK54" s="174">
        <f>'20_Timeline'!GK39</f>
        <v>0</v>
      </c>
      <c r="GL54" s="174">
        <f>'20_Timeline'!GL39</f>
        <v>0</v>
      </c>
      <c r="GM54" s="174">
        <f>'20_Timeline'!GM39</f>
        <v>0</v>
      </c>
      <c r="GN54" s="174">
        <f>'20_Timeline'!GN39</f>
        <v>0</v>
      </c>
      <c r="GO54" s="174">
        <f>'20_Timeline'!GO39</f>
        <v>0</v>
      </c>
      <c r="GP54" s="174">
        <f>'20_Timeline'!GP39</f>
        <v>0</v>
      </c>
      <c r="GQ54" s="174">
        <f>'20_Timeline'!GQ39</f>
        <v>0</v>
      </c>
      <c r="GR54" s="174">
        <f>'20_Timeline'!GR39</f>
        <v>0</v>
      </c>
      <c r="GS54" s="174">
        <f>'20_Timeline'!GS39</f>
        <v>0</v>
      </c>
      <c r="GT54" s="174">
        <f>'20_Timeline'!GT39</f>
        <v>0</v>
      </c>
      <c r="GU54" s="174">
        <f>'20_Timeline'!GU39</f>
        <v>0</v>
      </c>
      <c r="GV54" s="174">
        <f>'20_Timeline'!GV39</f>
        <v>0</v>
      </c>
      <c r="GW54" s="174">
        <f>'20_Timeline'!GW39</f>
        <v>0</v>
      </c>
      <c r="GX54" s="174">
        <f>'20_Timeline'!GX39</f>
        <v>0</v>
      </c>
      <c r="GY54" s="174">
        <f>'20_Timeline'!GY39</f>
        <v>0</v>
      </c>
      <c r="GZ54" s="174">
        <f>'20_Timeline'!GZ39</f>
        <v>0</v>
      </c>
      <c r="HA54" s="174">
        <f>'20_Timeline'!HA39</f>
        <v>0</v>
      </c>
      <c r="HB54" s="174">
        <f>'20_Timeline'!HB39</f>
        <v>0</v>
      </c>
      <c r="HC54" s="174">
        <f>'20_Timeline'!HC39</f>
        <v>0</v>
      </c>
      <c r="HD54" s="174">
        <f>'20_Timeline'!HD39</f>
        <v>0</v>
      </c>
      <c r="HE54" s="174">
        <f>'20_Timeline'!HE39</f>
        <v>0</v>
      </c>
      <c r="HF54" s="174">
        <f>'20_Timeline'!HF39</f>
        <v>0</v>
      </c>
      <c r="HG54" s="174">
        <f>'20_Timeline'!HG39</f>
        <v>0</v>
      </c>
      <c r="HH54" s="174">
        <f>'20_Timeline'!HH39</f>
        <v>0</v>
      </c>
      <c r="HI54" s="174">
        <f>'20_Timeline'!HI39</f>
        <v>0</v>
      </c>
      <c r="HJ54" s="174">
        <f>'20_Timeline'!HJ39</f>
        <v>0</v>
      </c>
      <c r="HK54" s="174">
        <f>'20_Timeline'!HK39</f>
        <v>0</v>
      </c>
      <c r="HL54" s="174">
        <f>'20_Timeline'!HL39</f>
        <v>0</v>
      </c>
      <c r="HM54" s="174">
        <f>'20_Timeline'!HM39</f>
        <v>0</v>
      </c>
      <c r="HN54" s="174">
        <f>'20_Timeline'!HN39</f>
        <v>0</v>
      </c>
      <c r="HO54" s="174">
        <f>'20_Timeline'!HO39</f>
        <v>0</v>
      </c>
      <c r="HP54" s="174">
        <f>'20_Timeline'!HP39</f>
        <v>0</v>
      </c>
      <c r="HQ54" s="174">
        <f>'20_Timeline'!HQ39</f>
        <v>0</v>
      </c>
      <c r="HR54" s="174">
        <f>'20_Timeline'!HR39</f>
        <v>0</v>
      </c>
      <c r="HS54" s="174">
        <f>'20_Timeline'!HS39</f>
        <v>0</v>
      </c>
      <c r="HT54" s="174">
        <f>'20_Timeline'!HT39</f>
        <v>0</v>
      </c>
      <c r="HU54" s="174">
        <f>'20_Timeline'!HU39</f>
        <v>0</v>
      </c>
      <c r="HV54" s="174">
        <f>'20_Timeline'!HV39</f>
        <v>0</v>
      </c>
      <c r="HW54" s="174">
        <f>'20_Timeline'!HW39</f>
        <v>0</v>
      </c>
      <c r="HX54" s="174">
        <f>'20_Timeline'!HX39</f>
        <v>0</v>
      </c>
      <c r="HY54" s="174">
        <f>'20_Timeline'!HY39</f>
        <v>0</v>
      </c>
      <c r="HZ54" s="174">
        <f>'20_Timeline'!HZ39</f>
        <v>0</v>
      </c>
      <c r="IA54" s="174">
        <f>'20_Timeline'!IA39</f>
        <v>0</v>
      </c>
      <c r="IB54" s="174">
        <f>'20_Timeline'!IB39</f>
        <v>0</v>
      </c>
      <c r="IC54" s="174">
        <f>'20_Timeline'!IC39</f>
        <v>0</v>
      </c>
      <c r="ID54" s="174">
        <f>'20_Timeline'!ID39</f>
        <v>0</v>
      </c>
      <c r="IE54" s="174">
        <f>'20_Timeline'!IE39</f>
        <v>0</v>
      </c>
      <c r="IF54" s="174">
        <f>'20_Timeline'!IF39</f>
        <v>0</v>
      </c>
      <c r="IG54" s="174">
        <f>'20_Timeline'!IG39</f>
        <v>0</v>
      </c>
      <c r="IH54" s="174">
        <f>'20_Timeline'!IH39</f>
        <v>0</v>
      </c>
      <c r="II54" s="174">
        <f>'20_Timeline'!II39</f>
        <v>0</v>
      </c>
      <c r="IJ54" s="174">
        <f>'20_Timeline'!IJ39</f>
        <v>0</v>
      </c>
      <c r="IK54" s="174">
        <f>'20_Timeline'!IK39</f>
        <v>0</v>
      </c>
      <c r="IL54" s="174">
        <f>'20_Timeline'!IL39</f>
        <v>0</v>
      </c>
      <c r="IM54" s="174">
        <f>'20_Timeline'!IM39</f>
        <v>0</v>
      </c>
      <c r="IN54" s="174">
        <f>'20_Timeline'!IN39</f>
        <v>0</v>
      </c>
      <c r="IO54" s="174">
        <f>'20_Timeline'!IO39</f>
        <v>0</v>
      </c>
      <c r="IP54" s="174">
        <f>'20_Timeline'!IP39</f>
        <v>0</v>
      </c>
      <c r="IQ54" s="174">
        <f>'20_Timeline'!IQ39</f>
        <v>0</v>
      </c>
      <c r="IR54" s="174">
        <f>'20_Timeline'!IR39</f>
        <v>0</v>
      </c>
      <c r="IS54" s="174">
        <f>'20_Timeline'!IS39</f>
        <v>0</v>
      </c>
      <c r="IT54" s="174">
        <f>'20_Timeline'!IT39</f>
        <v>0</v>
      </c>
      <c r="IU54" s="174">
        <f>'20_Timeline'!IU39</f>
        <v>0</v>
      </c>
      <c r="IV54" s="174">
        <f>'20_Timeline'!IV39</f>
        <v>0</v>
      </c>
      <c r="IW54" s="174">
        <f>'20_Timeline'!IW39</f>
        <v>0</v>
      </c>
      <c r="IX54" s="174">
        <f>'20_Timeline'!IX39</f>
        <v>0</v>
      </c>
      <c r="IY54" s="174">
        <f>'20_Timeline'!IY39</f>
        <v>0</v>
      </c>
      <c r="IZ54" s="174">
        <f>'20_Timeline'!IZ39</f>
        <v>0</v>
      </c>
      <c r="JA54" s="174">
        <f>'20_Timeline'!JA39</f>
        <v>0</v>
      </c>
      <c r="JB54" s="174">
        <f>'20_Timeline'!JB39</f>
        <v>0</v>
      </c>
      <c r="JC54" s="174">
        <f>'20_Timeline'!JC39</f>
        <v>0</v>
      </c>
      <c r="JD54" s="174">
        <f>'20_Timeline'!JD39</f>
        <v>0</v>
      </c>
      <c r="JE54" s="174">
        <f>'20_Timeline'!JE39</f>
        <v>0</v>
      </c>
      <c r="JF54" s="174">
        <f>'20_Timeline'!JF39</f>
        <v>0</v>
      </c>
      <c r="JG54" s="174">
        <f>'20_Timeline'!JG39</f>
        <v>0</v>
      </c>
      <c r="JH54" s="174">
        <f>'20_Timeline'!JH39</f>
        <v>0</v>
      </c>
      <c r="JI54" s="174">
        <f>'20_Timeline'!JI39</f>
        <v>0</v>
      </c>
      <c r="JJ54" s="174">
        <f>'20_Timeline'!JJ39</f>
        <v>0</v>
      </c>
      <c r="JK54" s="174">
        <f>'20_Timeline'!JK39</f>
        <v>0</v>
      </c>
      <c r="JL54" s="174">
        <f>'20_Timeline'!JL39</f>
        <v>0</v>
      </c>
      <c r="JM54" s="174">
        <f>'20_Timeline'!JM39</f>
        <v>0</v>
      </c>
      <c r="JN54" s="174">
        <f>'20_Timeline'!JN39</f>
        <v>0</v>
      </c>
      <c r="JO54" s="174">
        <f>'20_Timeline'!JO39</f>
        <v>0</v>
      </c>
      <c r="JP54" s="174">
        <f>'20_Timeline'!JP39</f>
        <v>0</v>
      </c>
      <c r="JQ54" s="174">
        <f>'20_Timeline'!JQ39</f>
        <v>0</v>
      </c>
      <c r="JR54" s="174">
        <f>'20_Timeline'!JR39</f>
        <v>0</v>
      </c>
      <c r="JS54" s="174">
        <f>'20_Timeline'!JS39</f>
        <v>0</v>
      </c>
      <c r="JT54" s="174">
        <f>'20_Timeline'!JT39</f>
        <v>0</v>
      </c>
      <c r="JU54" s="174">
        <f>'20_Timeline'!JU39</f>
        <v>0</v>
      </c>
      <c r="JV54" s="174">
        <f>'20_Timeline'!JV39</f>
        <v>0</v>
      </c>
      <c r="JW54" s="174">
        <f>'20_Timeline'!JW39</f>
        <v>0</v>
      </c>
      <c r="JX54" s="174">
        <f>'20_Timeline'!JX39</f>
        <v>0</v>
      </c>
      <c r="JY54" s="174">
        <f>'20_Timeline'!JY39</f>
        <v>0</v>
      </c>
      <c r="JZ54" s="174">
        <f>'20_Timeline'!JZ39</f>
        <v>0</v>
      </c>
      <c r="KA54" s="174">
        <f>'20_Timeline'!KA39</f>
        <v>0</v>
      </c>
      <c r="KB54" s="174">
        <f>'20_Timeline'!KB39</f>
        <v>0</v>
      </c>
      <c r="KC54" s="174">
        <f>'20_Timeline'!KC39</f>
        <v>0</v>
      </c>
      <c r="KD54" s="174">
        <f>'20_Timeline'!KD39</f>
        <v>0</v>
      </c>
      <c r="KE54" s="174">
        <f>'20_Timeline'!KE39</f>
        <v>0</v>
      </c>
      <c r="KF54" s="174">
        <f>'20_Timeline'!KF39</f>
        <v>0</v>
      </c>
    </row>
    <row r="55">
      <c r="B55" s="36" t="inlineStr">
        <is>
          <t>Months after completion k</t>
        </is>
      </c>
      <c r="C55" s="117" t="inlineStr">
        <is>
          <t>no.</t>
        </is>
      </c>
      <c r="E55" s="174">
        <f>'20_Timeline'!E40</f>
        <v>-29</v>
      </c>
      <c r="F55" s="174">
        <f>'20_Timeline'!F40</f>
        <v>-28</v>
      </c>
      <c r="G55" s="174">
        <f>'20_Timeline'!G40</f>
        <v>-27</v>
      </c>
      <c r="H55" s="174">
        <f>'20_Timeline'!H40</f>
        <v>-26</v>
      </c>
      <c r="I55" s="174">
        <f>'20_Timeline'!I40</f>
        <v>-25</v>
      </c>
      <c r="J55" s="174">
        <f>'20_Timeline'!J40</f>
        <v>-24</v>
      </c>
      <c r="K55" s="174">
        <f>'20_Timeline'!K40</f>
        <v>-23</v>
      </c>
      <c r="L55" s="174">
        <f>'20_Timeline'!L40</f>
        <v>-22</v>
      </c>
      <c r="M55" s="174">
        <f>'20_Timeline'!M40</f>
        <v>-21</v>
      </c>
      <c r="N55" s="174">
        <f>'20_Timeline'!N40</f>
        <v>-20</v>
      </c>
      <c r="O55" s="174">
        <f>'20_Timeline'!O40</f>
        <v>-19</v>
      </c>
      <c r="P55" s="174">
        <f>'20_Timeline'!P40</f>
        <v>-18</v>
      </c>
      <c r="Q55" s="174">
        <f>'20_Timeline'!Q40</f>
        <v>-17</v>
      </c>
      <c r="R55" s="174">
        <f>'20_Timeline'!R40</f>
        <v>-16</v>
      </c>
      <c r="S55" s="174">
        <f>'20_Timeline'!S40</f>
        <v>-15</v>
      </c>
      <c r="T55" s="174">
        <f>'20_Timeline'!T40</f>
        <v>-14</v>
      </c>
      <c r="U55" s="174">
        <f>'20_Timeline'!U40</f>
        <v>-13</v>
      </c>
      <c r="V55" s="174">
        <f>'20_Timeline'!V40</f>
        <v>-12</v>
      </c>
      <c r="W55" s="174">
        <f>'20_Timeline'!W40</f>
        <v>-11</v>
      </c>
      <c r="X55" s="174">
        <f>'20_Timeline'!X40</f>
        <v>-10</v>
      </c>
      <c r="Y55" s="174">
        <f>'20_Timeline'!Y40</f>
        <v>-9</v>
      </c>
      <c r="Z55" s="174">
        <f>'20_Timeline'!Z40</f>
        <v>-8</v>
      </c>
      <c r="AA55" s="174">
        <f>'20_Timeline'!AA40</f>
        <v>-7</v>
      </c>
      <c r="AB55" s="174">
        <f>'20_Timeline'!AB40</f>
        <v>-6</v>
      </c>
      <c r="AC55" s="174">
        <f>'20_Timeline'!AC40</f>
        <v>-5</v>
      </c>
      <c r="AD55" s="174">
        <f>'20_Timeline'!AD40</f>
        <v>-4</v>
      </c>
      <c r="AE55" s="174">
        <f>'20_Timeline'!AE40</f>
        <v>-3</v>
      </c>
      <c r="AF55" s="174">
        <f>'20_Timeline'!AF40</f>
        <v>-2</v>
      </c>
      <c r="AG55" s="174">
        <f>'20_Timeline'!AG40</f>
        <v>-1</v>
      </c>
      <c r="AH55" s="174">
        <f>'20_Timeline'!AH40</f>
        <v>0</v>
      </c>
      <c r="AI55" s="174">
        <f>'20_Timeline'!AI40</f>
        <v>1</v>
      </c>
      <c r="AJ55" s="174">
        <f>'20_Timeline'!AJ40</f>
        <v>2</v>
      </c>
      <c r="AK55" s="174">
        <f>'20_Timeline'!AK40</f>
        <v>3</v>
      </c>
      <c r="AL55" s="174">
        <f>'20_Timeline'!AL40</f>
        <v>4</v>
      </c>
      <c r="AM55" s="174">
        <f>'20_Timeline'!AM40</f>
        <v>5</v>
      </c>
      <c r="AN55" s="174">
        <f>'20_Timeline'!AN40</f>
        <v>6</v>
      </c>
      <c r="AO55" s="174">
        <f>'20_Timeline'!AO40</f>
        <v>7</v>
      </c>
      <c r="AP55" s="174">
        <f>'20_Timeline'!AP40</f>
        <v>8</v>
      </c>
      <c r="AQ55" s="174">
        <f>'20_Timeline'!AQ40</f>
        <v>9</v>
      </c>
      <c r="AR55" s="174">
        <f>'20_Timeline'!AR40</f>
        <v>10</v>
      </c>
      <c r="AS55" s="174">
        <f>'20_Timeline'!AS40</f>
        <v>11</v>
      </c>
      <c r="AT55" s="174">
        <f>'20_Timeline'!AT40</f>
        <v>12</v>
      </c>
      <c r="AU55" s="174">
        <f>'20_Timeline'!AU40</f>
        <v>13</v>
      </c>
      <c r="AV55" s="174">
        <f>'20_Timeline'!AV40</f>
        <v>14</v>
      </c>
      <c r="AW55" s="174">
        <f>'20_Timeline'!AW40</f>
        <v>15</v>
      </c>
      <c r="AX55" s="174">
        <f>'20_Timeline'!AX40</f>
        <v>16</v>
      </c>
      <c r="AY55" s="174">
        <f>'20_Timeline'!AY40</f>
        <v>17</v>
      </c>
      <c r="AZ55" s="174">
        <f>'20_Timeline'!AZ40</f>
        <v>18</v>
      </c>
      <c r="BA55" s="174">
        <f>'20_Timeline'!BA40</f>
        <v>19</v>
      </c>
      <c r="BB55" s="174">
        <f>'20_Timeline'!BB40</f>
        <v>20</v>
      </c>
      <c r="BC55" s="174">
        <f>'20_Timeline'!BC40</f>
        <v>21</v>
      </c>
      <c r="BD55" s="174">
        <f>'20_Timeline'!BD40</f>
        <v>22</v>
      </c>
      <c r="BE55" s="174">
        <f>'20_Timeline'!BE40</f>
        <v>23</v>
      </c>
      <c r="BF55" s="174">
        <f>'20_Timeline'!BF40</f>
        <v>24</v>
      </c>
      <c r="BG55" s="174">
        <f>'20_Timeline'!BG40</f>
        <v>25</v>
      </c>
      <c r="BH55" s="174">
        <f>'20_Timeline'!BH40</f>
        <v>26</v>
      </c>
      <c r="BI55" s="174">
        <f>'20_Timeline'!BI40</f>
        <v>27</v>
      </c>
      <c r="BJ55" s="174">
        <f>'20_Timeline'!BJ40</f>
        <v>28</v>
      </c>
      <c r="BK55" s="174">
        <f>'20_Timeline'!BK40</f>
        <v>29</v>
      </c>
      <c r="BL55" s="174">
        <f>'20_Timeline'!BL40</f>
        <v>30</v>
      </c>
      <c r="BM55" s="174">
        <f>'20_Timeline'!BM40</f>
        <v>31</v>
      </c>
      <c r="BN55" s="174">
        <f>'20_Timeline'!BN40</f>
        <v>32</v>
      </c>
      <c r="BO55" s="174">
        <f>'20_Timeline'!BO40</f>
        <v>33</v>
      </c>
      <c r="BP55" s="174">
        <f>'20_Timeline'!BP40</f>
        <v>34</v>
      </c>
      <c r="BQ55" s="174">
        <f>'20_Timeline'!BQ40</f>
        <v>35</v>
      </c>
      <c r="BR55" s="174">
        <f>'20_Timeline'!BR40</f>
        <v>36</v>
      </c>
      <c r="BS55" s="174">
        <f>'20_Timeline'!BS40</f>
        <v>37</v>
      </c>
      <c r="BT55" s="174">
        <f>'20_Timeline'!BT40</f>
        <v>38</v>
      </c>
      <c r="BU55" s="174">
        <f>'20_Timeline'!BU40</f>
        <v>39</v>
      </c>
      <c r="BV55" s="174">
        <f>'20_Timeline'!BV40</f>
        <v>40</v>
      </c>
      <c r="BW55" s="174">
        <f>'20_Timeline'!BW40</f>
        <v>41</v>
      </c>
      <c r="BX55" s="174">
        <f>'20_Timeline'!BX40</f>
        <v>42</v>
      </c>
      <c r="BY55" s="174">
        <f>'20_Timeline'!BY40</f>
        <v>43</v>
      </c>
      <c r="BZ55" s="174">
        <f>'20_Timeline'!BZ40</f>
        <v>44</v>
      </c>
      <c r="CA55" s="174">
        <f>'20_Timeline'!CA40</f>
        <v>45</v>
      </c>
      <c r="CB55" s="174">
        <f>'20_Timeline'!CB40</f>
        <v>46</v>
      </c>
      <c r="CC55" s="174">
        <f>'20_Timeline'!CC40</f>
        <v>47</v>
      </c>
      <c r="CD55" s="174">
        <f>'20_Timeline'!CD40</f>
        <v>48</v>
      </c>
      <c r="CE55" s="174">
        <f>'20_Timeline'!CE40</f>
        <v>49</v>
      </c>
      <c r="CF55" s="174">
        <f>'20_Timeline'!CF40</f>
        <v>50</v>
      </c>
      <c r="CG55" s="174">
        <f>'20_Timeline'!CG40</f>
        <v>51</v>
      </c>
      <c r="CH55" s="174">
        <f>'20_Timeline'!CH40</f>
        <v>52</v>
      </c>
      <c r="CI55" s="174">
        <f>'20_Timeline'!CI40</f>
        <v>53</v>
      </c>
      <c r="CJ55" s="174">
        <f>'20_Timeline'!CJ40</f>
        <v>54</v>
      </c>
      <c r="CK55" s="174">
        <f>'20_Timeline'!CK40</f>
        <v>55</v>
      </c>
      <c r="CL55" s="174">
        <f>'20_Timeline'!CL40</f>
        <v>56</v>
      </c>
      <c r="CM55" s="174">
        <f>'20_Timeline'!CM40</f>
        <v>57</v>
      </c>
      <c r="CN55" s="174">
        <f>'20_Timeline'!CN40</f>
        <v>58</v>
      </c>
      <c r="CO55" s="174">
        <f>'20_Timeline'!CO40</f>
        <v>59</v>
      </c>
      <c r="CP55" s="174">
        <f>'20_Timeline'!CP40</f>
        <v>60</v>
      </c>
      <c r="CQ55" s="174">
        <f>'20_Timeline'!CQ40</f>
        <v>61</v>
      </c>
      <c r="CR55" s="174">
        <f>'20_Timeline'!CR40</f>
        <v>62</v>
      </c>
      <c r="CS55" s="174">
        <f>'20_Timeline'!CS40</f>
        <v>63</v>
      </c>
      <c r="CT55" s="174">
        <f>'20_Timeline'!CT40</f>
        <v>64</v>
      </c>
      <c r="CU55" s="174">
        <f>'20_Timeline'!CU40</f>
        <v>65</v>
      </c>
      <c r="CV55" s="174">
        <f>'20_Timeline'!CV40</f>
        <v>66</v>
      </c>
      <c r="CW55" s="174">
        <f>'20_Timeline'!CW40</f>
        <v>67</v>
      </c>
      <c r="CX55" s="174">
        <f>'20_Timeline'!CX40</f>
        <v>68</v>
      </c>
      <c r="CY55" s="174">
        <f>'20_Timeline'!CY40</f>
        <v>69</v>
      </c>
      <c r="CZ55" s="174">
        <f>'20_Timeline'!CZ40</f>
        <v>70</v>
      </c>
      <c r="DA55" s="174">
        <f>'20_Timeline'!DA40</f>
        <v>71</v>
      </c>
      <c r="DB55" s="174">
        <f>'20_Timeline'!DB40</f>
        <v>72</v>
      </c>
      <c r="DC55" s="174">
        <f>'20_Timeline'!DC40</f>
        <v>73</v>
      </c>
      <c r="DD55" s="174">
        <f>'20_Timeline'!DD40</f>
        <v>74</v>
      </c>
      <c r="DE55" s="174">
        <f>'20_Timeline'!DE40</f>
        <v>75</v>
      </c>
      <c r="DF55" s="174">
        <f>'20_Timeline'!DF40</f>
        <v>76</v>
      </c>
      <c r="DG55" s="174">
        <f>'20_Timeline'!DG40</f>
        <v>77</v>
      </c>
      <c r="DH55" s="174">
        <f>'20_Timeline'!DH40</f>
        <v>78</v>
      </c>
      <c r="DI55" s="174">
        <f>'20_Timeline'!DI40</f>
        <v>79</v>
      </c>
      <c r="DJ55" s="174">
        <f>'20_Timeline'!DJ40</f>
        <v>80</v>
      </c>
      <c r="DK55" s="174">
        <f>'20_Timeline'!DK40</f>
        <v>81</v>
      </c>
      <c r="DL55" s="174">
        <f>'20_Timeline'!DL40</f>
        <v>82</v>
      </c>
      <c r="DM55" s="174">
        <f>'20_Timeline'!DM40</f>
        <v>83</v>
      </c>
      <c r="DN55" s="174">
        <f>'20_Timeline'!DN40</f>
        <v>84</v>
      </c>
      <c r="DO55" s="174">
        <f>'20_Timeline'!DO40</f>
        <v>85</v>
      </c>
      <c r="DP55" s="174">
        <f>'20_Timeline'!DP40</f>
        <v>86</v>
      </c>
      <c r="DQ55" s="174">
        <f>'20_Timeline'!DQ40</f>
        <v>87</v>
      </c>
      <c r="DR55" s="174">
        <f>'20_Timeline'!DR40</f>
        <v>88</v>
      </c>
      <c r="DS55" s="174">
        <f>'20_Timeline'!DS40</f>
        <v>89</v>
      </c>
      <c r="DT55" s="174">
        <f>'20_Timeline'!DT40</f>
        <v>90</v>
      </c>
      <c r="DU55" s="174">
        <f>'20_Timeline'!DU40</f>
        <v>91</v>
      </c>
      <c r="DV55" s="174">
        <f>'20_Timeline'!DV40</f>
        <v>92</v>
      </c>
      <c r="DW55" s="174">
        <f>'20_Timeline'!DW40</f>
        <v>93</v>
      </c>
      <c r="DX55" s="174">
        <f>'20_Timeline'!DX40</f>
        <v>94</v>
      </c>
      <c r="DY55" s="174">
        <f>'20_Timeline'!DY40</f>
        <v>95</v>
      </c>
      <c r="DZ55" s="174">
        <f>'20_Timeline'!DZ40</f>
        <v>96</v>
      </c>
      <c r="EA55" s="174">
        <f>'20_Timeline'!EA40</f>
        <v>97</v>
      </c>
      <c r="EB55" s="174">
        <f>'20_Timeline'!EB40</f>
        <v>98</v>
      </c>
      <c r="EC55" s="174">
        <f>'20_Timeline'!EC40</f>
        <v>99</v>
      </c>
      <c r="ED55" s="174">
        <f>'20_Timeline'!ED40</f>
        <v>100</v>
      </c>
      <c r="EE55" s="174">
        <f>'20_Timeline'!EE40</f>
        <v>101</v>
      </c>
      <c r="EF55" s="174">
        <f>'20_Timeline'!EF40</f>
        <v>102</v>
      </c>
      <c r="EG55" s="174">
        <f>'20_Timeline'!EG40</f>
        <v>103</v>
      </c>
      <c r="EH55" s="174">
        <f>'20_Timeline'!EH40</f>
        <v>104</v>
      </c>
      <c r="EI55" s="174">
        <f>'20_Timeline'!EI40</f>
        <v>105</v>
      </c>
      <c r="EJ55" s="174">
        <f>'20_Timeline'!EJ40</f>
        <v>106</v>
      </c>
      <c r="EK55" s="174">
        <f>'20_Timeline'!EK40</f>
        <v>107</v>
      </c>
      <c r="EL55" s="174">
        <f>'20_Timeline'!EL40</f>
        <v>108</v>
      </c>
      <c r="EM55" s="174">
        <f>'20_Timeline'!EM40</f>
        <v>109</v>
      </c>
      <c r="EN55" s="174">
        <f>'20_Timeline'!EN40</f>
        <v>110</v>
      </c>
      <c r="EO55" s="174">
        <f>'20_Timeline'!EO40</f>
        <v>111</v>
      </c>
      <c r="EP55" s="174">
        <f>'20_Timeline'!EP40</f>
        <v>112</v>
      </c>
      <c r="EQ55" s="174">
        <f>'20_Timeline'!EQ40</f>
        <v>113</v>
      </c>
      <c r="ER55" s="174">
        <f>'20_Timeline'!ER40</f>
        <v>114</v>
      </c>
      <c r="ES55" s="174">
        <f>'20_Timeline'!ES40</f>
        <v>115</v>
      </c>
      <c r="ET55" s="174">
        <f>'20_Timeline'!ET40</f>
        <v>116</v>
      </c>
      <c r="EU55" s="174">
        <f>'20_Timeline'!EU40</f>
        <v>117</v>
      </c>
      <c r="EV55" s="174">
        <f>'20_Timeline'!EV40</f>
        <v>118</v>
      </c>
      <c r="EW55" s="174">
        <f>'20_Timeline'!EW40</f>
        <v>119</v>
      </c>
      <c r="EX55" s="174">
        <f>'20_Timeline'!EX40</f>
        <v>120</v>
      </c>
      <c r="EY55" s="174">
        <f>'20_Timeline'!EY40</f>
        <v>121</v>
      </c>
      <c r="EZ55" s="174">
        <f>'20_Timeline'!EZ40</f>
        <v>122</v>
      </c>
      <c r="FA55" s="174">
        <f>'20_Timeline'!FA40</f>
        <v>123</v>
      </c>
      <c r="FB55" s="174">
        <f>'20_Timeline'!FB40</f>
        <v>124</v>
      </c>
      <c r="FC55" s="174">
        <f>'20_Timeline'!FC40</f>
        <v>125</v>
      </c>
      <c r="FD55" s="174">
        <f>'20_Timeline'!FD40</f>
        <v>126</v>
      </c>
      <c r="FE55" s="174">
        <f>'20_Timeline'!FE40</f>
        <v>127</v>
      </c>
      <c r="FF55" s="174">
        <f>'20_Timeline'!FF40</f>
        <v>128</v>
      </c>
      <c r="FG55" s="174">
        <f>'20_Timeline'!FG40</f>
        <v>129</v>
      </c>
      <c r="FH55" s="174">
        <f>'20_Timeline'!FH40</f>
        <v>130</v>
      </c>
      <c r="FI55" s="174">
        <f>'20_Timeline'!FI40</f>
        <v>131</v>
      </c>
      <c r="FJ55" s="174">
        <f>'20_Timeline'!FJ40</f>
        <v>132</v>
      </c>
      <c r="FK55" s="174">
        <f>'20_Timeline'!FK40</f>
        <v>133</v>
      </c>
      <c r="FL55" s="174">
        <f>'20_Timeline'!FL40</f>
        <v>134</v>
      </c>
      <c r="FM55" s="174">
        <f>'20_Timeline'!FM40</f>
        <v>135</v>
      </c>
      <c r="FN55" s="174">
        <f>'20_Timeline'!FN40</f>
        <v>136</v>
      </c>
      <c r="FO55" s="174">
        <f>'20_Timeline'!FO40</f>
        <v>137</v>
      </c>
      <c r="FP55" s="174">
        <f>'20_Timeline'!FP40</f>
        <v>138</v>
      </c>
      <c r="FQ55" s="174">
        <f>'20_Timeline'!FQ40</f>
        <v>139</v>
      </c>
      <c r="FR55" s="174">
        <f>'20_Timeline'!FR40</f>
        <v>140</v>
      </c>
      <c r="FS55" s="174">
        <f>'20_Timeline'!FS40</f>
        <v>141</v>
      </c>
      <c r="FT55" s="174">
        <f>'20_Timeline'!FT40</f>
        <v>142</v>
      </c>
      <c r="FU55" s="174">
        <f>'20_Timeline'!FU40</f>
        <v>143</v>
      </c>
      <c r="FV55" s="174">
        <f>'20_Timeline'!FV40</f>
        <v>144</v>
      </c>
      <c r="FW55" s="174">
        <f>'20_Timeline'!FW40</f>
        <v>145</v>
      </c>
      <c r="FX55" s="174">
        <f>'20_Timeline'!FX40</f>
        <v>146</v>
      </c>
      <c r="FY55" s="174">
        <f>'20_Timeline'!FY40</f>
        <v>147</v>
      </c>
      <c r="FZ55" s="174">
        <f>'20_Timeline'!FZ40</f>
        <v>148</v>
      </c>
      <c r="GA55" s="174">
        <f>'20_Timeline'!GA40</f>
        <v>149</v>
      </c>
      <c r="GB55" s="174">
        <f>'20_Timeline'!GB40</f>
        <v>150</v>
      </c>
      <c r="GC55" s="174">
        <f>'20_Timeline'!GC40</f>
        <v>151</v>
      </c>
      <c r="GD55" s="174">
        <f>'20_Timeline'!GD40</f>
        <v>152</v>
      </c>
      <c r="GE55" s="174">
        <f>'20_Timeline'!GE40</f>
        <v>153</v>
      </c>
      <c r="GF55" s="174">
        <f>'20_Timeline'!GF40</f>
        <v>154</v>
      </c>
      <c r="GG55" s="174">
        <f>'20_Timeline'!GG40</f>
        <v>155</v>
      </c>
      <c r="GH55" s="174">
        <f>'20_Timeline'!GH40</f>
        <v>156</v>
      </c>
      <c r="GI55" s="174">
        <f>'20_Timeline'!GI40</f>
        <v>157</v>
      </c>
      <c r="GJ55" s="174">
        <f>'20_Timeline'!GJ40</f>
        <v>158</v>
      </c>
      <c r="GK55" s="174">
        <f>'20_Timeline'!GK40</f>
        <v>159</v>
      </c>
      <c r="GL55" s="174">
        <f>'20_Timeline'!GL40</f>
        <v>160</v>
      </c>
      <c r="GM55" s="174">
        <f>'20_Timeline'!GM40</f>
        <v>161</v>
      </c>
      <c r="GN55" s="174">
        <f>'20_Timeline'!GN40</f>
        <v>162</v>
      </c>
      <c r="GO55" s="174">
        <f>'20_Timeline'!GO40</f>
        <v>163</v>
      </c>
      <c r="GP55" s="174">
        <f>'20_Timeline'!GP40</f>
        <v>164</v>
      </c>
      <c r="GQ55" s="174">
        <f>'20_Timeline'!GQ40</f>
        <v>165</v>
      </c>
      <c r="GR55" s="174">
        <f>'20_Timeline'!GR40</f>
        <v>166</v>
      </c>
      <c r="GS55" s="174">
        <f>'20_Timeline'!GS40</f>
        <v>167</v>
      </c>
      <c r="GT55" s="174">
        <f>'20_Timeline'!GT40</f>
        <v>168</v>
      </c>
      <c r="GU55" s="174">
        <f>'20_Timeline'!GU40</f>
        <v>169</v>
      </c>
      <c r="GV55" s="174">
        <f>'20_Timeline'!GV40</f>
        <v>170</v>
      </c>
      <c r="GW55" s="174">
        <f>'20_Timeline'!GW40</f>
        <v>171</v>
      </c>
      <c r="GX55" s="174">
        <f>'20_Timeline'!GX40</f>
        <v>172</v>
      </c>
      <c r="GY55" s="174">
        <f>'20_Timeline'!GY40</f>
        <v>173</v>
      </c>
      <c r="GZ55" s="174">
        <f>'20_Timeline'!GZ40</f>
        <v>174</v>
      </c>
      <c r="HA55" s="174">
        <f>'20_Timeline'!HA40</f>
        <v>175</v>
      </c>
      <c r="HB55" s="174">
        <f>'20_Timeline'!HB40</f>
        <v>176</v>
      </c>
      <c r="HC55" s="174">
        <f>'20_Timeline'!HC40</f>
        <v>177</v>
      </c>
      <c r="HD55" s="174">
        <f>'20_Timeline'!HD40</f>
        <v>178</v>
      </c>
      <c r="HE55" s="174">
        <f>'20_Timeline'!HE40</f>
        <v>179</v>
      </c>
      <c r="HF55" s="174">
        <f>'20_Timeline'!HF40</f>
        <v>180</v>
      </c>
      <c r="HG55" s="174">
        <f>'20_Timeline'!HG40</f>
        <v>181</v>
      </c>
      <c r="HH55" s="174">
        <f>'20_Timeline'!HH40</f>
        <v>182</v>
      </c>
      <c r="HI55" s="174">
        <f>'20_Timeline'!HI40</f>
        <v>183</v>
      </c>
      <c r="HJ55" s="174">
        <f>'20_Timeline'!HJ40</f>
        <v>184</v>
      </c>
      <c r="HK55" s="174">
        <f>'20_Timeline'!HK40</f>
        <v>185</v>
      </c>
      <c r="HL55" s="174">
        <f>'20_Timeline'!HL40</f>
        <v>186</v>
      </c>
      <c r="HM55" s="174">
        <f>'20_Timeline'!HM40</f>
        <v>187</v>
      </c>
      <c r="HN55" s="174">
        <f>'20_Timeline'!HN40</f>
        <v>188</v>
      </c>
      <c r="HO55" s="174">
        <f>'20_Timeline'!HO40</f>
        <v>189</v>
      </c>
      <c r="HP55" s="174">
        <f>'20_Timeline'!HP40</f>
        <v>190</v>
      </c>
      <c r="HQ55" s="174">
        <f>'20_Timeline'!HQ40</f>
        <v>191</v>
      </c>
      <c r="HR55" s="174">
        <f>'20_Timeline'!HR40</f>
        <v>192</v>
      </c>
      <c r="HS55" s="174">
        <f>'20_Timeline'!HS40</f>
        <v>193</v>
      </c>
      <c r="HT55" s="174">
        <f>'20_Timeline'!HT40</f>
        <v>194</v>
      </c>
      <c r="HU55" s="174">
        <f>'20_Timeline'!HU40</f>
        <v>195</v>
      </c>
      <c r="HV55" s="174">
        <f>'20_Timeline'!HV40</f>
        <v>196</v>
      </c>
      <c r="HW55" s="174">
        <f>'20_Timeline'!HW40</f>
        <v>197</v>
      </c>
      <c r="HX55" s="174">
        <f>'20_Timeline'!HX40</f>
        <v>198</v>
      </c>
      <c r="HY55" s="174">
        <f>'20_Timeline'!HY40</f>
        <v>199</v>
      </c>
      <c r="HZ55" s="174">
        <f>'20_Timeline'!HZ40</f>
        <v>200</v>
      </c>
      <c r="IA55" s="174">
        <f>'20_Timeline'!IA40</f>
        <v>201</v>
      </c>
      <c r="IB55" s="174">
        <f>'20_Timeline'!IB40</f>
        <v>202</v>
      </c>
      <c r="IC55" s="174">
        <f>'20_Timeline'!IC40</f>
        <v>203</v>
      </c>
      <c r="ID55" s="174">
        <f>'20_Timeline'!ID40</f>
        <v>204</v>
      </c>
      <c r="IE55" s="174">
        <f>'20_Timeline'!IE40</f>
        <v>205</v>
      </c>
      <c r="IF55" s="174">
        <f>'20_Timeline'!IF40</f>
        <v>206</v>
      </c>
      <c r="IG55" s="174">
        <f>'20_Timeline'!IG40</f>
        <v>207</v>
      </c>
      <c r="IH55" s="174">
        <f>'20_Timeline'!IH40</f>
        <v>208</v>
      </c>
      <c r="II55" s="174">
        <f>'20_Timeline'!II40</f>
        <v>209</v>
      </c>
      <c r="IJ55" s="174">
        <f>'20_Timeline'!IJ40</f>
        <v>210</v>
      </c>
      <c r="IK55" s="174">
        <f>'20_Timeline'!IK40</f>
        <v>211</v>
      </c>
      <c r="IL55" s="174">
        <f>'20_Timeline'!IL40</f>
        <v>212</v>
      </c>
      <c r="IM55" s="174">
        <f>'20_Timeline'!IM40</f>
        <v>213</v>
      </c>
      <c r="IN55" s="174">
        <f>'20_Timeline'!IN40</f>
        <v>214</v>
      </c>
      <c r="IO55" s="174">
        <f>'20_Timeline'!IO40</f>
        <v>215</v>
      </c>
      <c r="IP55" s="174">
        <f>'20_Timeline'!IP40</f>
        <v>216</v>
      </c>
      <c r="IQ55" s="174">
        <f>'20_Timeline'!IQ40</f>
        <v>217</v>
      </c>
      <c r="IR55" s="174">
        <f>'20_Timeline'!IR40</f>
        <v>218</v>
      </c>
      <c r="IS55" s="174">
        <f>'20_Timeline'!IS40</f>
        <v>219</v>
      </c>
      <c r="IT55" s="174">
        <f>'20_Timeline'!IT40</f>
        <v>220</v>
      </c>
      <c r="IU55" s="174">
        <f>'20_Timeline'!IU40</f>
        <v>221</v>
      </c>
      <c r="IV55" s="174">
        <f>'20_Timeline'!IV40</f>
        <v>222</v>
      </c>
      <c r="IW55" s="174">
        <f>'20_Timeline'!IW40</f>
        <v>223</v>
      </c>
      <c r="IX55" s="174">
        <f>'20_Timeline'!IX40</f>
        <v>224</v>
      </c>
      <c r="IY55" s="174">
        <f>'20_Timeline'!IY40</f>
        <v>225</v>
      </c>
      <c r="IZ55" s="174">
        <f>'20_Timeline'!IZ40</f>
        <v>226</v>
      </c>
      <c r="JA55" s="174">
        <f>'20_Timeline'!JA40</f>
        <v>227</v>
      </c>
      <c r="JB55" s="174">
        <f>'20_Timeline'!JB40</f>
        <v>228</v>
      </c>
      <c r="JC55" s="174">
        <f>'20_Timeline'!JC40</f>
        <v>229</v>
      </c>
      <c r="JD55" s="174">
        <f>'20_Timeline'!JD40</f>
        <v>230</v>
      </c>
      <c r="JE55" s="174">
        <f>'20_Timeline'!JE40</f>
        <v>231</v>
      </c>
      <c r="JF55" s="174">
        <f>'20_Timeline'!JF40</f>
        <v>232</v>
      </c>
      <c r="JG55" s="174">
        <f>'20_Timeline'!JG40</f>
        <v>233</v>
      </c>
      <c r="JH55" s="174">
        <f>'20_Timeline'!JH40</f>
        <v>234</v>
      </c>
      <c r="JI55" s="174">
        <f>'20_Timeline'!JI40</f>
        <v>235</v>
      </c>
      <c r="JJ55" s="174">
        <f>'20_Timeline'!JJ40</f>
        <v>236</v>
      </c>
      <c r="JK55" s="174">
        <f>'20_Timeline'!JK40</f>
        <v>237</v>
      </c>
      <c r="JL55" s="174">
        <f>'20_Timeline'!JL40</f>
        <v>238</v>
      </c>
      <c r="JM55" s="174">
        <f>'20_Timeline'!JM40</f>
        <v>239</v>
      </c>
      <c r="JN55" s="174">
        <f>'20_Timeline'!JN40</f>
        <v>240</v>
      </c>
      <c r="JO55" s="174">
        <f>'20_Timeline'!JO40</f>
        <v>241</v>
      </c>
      <c r="JP55" s="174">
        <f>'20_Timeline'!JP40</f>
        <v>242</v>
      </c>
      <c r="JQ55" s="174">
        <f>'20_Timeline'!JQ40</f>
        <v>243</v>
      </c>
      <c r="JR55" s="174">
        <f>'20_Timeline'!JR40</f>
        <v>244</v>
      </c>
      <c r="JS55" s="174">
        <f>'20_Timeline'!JS40</f>
        <v>245</v>
      </c>
      <c r="JT55" s="174">
        <f>'20_Timeline'!JT40</f>
        <v>246</v>
      </c>
      <c r="JU55" s="174">
        <f>'20_Timeline'!JU40</f>
        <v>247</v>
      </c>
      <c r="JV55" s="174">
        <f>'20_Timeline'!JV40</f>
        <v>248</v>
      </c>
      <c r="JW55" s="174">
        <f>'20_Timeline'!JW40</f>
        <v>249</v>
      </c>
      <c r="JX55" s="174">
        <f>'20_Timeline'!JX40</f>
        <v>250</v>
      </c>
      <c r="JY55" s="174">
        <f>'20_Timeline'!JY40</f>
        <v>251</v>
      </c>
      <c r="JZ55" s="174">
        <f>'20_Timeline'!JZ40</f>
        <v>252</v>
      </c>
      <c r="KA55" s="174">
        <f>'20_Timeline'!KA40</f>
        <v>253</v>
      </c>
      <c r="KB55" s="174">
        <f>'20_Timeline'!KB40</f>
        <v>254</v>
      </c>
      <c r="KC55" s="174">
        <f>'20_Timeline'!KC40</f>
        <v>255</v>
      </c>
      <c r="KD55" s="174">
        <f>'20_Timeline'!KD40</f>
        <v>256</v>
      </c>
      <c r="KE55" s="174">
        <f>'20_Timeline'!KE40</f>
        <v>257</v>
      </c>
      <c r="KF55" s="174">
        <f>'20_Timeline'!KF40</f>
        <v>258</v>
      </c>
    </row>
    <row r="56">
      <c r="B56" s="36" t="inlineStr">
        <is>
          <t>Loan year after completion</t>
        </is>
      </c>
      <c r="C56" s="117" t="inlineStr">
        <is>
          <t>no.</t>
        </is>
      </c>
      <c r="E56" s="174">
        <f>'20_Timeline'!E42</f>
        <v>0</v>
      </c>
      <c r="F56" s="174">
        <f>'20_Timeline'!F42</f>
        <v>0</v>
      </c>
      <c r="G56" s="174">
        <f>'20_Timeline'!G42</f>
        <v>0</v>
      </c>
      <c r="H56" s="174">
        <f>'20_Timeline'!H42</f>
        <v>0</v>
      </c>
      <c r="I56" s="174">
        <f>'20_Timeline'!I42</f>
        <v>0</v>
      </c>
      <c r="J56" s="174">
        <f>'20_Timeline'!J42</f>
        <v>0</v>
      </c>
      <c r="K56" s="174">
        <f>'20_Timeline'!K42</f>
        <v>0</v>
      </c>
      <c r="L56" s="174">
        <f>'20_Timeline'!L42</f>
        <v>0</v>
      </c>
      <c r="M56" s="174">
        <f>'20_Timeline'!M42</f>
        <v>0</v>
      </c>
      <c r="N56" s="174">
        <f>'20_Timeline'!N42</f>
        <v>0</v>
      </c>
      <c r="O56" s="174">
        <f>'20_Timeline'!O42</f>
        <v>0</v>
      </c>
      <c r="P56" s="174">
        <f>'20_Timeline'!P42</f>
        <v>0</v>
      </c>
      <c r="Q56" s="174">
        <f>'20_Timeline'!Q42</f>
        <v>0</v>
      </c>
      <c r="R56" s="174">
        <f>'20_Timeline'!R42</f>
        <v>0</v>
      </c>
      <c r="S56" s="174">
        <f>'20_Timeline'!S42</f>
        <v>0</v>
      </c>
      <c r="T56" s="174">
        <f>'20_Timeline'!T42</f>
        <v>0</v>
      </c>
      <c r="U56" s="174">
        <f>'20_Timeline'!U42</f>
        <v>0</v>
      </c>
      <c r="V56" s="174">
        <f>'20_Timeline'!V42</f>
        <v>0</v>
      </c>
      <c r="W56" s="174">
        <f>'20_Timeline'!W42</f>
        <v>0</v>
      </c>
      <c r="X56" s="174">
        <f>'20_Timeline'!X42</f>
        <v>0</v>
      </c>
      <c r="Y56" s="174">
        <f>'20_Timeline'!Y42</f>
        <v>0</v>
      </c>
      <c r="Z56" s="174">
        <f>'20_Timeline'!Z42</f>
        <v>0</v>
      </c>
      <c r="AA56" s="174">
        <f>'20_Timeline'!AA42</f>
        <v>0</v>
      </c>
      <c r="AB56" s="174">
        <f>'20_Timeline'!AB42</f>
        <v>0</v>
      </c>
      <c r="AC56" s="174">
        <f>'20_Timeline'!AC42</f>
        <v>0</v>
      </c>
      <c r="AD56" s="174">
        <f>'20_Timeline'!AD42</f>
        <v>0</v>
      </c>
      <c r="AE56" s="174">
        <f>'20_Timeline'!AE42</f>
        <v>0</v>
      </c>
      <c r="AF56" s="174">
        <f>'20_Timeline'!AF42</f>
        <v>0</v>
      </c>
      <c r="AG56" s="174">
        <f>'20_Timeline'!AG42</f>
        <v>0</v>
      </c>
      <c r="AH56" s="174">
        <f>'20_Timeline'!AH42</f>
        <v>0</v>
      </c>
      <c r="AI56" s="174">
        <f>'20_Timeline'!AI42</f>
        <v>1</v>
      </c>
      <c r="AJ56" s="174">
        <f>'20_Timeline'!AJ42</f>
        <v>1</v>
      </c>
      <c r="AK56" s="174">
        <f>'20_Timeline'!AK42</f>
        <v>1</v>
      </c>
      <c r="AL56" s="174">
        <f>'20_Timeline'!AL42</f>
        <v>1</v>
      </c>
      <c r="AM56" s="174">
        <f>'20_Timeline'!AM42</f>
        <v>1</v>
      </c>
      <c r="AN56" s="174">
        <f>'20_Timeline'!AN42</f>
        <v>1</v>
      </c>
      <c r="AO56" s="174">
        <f>'20_Timeline'!AO42</f>
        <v>1</v>
      </c>
      <c r="AP56" s="174">
        <f>'20_Timeline'!AP42</f>
        <v>1</v>
      </c>
      <c r="AQ56" s="174">
        <f>'20_Timeline'!AQ42</f>
        <v>1</v>
      </c>
      <c r="AR56" s="174">
        <f>'20_Timeline'!AR42</f>
        <v>1</v>
      </c>
      <c r="AS56" s="174">
        <f>'20_Timeline'!AS42</f>
        <v>1</v>
      </c>
      <c r="AT56" s="174">
        <f>'20_Timeline'!AT42</f>
        <v>1</v>
      </c>
      <c r="AU56" s="174">
        <f>'20_Timeline'!AU42</f>
        <v>2</v>
      </c>
      <c r="AV56" s="174">
        <f>'20_Timeline'!AV42</f>
        <v>2</v>
      </c>
      <c r="AW56" s="174">
        <f>'20_Timeline'!AW42</f>
        <v>2</v>
      </c>
      <c r="AX56" s="174">
        <f>'20_Timeline'!AX42</f>
        <v>2</v>
      </c>
      <c r="AY56" s="174">
        <f>'20_Timeline'!AY42</f>
        <v>2</v>
      </c>
      <c r="AZ56" s="174">
        <f>'20_Timeline'!AZ42</f>
        <v>2</v>
      </c>
      <c r="BA56" s="174">
        <f>'20_Timeline'!BA42</f>
        <v>2</v>
      </c>
      <c r="BB56" s="174">
        <f>'20_Timeline'!BB42</f>
        <v>2</v>
      </c>
      <c r="BC56" s="174">
        <f>'20_Timeline'!BC42</f>
        <v>2</v>
      </c>
      <c r="BD56" s="174">
        <f>'20_Timeline'!BD42</f>
        <v>2</v>
      </c>
      <c r="BE56" s="174">
        <f>'20_Timeline'!BE42</f>
        <v>2</v>
      </c>
      <c r="BF56" s="174">
        <f>'20_Timeline'!BF42</f>
        <v>2</v>
      </c>
      <c r="BG56" s="174">
        <f>'20_Timeline'!BG42</f>
        <v>3</v>
      </c>
      <c r="BH56" s="174">
        <f>'20_Timeline'!BH42</f>
        <v>3</v>
      </c>
      <c r="BI56" s="174">
        <f>'20_Timeline'!BI42</f>
        <v>3</v>
      </c>
      <c r="BJ56" s="174">
        <f>'20_Timeline'!BJ42</f>
        <v>3</v>
      </c>
      <c r="BK56" s="174">
        <f>'20_Timeline'!BK42</f>
        <v>3</v>
      </c>
      <c r="BL56" s="174">
        <f>'20_Timeline'!BL42</f>
        <v>3</v>
      </c>
      <c r="BM56" s="174">
        <f>'20_Timeline'!BM42</f>
        <v>3</v>
      </c>
      <c r="BN56" s="174">
        <f>'20_Timeline'!BN42</f>
        <v>3</v>
      </c>
      <c r="BO56" s="174">
        <f>'20_Timeline'!BO42</f>
        <v>3</v>
      </c>
      <c r="BP56" s="174">
        <f>'20_Timeline'!BP42</f>
        <v>3</v>
      </c>
      <c r="BQ56" s="174">
        <f>'20_Timeline'!BQ42</f>
        <v>3</v>
      </c>
      <c r="BR56" s="174">
        <f>'20_Timeline'!BR42</f>
        <v>3</v>
      </c>
      <c r="BS56" s="174">
        <f>'20_Timeline'!BS42</f>
        <v>4</v>
      </c>
      <c r="BT56" s="174">
        <f>'20_Timeline'!BT42</f>
        <v>4</v>
      </c>
      <c r="BU56" s="174">
        <f>'20_Timeline'!BU42</f>
        <v>4</v>
      </c>
      <c r="BV56" s="174">
        <f>'20_Timeline'!BV42</f>
        <v>4</v>
      </c>
      <c r="BW56" s="174">
        <f>'20_Timeline'!BW42</f>
        <v>4</v>
      </c>
      <c r="BX56" s="174">
        <f>'20_Timeline'!BX42</f>
        <v>4</v>
      </c>
      <c r="BY56" s="174">
        <f>'20_Timeline'!BY42</f>
        <v>4</v>
      </c>
      <c r="BZ56" s="174">
        <f>'20_Timeline'!BZ42</f>
        <v>4</v>
      </c>
      <c r="CA56" s="174">
        <f>'20_Timeline'!CA42</f>
        <v>4</v>
      </c>
      <c r="CB56" s="174">
        <f>'20_Timeline'!CB42</f>
        <v>4</v>
      </c>
      <c r="CC56" s="174">
        <f>'20_Timeline'!CC42</f>
        <v>4</v>
      </c>
      <c r="CD56" s="174">
        <f>'20_Timeline'!CD42</f>
        <v>4</v>
      </c>
      <c r="CE56" s="174">
        <f>'20_Timeline'!CE42</f>
        <v>5</v>
      </c>
      <c r="CF56" s="174">
        <f>'20_Timeline'!CF42</f>
        <v>5</v>
      </c>
      <c r="CG56" s="174">
        <f>'20_Timeline'!CG42</f>
        <v>5</v>
      </c>
      <c r="CH56" s="174">
        <f>'20_Timeline'!CH42</f>
        <v>5</v>
      </c>
      <c r="CI56" s="174">
        <f>'20_Timeline'!CI42</f>
        <v>5</v>
      </c>
      <c r="CJ56" s="174">
        <f>'20_Timeline'!CJ42</f>
        <v>5</v>
      </c>
      <c r="CK56" s="174">
        <f>'20_Timeline'!CK42</f>
        <v>5</v>
      </c>
      <c r="CL56" s="174">
        <f>'20_Timeline'!CL42</f>
        <v>5</v>
      </c>
      <c r="CM56" s="174">
        <f>'20_Timeline'!CM42</f>
        <v>5</v>
      </c>
      <c r="CN56" s="174">
        <f>'20_Timeline'!CN42</f>
        <v>5</v>
      </c>
      <c r="CO56" s="174">
        <f>'20_Timeline'!CO42</f>
        <v>5</v>
      </c>
      <c r="CP56" s="174">
        <f>'20_Timeline'!CP42</f>
        <v>5</v>
      </c>
      <c r="CQ56" s="174">
        <f>'20_Timeline'!CQ42</f>
        <v>6</v>
      </c>
      <c r="CR56" s="174">
        <f>'20_Timeline'!CR42</f>
        <v>6</v>
      </c>
      <c r="CS56" s="174">
        <f>'20_Timeline'!CS42</f>
        <v>6</v>
      </c>
      <c r="CT56" s="174">
        <f>'20_Timeline'!CT42</f>
        <v>6</v>
      </c>
      <c r="CU56" s="174">
        <f>'20_Timeline'!CU42</f>
        <v>6</v>
      </c>
      <c r="CV56" s="174">
        <f>'20_Timeline'!CV42</f>
        <v>6</v>
      </c>
      <c r="CW56" s="174">
        <f>'20_Timeline'!CW42</f>
        <v>6</v>
      </c>
      <c r="CX56" s="174">
        <f>'20_Timeline'!CX42</f>
        <v>6</v>
      </c>
      <c r="CY56" s="174">
        <f>'20_Timeline'!CY42</f>
        <v>6</v>
      </c>
      <c r="CZ56" s="174">
        <f>'20_Timeline'!CZ42</f>
        <v>6</v>
      </c>
      <c r="DA56" s="174">
        <f>'20_Timeline'!DA42</f>
        <v>6</v>
      </c>
      <c r="DB56" s="174">
        <f>'20_Timeline'!DB42</f>
        <v>6</v>
      </c>
      <c r="DC56" s="174">
        <f>'20_Timeline'!DC42</f>
        <v>7</v>
      </c>
      <c r="DD56" s="174">
        <f>'20_Timeline'!DD42</f>
        <v>7</v>
      </c>
      <c r="DE56" s="174">
        <f>'20_Timeline'!DE42</f>
        <v>7</v>
      </c>
      <c r="DF56" s="174">
        <f>'20_Timeline'!DF42</f>
        <v>7</v>
      </c>
      <c r="DG56" s="174">
        <f>'20_Timeline'!DG42</f>
        <v>7</v>
      </c>
      <c r="DH56" s="174">
        <f>'20_Timeline'!DH42</f>
        <v>7</v>
      </c>
      <c r="DI56" s="174">
        <f>'20_Timeline'!DI42</f>
        <v>7</v>
      </c>
      <c r="DJ56" s="174">
        <f>'20_Timeline'!DJ42</f>
        <v>7</v>
      </c>
      <c r="DK56" s="174">
        <f>'20_Timeline'!DK42</f>
        <v>7</v>
      </c>
      <c r="DL56" s="174">
        <f>'20_Timeline'!DL42</f>
        <v>7</v>
      </c>
      <c r="DM56" s="174">
        <f>'20_Timeline'!DM42</f>
        <v>7</v>
      </c>
      <c r="DN56" s="174">
        <f>'20_Timeline'!DN42</f>
        <v>7</v>
      </c>
      <c r="DO56" s="174">
        <f>'20_Timeline'!DO42</f>
        <v>8</v>
      </c>
      <c r="DP56" s="174">
        <f>'20_Timeline'!DP42</f>
        <v>8</v>
      </c>
      <c r="DQ56" s="174">
        <f>'20_Timeline'!DQ42</f>
        <v>8</v>
      </c>
      <c r="DR56" s="174">
        <f>'20_Timeline'!DR42</f>
        <v>8</v>
      </c>
      <c r="DS56" s="174">
        <f>'20_Timeline'!DS42</f>
        <v>8</v>
      </c>
      <c r="DT56" s="174">
        <f>'20_Timeline'!DT42</f>
        <v>8</v>
      </c>
      <c r="DU56" s="174">
        <f>'20_Timeline'!DU42</f>
        <v>8</v>
      </c>
      <c r="DV56" s="174">
        <f>'20_Timeline'!DV42</f>
        <v>8</v>
      </c>
      <c r="DW56" s="174">
        <f>'20_Timeline'!DW42</f>
        <v>8</v>
      </c>
      <c r="DX56" s="174">
        <f>'20_Timeline'!DX42</f>
        <v>8</v>
      </c>
      <c r="DY56" s="174">
        <f>'20_Timeline'!DY42</f>
        <v>8</v>
      </c>
      <c r="DZ56" s="174">
        <f>'20_Timeline'!DZ42</f>
        <v>8</v>
      </c>
      <c r="EA56" s="174">
        <f>'20_Timeline'!EA42</f>
        <v>9</v>
      </c>
      <c r="EB56" s="174">
        <f>'20_Timeline'!EB42</f>
        <v>9</v>
      </c>
      <c r="EC56" s="174">
        <f>'20_Timeline'!EC42</f>
        <v>9</v>
      </c>
      <c r="ED56" s="174">
        <f>'20_Timeline'!ED42</f>
        <v>9</v>
      </c>
      <c r="EE56" s="174">
        <f>'20_Timeline'!EE42</f>
        <v>9</v>
      </c>
      <c r="EF56" s="174">
        <f>'20_Timeline'!EF42</f>
        <v>9</v>
      </c>
      <c r="EG56" s="174">
        <f>'20_Timeline'!EG42</f>
        <v>9</v>
      </c>
      <c r="EH56" s="174">
        <f>'20_Timeline'!EH42</f>
        <v>9</v>
      </c>
      <c r="EI56" s="174">
        <f>'20_Timeline'!EI42</f>
        <v>9</v>
      </c>
      <c r="EJ56" s="174">
        <f>'20_Timeline'!EJ42</f>
        <v>9</v>
      </c>
      <c r="EK56" s="174">
        <f>'20_Timeline'!EK42</f>
        <v>9</v>
      </c>
      <c r="EL56" s="174">
        <f>'20_Timeline'!EL42</f>
        <v>9</v>
      </c>
      <c r="EM56" s="174">
        <f>'20_Timeline'!EM42</f>
        <v>10</v>
      </c>
      <c r="EN56" s="174">
        <f>'20_Timeline'!EN42</f>
        <v>10</v>
      </c>
      <c r="EO56" s="174">
        <f>'20_Timeline'!EO42</f>
        <v>10</v>
      </c>
      <c r="EP56" s="174">
        <f>'20_Timeline'!EP42</f>
        <v>10</v>
      </c>
      <c r="EQ56" s="174">
        <f>'20_Timeline'!EQ42</f>
        <v>10</v>
      </c>
      <c r="ER56" s="174">
        <f>'20_Timeline'!ER42</f>
        <v>10</v>
      </c>
      <c r="ES56" s="174">
        <f>'20_Timeline'!ES42</f>
        <v>10</v>
      </c>
      <c r="ET56" s="174">
        <f>'20_Timeline'!ET42</f>
        <v>10</v>
      </c>
      <c r="EU56" s="174">
        <f>'20_Timeline'!EU42</f>
        <v>10</v>
      </c>
      <c r="EV56" s="174">
        <f>'20_Timeline'!EV42</f>
        <v>10</v>
      </c>
      <c r="EW56" s="174">
        <f>'20_Timeline'!EW42</f>
        <v>10</v>
      </c>
      <c r="EX56" s="174">
        <f>'20_Timeline'!EX42</f>
        <v>10</v>
      </c>
      <c r="EY56" s="174">
        <f>'20_Timeline'!EY42</f>
        <v>11</v>
      </c>
      <c r="EZ56" s="174">
        <f>'20_Timeline'!EZ42</f>
        <v>11</v>
      </c>
      <c r="FA56" s="174">
        <f>'20_Timeline'!FA42</f>
        <v>11</v>
      </c>
      <c r="FB56" s="174">
        <f>'20_Timeline'!FB42</f>
        <v>11</v>
      </c>
      <c r="FC56" s="174">
        <f>'20_Timeline'!FC42</f>
        <v>11</v>
      </c>
      <c r="FD56" s="174">
        <f>'20_Timeline'!FD42</f>
        <v>11</v>
      </c>
      <c r="FE56" s="174">
        <f>'20_Timeline'!FE42</f>
        <v>11</v>
      </c>
      <c r="FF56" s="174">
        <f>'20_Timeline'!FF42</f>
        <v>11</v>
      </c>
      <c r="FG56" s="174">
        <f>'20_Timeline'!FG42</f>
        <v>11</v>
      </c>
      <c r="FH56" s="174">
        <f>'20_Timeline'!FH42</f>
        <v>11</v>
      </c>
      <c r="FI56" s="174">
        <f>'20_Timeline'!FI42</f>
        <v>11</v>
      </c>
      <c r="FJ56" s="174">
        <f>'20_Timeline'!FJ42</f>
        <v>11</v>
      </c>
      <c r="FK56" s="174">
        <f>'20_Timeline'!FK42</f>
        <v>12</v>
      </c>
      <c r="FL56" s="174">
        <f>'20_Timeline'!FL42</f>
        <v>12</v>
      </c>
      <c r="FM56" s="174">
        <f>'20_Timeline'!FM42</f>
        <v>12</v>
      </c>
      <c r="FN56" s="174">
        <f>'20_Timeline'!FN42</f>
        <v>12</v>
      </c>
      <c r="FO56" s="174">
        <f>'20_Timeline'!FO42</f>
        <v>12</v>
      </c>
      <c r="FP56" s="174">
        <f>'20_Timeline'!FP42</f>
        <v>12</v>
      </c>
      <c r="FQ56" s="174">
        <f>'20_Timeline'!FQ42</f>
        <v>12</v>
      </c>
      <c r="FR56" s="174">
        <f>'20_Timeline'!FR42</f>
        <v>12</v>
      </c>
      <c r="FS56" s="174">
        <f>'20_Timeline'!FS42</f>
        <v>12</v>
      </c>
      <c r="FT56" s="174">
        <f>'20_Timeline'!FT42</f>
        <v>12</v>
      </c>
      <c r="FU56" s="174">
        <f>'20_Timeline'!FU42</f>
        <v>12</v>
      </c>
      <c r="FV56" s="174">
        <f>'20_Timeline'!FV42</f>
        <v>12</v>
      </c>
      <c r="FW56" s="174">
        <f>'20_Timeline'!FW42</f>
        <v>13</v>
      </c>
      <c r="FX56" s="174">
        <f>'20_Timeline'!FX42</f>
        <v>13</v>
      </c>
      <c r="FY56" s="174">
        <f>'20_Timeline'!FY42</f>
        <v>13</v>
      </c>
      <c r="FZ56" s="174">
        <f>'20_Timeline'!FZ42</f>
        <v>13</v>
      </c>
      <c r="GA56" s="174">
        <f>'20_Timeline'!GA42</f>
        <v>13</v>
      </c>
      <c r="GB56" s="174">
        <f>'20_Timeline'!GB42</f>
        <v>13</v>
      </c>
      <c r="GC56" s="174">
        <f>'20_Timeline'!GC42</f>
        <v>13</v>
      </c>
      <c r="GD56" s="174">
        <f>'20_Timeline'!GD42</f>
        <v>13</v>
      </c>
      <c r="GE56" s="174">
        <f>'20_Timeline'!GE42</f>
        <v>13</v>
      </c>
      <c r="GF56" s="174">
        <f>'20_Timeline'!GF42</f>
        <v>13</v>
      </c>
      <c r="GG56" s="174">
        <f>'20_Timeline'!GG42</f>
        <v>13</v>
      </c>
      <c r="GH56" s="174">
        <f>'20_Timeline'!GH42</f>
        <v>13</v>
      </c>
      <c r="GI56" s="174">
        <f>'20_Timeline'!GI42</f>
        <v>14</v>
      </c>
      <c r="GJ56" s="174">
        <f>'20_Timeline'!GJ42</f>
        <v>14</v>
      </c>
      <c r="GK56" s="174">
        <f>'20_Timeline'!GK42</f>
        <v>14</v>
      </c>
      <c r="GL56" s="174">
        <f>'20_Timeline'!GL42</f>
        <v>14</v>
      </c>
      <c r="GM56" s="174">
        <f>'20_Timeline'!GM42</f>
        <v>14</v>
      </c>
      <c r="GN56" s="174">
        <f>'20_Timeline'!GN42</f>
        <v>14</v>
      </c>
      <c r="GO56" s="174">
        <f>'20_Timeline'!GO42</f>
        <v>14</v>
      </c>
      <c r="GP56" s="174">
        <f>'20_Timeline'!GP42</f>
        <v>14</v>
      </c>
      <c r="GQ56" s="174">
        <f>'20_Timeline'!GQ42</f>
        <v>14</v>
      </c>
      <c r="GR56" s="174">
        <f>'20_Timeline'!GR42</f>
        <v>14</v>
      </c>
      <c r="GS56" s="174">
        <f>'20_Timeline'!GS42</f>
        <v>14</v>
      </c>
      <c r="GT56" s="174">
        <f>'20_Timeline'!GT42</f>
        <v>14</v>
      </c>
      <c r="GU56" s="174">
        <f>'20_Timeline'!GU42</f>
        <v>15</v>
      </c>
      <c r="GV56" s="174">
        <f>'20_Timeline'!GV42</f>
        <v>15</v>
      </c>
      <c r="GW56" s="174">
        <f>'20_Timeline'!GW42</f>
        <v>15</v>
      </c>
      <c r="GX56" s="174">
        <f>'20_Timeline'!GX42</f>
        <v>15</v>
      </c>
      <c r="GY56" s="174">
        <f>'20_Timeline'!GY42</f>
        <v>15</v>
      </c>
      <c r="GZ56" s="174">
        <f>'20_Timeline'!GZ42</f>
        <v>15</v>
      </c>
      <c r="HA56" s="174">
        <f>'20_Timeline'!HA42</f>
        <v>15</v>
      </c>
      <c r="HB56" s="174">
        <f>'20_Timeline'!HB42</f>
        <v>15</v>
      </c>
      <c r="HC56" s="174">
        <f>'20_Timeline'!HC42</f>
        <v>15</v>
      </c>
      <c r="HD56" s="174">
        <f>'20_Timeline'!HD42</f>
        <v>15</v>
      </c>
      <c r="HE56" s="174">
        <f>'20_Timeline'!HE42</f>
        <v>15</v>
      </c>
      <c r="HF56" s="174">
        <f>'20_Timeline'!HF42</f>
        <v>15</v>
      </c>
      <c r="HG56" s="174">
        <f>'20_Timeline'!HG42</f>
        <v>16</v>
      </c>
      <c r="HH56" s="174">
        <f>'20_Timeline'!HH42</f>
        <v>16</v>
      </c>
      <c r="HI56" s="174">
        <f>'20_Timeline'!HI42</f>
        <v>16</v>
      </c>
      <c r="HJ56" s="174">
        <f>'20_Timeline'!HJ42</f>
        <v>16</v>
      </c>
      <c r="HK56" s="174">
        <f>'20_Timeline'!HK42</f>
        <v>16</v>
      </c>
      <c r="HL56" s="174">
        <f>'20_Timeline'!HL42</f>
        <v>16</v>
      </c>
      <c r="HM56" s="174">
        <f>'20_Timeline'!HM42</f>
        <v>16</v>
      </c>
      <c r="HN56" s="174">
        <f>'20_Timeline'!HN42</f>
        <v>16</v>
      </c>
      <c r="HO56" s="174">
        <f>'20_Timeline'!HO42</f>
        <v>16</v>
      </c>
      <c r="HP56" s="174">
        <f>'20_Timeline'!HP42</f>
        <v>16</v>
      </c>
      <c r="HQ56" s="174">
        <f>'20_Timeline'!HQ42</f>
        <v>16</v>
      </c>
      <c r="HR56" s="174">
        <f>'20_Timeline'!HR42</f>
        <v>16</v>
      </c>
      <c r="HS56" s="174">
        <f>'20_Timeline'!HS42</f>
        <v>17</v>
      </c>
      <c r="HT56" s="174">
        <f>'20_Timeline'!HT42</f>
        <v>17</v>
      </c>
      <c r="HU56" s="174">
        <f>'20_Timeline'!HU42</f>
        <v>17</v>
      </c>
      <c r="HV56" s="174">
        <f>'20_Timeline'!HV42</f>
        <v>17</v>
      </c>
      <c r="HW56" s="174">
        <f>'20_Timeline'!HW42</f>
        <v>17</v>
      </c>
      <c r="HX56" s="174">
        <f>'20_Timeline'!HX42</f>
        <v>17</v>
      </c>
      <c r="HY56" s="174">
        <f>'20_Timeline'!HY42</f>
        <v>17</v>
      </c>
      <c r="HZ56" s="174">
        <f>'20_Timeline'!HZ42</f>
        <v>17</v>
      </c>
      <c r="IA56" s="174">
        <f>'20_Timeline'!IA42</f>
        <v>17</v>
      </c>
      <c r="IB56" s="174">
        <f>'20_Timeline'!IB42</f>
        <v>17</v>
      </c>
      <c r="IC56" s="174">
        <f>'20_Timeline'!IC42</f>
        <v>17</v>
      </c>
      <c r="ID56" s="174">
        <f>'20_Timeline'!ID42</f>
        <v>17</v>
      </c>
      <c r="IE56" s="174">
        <f>'20_Timeline'!IE42</f>
        <v>18</v>
      </c>
      <c r="IF56" s="174">
        <f>'20_Timeline'!IF42</f>
        <v>18</v>
      </c>
      <c r="IG56" s="174">
        <f>'20_Timeline'!IG42</f>
        <v>18</v>
      </c>
      <c r="IH56" s="174">
        <f>'20_Timeline'!IH42</f>
        <v>18</v>
      </c>
      <c r="II56" s="174">
        <f>'20_Timeline'!II42</f>
        <v>18</v>
      </c>
      <c r="IJ56" s="174">
        <f>'20_Timeline'!IJ42</f>
        <v>18</v>
      </c>
      <c r="IK56" s="174">
        <f>'20_Timeline'!IK42</f>
        <v>18</v>
      </c>
      <c r="IL56" s="174">
        <f>'20_Timeline'!IL42</f>
        <v>18</v>
      </c>
      <c r="IM56" s="174">
        <f>'20_Timeline'!IM42</f>
        <v>18</v>
      </c>
      <c r="IN56" s="174">
        <f>'20_Timeline'!IN42</f>
        <v>18</v>
      </c>
      <c r="IO56" s="174">
        <f>'20_Timeline'!IO42</f>
        <v>18</v>
      </c>
      <c r="IP56" s="174">
        <f>'20_Timeline'!IP42</f>
        <v>18</v>
      </c>
      <c r="IQ56" s="174">
        <f>'20_Timeline'!IQ42</f>
        <v>19</v>
      </c>
      <c r="IR56" s="174">
        <f>'20_Timeline'!IR42</f>
        <v>19</v>
      </c>
      <c r="IS56" s="174">
        <f>'20_Timeline'!IS42</f>
        <v>19</v>
      </c>
      <c r="IT56" s="174">
        <f>'20_Timeline'!IT42</f>
        <v>19</v>
      </c>
      <c r="IU56" s="174">
        <f>'20_Timeline'!IU42</f>
        <v>19</v>
      </c>
      <c r="IV56" s="174">
        <f>'20_Timeline'!IV42</f>
        <v>19</v>
      </c>
      <c r="IW56" s="174">
        <f>'20_Timeline'!IW42</f>
        <v>19</v>
      </c>
      <c r="IX56" s="174">
        <f>'20_Timeline'!IX42</f>
        <v>19</v>
      </c>
      <c r="IY56" s="174">
        <f>'20_Timeline'!IY42</f>
        <v>19</v>
      </c>
      <c r="IZ56" s="174">
        <f>'20_Timeline'!IZ42</f>
        <v>19</v>
      </c>
      <c r="JA56" s="174">
        <f>'20_Timeline'!JA42</f>
        <v>19</v>
      </c>
      <c r="JB56" s="174">
        <f>'20_Timeline'!JB42</f>
        <v>19</v>
      </c>
      <c r="JC56" s="174">
        <f>'20_Timeline'!JC42</f>
        <v>20</v>
      </c>
      <c r="JD56" s="174">
        <f>'20_Timeline'!JD42</f>
        <v>20</v>
      </c>
      <c r="JE56" s="174">
        <f>'20_Timeline'!JE42</f>
        <v>20</v>
      </c>
      <c r="JF56" s="174">
        <f>'20_Timeline'!JF42</f>
        <v>20</v>
      </c>
      <c r="JG56" s="174">
        <f>'20_Timeline'!JG42</f>
        <v>20</v>
      </c>
      <c r="JH56" s="174">
        <f>'20_Timeline'!JH42</f>
        <v>20</v>
      </c>
      <c r="JI56" s="174">
        <f>'20_Timeline'!JI42</f>
        <v>20</v>
      </c>
      <c r="JJ56" s="174">
        <f>'20_Timeline'!JJ42</f>
        <v>20</v>
      </c>
      <c r="JK56" s="174">
        <f>'20_Timeline'!JK42</f>
        <v>20</v>
      </c>
      <c r="JL56" s="174">
        <f>'20_Timeline'!JL42</f>
        <v>20</v>
      </c>
      <c r="JM56" s="174">
        <f>'20_Timeline'!JM42</f>
        <v>20</v>
      </c>
      <c r="JN56" s="174">
        <f>'20_Timeline'!JN42</f>
        <v>20</v>
      </c>
      <c r="JO56" s="174">
        <f>'20_Timeline'!JO42</f>
        <v>21</v>
      </c>
      <c r="JP56" s="174">
        <f>'20_Timeline'!JP42</f>
        <v>21</v>
      </c>
      <c r="JQ56" s="174">
        <f>'20_Timeline'!JQ42</f>
        <v>21</v>
      </c>
      <c r="JR56" s="174">
        <f>'20_Timeline'!JR42</f>
        <v>21</v>
      </c>
      <c r="JS56" s="174">
        <f>'20_Timeline'!JS42</f>
        <v>21</v>
      </c>
      <c r="JT56" s="174">
        <f>'20_Timeline'!JT42</f>
        <v>21</v>
      </c>
      <c r="JU56" s="174">
        <f>'20_Timeline'!JU42</f>
        <v>21</v>
      </c>
      <c r="JV56" s="174">
        <f>'20_Timeline'!JV42</f>
        <v>21</v>
      </c>
      <c r="JW56" s="174">
        <f>'20_Timeline'!JW42</f>
        <v>21</v>
      </c>
      <c r="JX56" s="174">
        <f>'20_Timeline'!JX42</f>
        <v>21</v>
      </c>
      <c r="JY56" s="174">
        <f>'20_Timeline'!JY42</f>
        <v>21</v>
      </c>
      <c r="JZ56" s="174">
        <f>'20_Timeline'!JZ42</f>
        <v>21</v>
      </c>
      <c r="KA56" s="174">
        <f>'20_Timeline'!KA42</f>
        <v>22</v>
      </c>
      <c r="KB56" s="174">
        <f>'20_Timeline'!KB42</f>
        <v>22</v>
      </c>
      <c r="KC56" s="174">
        <f>'20_Timeline'!KC42</f>
        <v>22</v>
      </c>
      <c r="KD56" s="174">
        <f>'20_Timeline'!KD42</f>
        <v>22</v>
      </c>
      <c r="KE56" s="174">
        <f>'20_Timeline'!KE42</f>
        <v>22</v>
      </c>
      <c r="KF56" s="174">
        <f>'20_Timeline'!KF42</f>
        <v>22</v>
      </c>
    </row>
    <row r="57">
      <c r="B57" s="36" t="inlineStr">
        <is>
          <t>Annual period index</t>
        </is>
      </c>
      <c r="C57" s="117" t="inlineStr">
        <is>
          <t>no.</t>
        </is>
      </c>
      <c r="E57" s="174">
        <f>'20_Timeline'!E43</f>
        <v>1</v>
      </c>
      <c r="F57" s="174">
        <f>'20_Timeline'!F43</f>
        <v>1</v>
      </c>
      <c r="G57" s="174">
        <f>'20_Timeline'!G43</f>
        <v>1</v>
      </c>
      <c r="H57" s="174">
        <f>'20_Timeline'!H43</f>
        <v>1</v>
      </c>
      <c r="I57" s="174">
        <f>'20_Timeline'!I43</f>
        <v>1</v>
      </c>
      <c r="J57" s="174">
        <f>'20_Timeline'!J43</f>
        <v>1</v>
      </c>
      <c r="K57" s="174">
        <f>'20_Timeline'!K43</f>
        <v>1</v>
      </c>
      <c r="L57" s="174">
        <f>'20_Timeline'!L43</f>
        <v>1</v>
      </c>
      <c r="M57" s="174">
        <f>'20_Timeline'!M43</f>
        <v>1</v>
      </c>
      <c r="N57" s="174">
        <f>'20_Timeline'!N43</f>
        <v>1</v>
      </c>
      <c r="O57" s="174">
        <f>'20_Timeline'!O43</f>
        <v>1</v>
      </c>
      <c r="P57" s="174">
        <f>'20_Timeline'!P43</f>
        <v>1</v>
      </c>
      <c r="Q57" s="174">
        <f>'20_Timeline'!Q43</f>
        <v>2</v>
      </c>
      <c r="R57" s="174">
        <f>'20_Timeline'!R43</f>
        <v>2</v>
      </c>
      <c r="S57" s="174">
        <f>'20_Timeline'!S43</f>
        <v>2</v>
      </c>
      <c r="T57" s="174">
        <f>'20_Timeline'!T43</f>
        <v>2</v>
      </c>
      <c r="U57" s="174">
        <f>'20_Timeline'!U43</f>
        <v>2</v>
      </c>
      <c r="V57" s="174">
        <f>'20_Timeline'!V43</f>
        <v>2</v>
      </c>
      <c r="W57" s="174">
        <f>'20_Timeline'!W43</f>
        <v>2</v>
      </c>
      <c r="X57" s="174">
        <f>'20_Timeline'!X43</f>
        <v>2</v>
      </c>
      <c r="Y57" s="174">
        <f>'20_Timeline'!Y43</f>
        <v>2</v>
      </c>
      <c r="Z57" s="174">
        <f>'20_Timeline'!Z43</f>
        <v>2</v>
      </c>
      <c r="AA57" s="174">
        <f>'20_Timeline'!AA43</f>
        <v>2</v>
      </c>
      <c r="AB57" s="174">
        <f>'20_Timeline'!AB43</f>
        <v>2</v>
      </c>
      <c r="AC57" s="174">
        <f>'20_Timeline'!AC43</f>
        <v>3</v>
      </c>
      <c r="AD57" s="174">
        <f>'20_Timeline'!AD43</f>
        <v>3</v>
      </c>
      <c r="AE57" s="174">
        <f>'20_Timeline'!AE43</f>
        <v>3</v>
      </c>
      <c r="AF57" s="174">
        <f>'20_Timeline'!AF43</f>
        <v>3</v>
      </c>
      <c r="AG57" s="174">
        <f>'20_Timeline'!AG43</f>
        <v>3</v>
      </c>
      <c r="AH57" s="174">
        <f>'20_Timeline'!AH43</f>
        <v>3</v>
      </c>
      <c r="AI57" s="174">
        <f>'20_Timeline'!AI43</f>
        <v>5</v>
      </c>
      <c r="AJ57" s="174">
        <f>'20_Timeline'!AJ43</f>
        <v>5</v>
      </c>
      <c r="AK57" s="174">
        <f>'20_Timeline'!AK43</f>
        <v>5</v>
      </c>
      <c r="AL57" s="174">
        <f>'20_Timeline'!AL43</f>
        <v>5</v>
      </c>
      <c r="AM57" s="174">
        <f>'20_Timeline'!AM43</f>
        <v>5</v>
      </c>
      <c r="AN57" s="174">
        <f>'20_Timeline'!AN43</f>
        <v>5</v>
      </c>
      <c r="AO57" s="174">
        <f>'20_Timeline'!AO43</f>
        <v>5</v>
      </c>
      <c r="AP57" s="174">
        <f>'20_Timeline'!AP43</f>
        <v>5</v>
      </c>
      <c r="AQ57" s="174">
        <f>'20_Timeline'!AQ43</f>
        <v>5</v>
      </c>
      <c r="AR57" s="174">
        <f>'20_Timeline'!AR43</f>
        <v>5</v>
      </c>
      <c r="AS57" s="174">
        <f>'20_Timeline'!AS43</f>
        <v>5</v>
      </c>
      <c r="AT57" s="174">
        <f>'20_Timeline'!AT43</f>
        <v>5</v>
      </c>
      <c r="AU57" s="174">
        <f>'20_Timeline'!AU43</f>
        <v>6</v>
      </c>
      <c r="AV57" s="174">
        <f>'20_Timeline'!AV43</f>
        <v>6</v>
      </c>
      <c r="AW57" s="174">
        <f>'20_Timeline'!AW43</f>
        <v>6</v>
      </c>
      <c r="AX57" s="174">
        <f>'20_Timeline'!AX43</f>
        <v>6</v>
      </c>
      <c r="AY57" s="174">
        <f>'20_Timeline'!AY43</f>
        <v>6</v>
      </c>
      <c r="AZ57" s="174">
        <f>'20_Timeline'!AZ43</f>
        <v>6</v>
      </c>
      <c r="BA57" s="174">
        <f>'20_Timeline'!BA43</f>
        <v>6</v>
      </c>
      <c r="BB57" s="174">
        <f>'20_Timeline'!BB43</f>
        <v>6</v>
      </c>
      <c r="BC57" s="174">
        <f>'20_Timeline'!BC43</f>
        <v>6</v>
      </c>
      <c r="BD57" s="174">
        <f>'20_Timeline'!BD43</f>
        <v>6</v>
      </c>
      <c r="BE57" s="174">
        <f>'20_Timeline'!BE43</f>
        <v>6</v>
      </c>
      <c r="BF57" s="174">
        <f>'20_Timeline'!BF43</f>
        <v>6</v>
      </c>
      <c r="BG57" s="174">
        <f>'20_Timeline'!BG43</f>
        <v>7</v>
      </c>
      <c r="BH57" s="174">
        <f>'20_Timeline'!BH43</f>
        <v>7</v>
      </c>
      <c r="BI57" s="174">
        <f>'20_Timeline'!BI43</f>
        <v>7</v>
      </c>
      <c r="BJ57" s="174">
        <f>'20_Timeline'!BJ43</f>
        <v>7</v>
      </c>
      <c r="BK57" s="174">
        <f>'20_Timeline'!BK43</f>
        <v>7</v>
      </c>
      <c r="BL57" s="174">
        <f>'20_Timeline'!BL43</f>
        <v>7</v>
      </c>
      <c r="BM57" s="174">
        <f>'20_Timeline'!BM43</f>
        <v>7</v>
      </c>
      <c r="BN57" s="174">
        <f>'20_Timeline'!BN43</f>
        <v>7</v>
      </c>
      <c r="BO57" s="174">
        <f>'20_Timeline'!BO43</f>
        <v>7</v>
      </c>
      <c r="BP57" s="174">
        <f>'20_Timeline'!BP43</f>
        <v>7</v>
      </c>
      <c r="BQ57" s="174">
        <f>'20_Timeline'!BQ43</f>
        <v>7</v>
      </c>
      <c r="BR57" s="174">
        <f>'20_Timeline'!BR43</f>
        <v>7</v>
      </c>
      <c r="BS57" s="174">
        <f>'20_Timeline'!BS43</f>
        <v>8</v>
      </c>
      <c r="BT57" s="174">
        <f>'20_Timeline'!BT43</f>
        <v>8</v>
      </c>
      <c r="BU57" s="174">
        <f>'20_Timeline'!BU43</f>
        <v>8</v>
      </c>
      <c r="BV57" s="174">
        <f>'20_Timeline'!BV43</f>
        <v>8</v>
      </c>
      <c r="BW57" s="174">
        <f>'20_Timeline'!BW43</f>
        <v>8</v>
      </c>
      <c r="BX57" s="174">
        <f>'20_Timeline'!BX43</f>
        <v>8</v>
      </c>
      <c r="BY57" s="174">
        <f>'20_Timeline'!BY43</f>
        <v>8</v>
      </c>
      <c r="BZ57" s="174">
        <f>'20_Timeline'!BZ43</f>
        <v>8</v>
      </c>
      <c r="CA57" s="174">
        <f>'20_Timeline'!CA43</f>
        <v>8</v>
      </c>
      <c r="CB57" s="174">
        <f>'20_Timeline'!CB43</f>
        <v>8</v>
      </c>
      <c r="CC57" s="174">
        <f>'20_Timeline'!CC43</f>
        <v>8</v>
      </c>
      <c r="CD57" s="174">
        <f>'20_Timeline'!CD43</f>
        <v>8</v>
      </c>
      <c r="CE57" s="174">
        <f>'20_Timeline'!CE43</f>
        <v>9</v>
      </c>
      <c r="CF57" s="174">
        <f>'20_Timeline'!CF43</f>
        <v>9</v>
      </c>
      <c r="CG57" s="174">
        <f>'20_Timeline'!CG43</f>
        <v>9</v>
      </c>
      <c r="CH57" s="174">
        <f>'20_Timeline'!CH43</f>
        <v>9</v>
      </c>
      <c r="CI57" s="174">
        <f>'20_Timeline'!CI43</f>
        <v>9</v>
      </c>
      <c r="CJ57" s="174">
        <f>'20_Timeline'!CJ43</f>
        <v>9</v>
      </c>
      <c r="CK57" s="174">
        <f>'20_Timeline'!CK43</f>
        <v>9</v>
      </c>
      <c r="CL57" s="174">
        <f>'20_Timeline'!CL43</f>
        <v>9</v>
      </c>
      <c r="CM57" s="174">
        <f>'20_Timeline'!CM43</f>
        <v>9</v>
      </c>
      <c r="CN57" s="174">
        <f>'20_Timeline'!CN43</f>
        <v>9</v>
      </c>
      <c r="CO57" s="174">
        <f>'20_Timeline'!CO43</f>
        <v>9</v>
      </c>
      <c r="CP57" s="174">
        <f>'20_Timeline'!CP43</f>
        <v>9</v>
      </c>
      <c r="CQ57" s="174">
        <f>'20_Timeline'!CQ43</f>
        <v>10</v>
      </c>
      <c r="CR57" s="174">
        <f>'20_Timeline'!CR43</f>
        <v>10</v>
      </c>
      <c r="CS57" s="174">
        <f>'20_Timeline'!CS43</f>
        <v>10</v>
      </c>
      <c r="CT57" s="174">
        <f>'20_Timeline'!CT43</f>
        <v>10</v>
      </c>
      <c r="CU57" s="174">
        <f>'20_Timeline'!CU43</f>
        <v>10</v>
      </c>
      <c r="CV57" s="174">
        <f>'20_Timeline'!CV43</f>
        <v>10</v>
      </c>
      <c r="CW57" s="174">
        <f>'20_Timeline'!CW43</f>
        <v>10</v>
      </c>
      <c r="CX57" s="174">
        <f>'20_Timeline'!CX43</f>
        <v>10</v>
      </c>
      <c r="CY57" s="174">
        <f>'20_Timeline'!CY43</f>
        <v>10</v>
      </c>
      <c r="CZ57" s="174">
        <f>'20_Timeline'!CZ43</f>
        <v>10</v>
      </c>
      <c r="DA57" s="174">
        <f>'20_Timeline'!DA43</f>
        <v>10</v>
      </c>
      <c r="DB57" s="174">
        <f>'20_Timeline'!DB43</f>
        <v>10</v>
      </c>
      <c r="DC57" s="174">
        <f>'20_Timeline'!DC43</f>
        <v>11</v>
      </c>
      <c r="DD57" s="174">
        <f>'20_Timeline'!DD43</f>
        <v>11</v>
      </c>
      <c r="DE57" s="174">
        <f>'20_Timeline'!DE43</f>
        <v>11</v>
      </c>
      <c r="DF57" s="174">
        <f>'20_Timeline'!DF43</f>
        <v>11</v>
      </c>
      <c r="DG57" s="174">
        <f>'20_Timeline'!DG43</f>
        <v>11</v>
      </c>
      <c r="DH57" s="174">
        <f>'20_Timeline'!DH43</f>
        <v>11</v>
      </c>
      <c r="DI57" s="174">
        <f>'20_Timeline'!DI43</f>
        <v>11</v>
      </c>
      <c r="DJ57" s="174">
        <f>'20_Timeline'!DJ43</f>
        <v>11</v>
      </c>
      <c r="DK57" s="174">
        <f>'20_Timeline'!DK43</f>
        <v>11</v>
      </c>
      <c r="DL57" s="174">
        <f>'20_Timeline'!DL43</f>
        <v>11</v>
      </c>
      <c r="DM57" s="174">
        <f>'20_Timeline'!DM43</f>
        <v>11</v>
      </c>
      <c r="DN57" s="174">
        <f>'20_Timeline'!DN43</f>
        <v>11</v>
      </c>
      <c r="DO57" s="174">
        <f>'20_Timeline'!DO43</f>
        <v>12</v>
      </c>
      <c r="DP57" s="174">
        <f>'20_Timeline'!DP43</f>
        <v>12</v>
      </c>
      <c r="DQ57" s="174">
        <f>'20_Timeline'!DQ43</f>
        <v>12</v>
      </c>
      <c r="DR57" s="174">
        <f>'20_Timeline'!DR43</f>
        <v>12</v>
      </c>
      <c r="DS57" s="174">
        <f>'20_Timeline'!DS43</f>
        <v>12</v>
      </c>
      <c r="DT57" s="174">
        <f>'20_Timeline'!DT43</f>
        <v>12</v>
      </c>
      <c r="DU57" s="174">
        <f>'20_Timeline'!DU43</f>
        <v>12</v>
      </c>
      <c r="DV57" s="174">
        <f>'20_Timeline'!DV43</f>
        <v>12</v>
      </c>
      <c r="DW57" s="174">
        <f>'20_Timeline'!DW43</f>
        <v>12</v>
      </c>
      <c r="DX57" s="174">
        <f>'20_Timeline'!DX43</f>
        <v>12</v>
      </c>
      <c r="DY57" s="174">
        <f>'20_Timeline'!DY43</f>
        <v>12</v>
      </c>
      <c r="DZ57" s="174">
        <f>'20_Timeline'!DZ43</f>
        <v>12</v>
      </c>
      <c r="EA57" s="174">
        <f>'20_Timeline'!EA43</f>
        <v>13</v>
      </c>
      <c r="EB57" s="174">
        <f>'20_Timeline'!EB43</f>
        <v>13</v>
      </c>
      <c r="EC57" s="174">
        <f>'20_Timeline'!EC43</f>
        <v>13</v>
      </c>
      <c r="ED57" s="174">
        <f>'20_Timeline'!ED43</f>
        <v>13</v>
      </c>
      <c r="EE57" s="174">
        <f>'20_Timeline'!EE43</f>
        <v>13</v>
      </c>
      <c r="EF57" s="174">
        <f>'20_Timeline'!EF43</f>
        <v>13</v>
      </c>
      <c r="EG57" s="174">
        <f>'20_Timeline'!EG43</f>
        <v>13</v>
      </c>
      <c r="EH57" s="174">
        <f>'20_Timeline'!EH43</f>
        <v>13</v>
      </c>
      <c r="EI57" s="174">
        <f>'20_Timeline'!EI43</f>
        <v>13</v>
      </c>
      <c r="EJ57" s="174">
        <f>'20_Timeline'!EJ43</f>
        <v>13</v>
      </c>
      <c r="EK57" s="174">
        <f>'20_Timeline'!EK43</f>
        <v>13</v>
      </c>
      <c r="EL57" s="174">
        <f>'20_Timeline'!EL43</f>
        <v>13</v>
      </c>
      <c r="EM57" s="174">
        <f>'20_Timeline'!EM43</f>
        <v>14</v>
      </c>
      <c r="EN57" s="174">
        <f>'20_Timeline'!EN43</f>
        <v>14</v>
      </c>
      <c r="EO57" s="174">
        <f>'20_Timeline'!EO43</f>
        <v>14</v>
      </c>
      <c r="EP57" s="174">
        <f>'20_Timeline'!EP43</f>
        <v>14</v>
      </c>
      <c r="EQ57" s="174">
        <f>'20_Timeline'!EQ43</f>
        <v>14</v>
      </c>
      <c r="ER57" s="174">
        <f>'20_Timeline'!ER43</f>
        <v>14</v>
      </c>
      <c r="ES57" s="174">
        <f>'20_Timeline'!ES43</f>
        <v>14</v>
      </c>
      <c r="ET57" s="174">
        <f>'20_Timeline'!ET43</f>
        <v>14</v>
      </c>
      <c r="EU57" s="174">
        <f>'20_Timeline'!EU43</f>
        <v>14</v>
      </c>
      <c r="EV57" s="174">
        <f>'20_Timeline'!EV43</f>
        <v>14</v>
      </c>
      <c r="EW57" s="174">
        <f>'20_Timeline'!EW43</f>
        <v>14</v>
      </c>
      <c r="EX57" s="174">
        <f>'20_Timeline'!EX43</f>
        <v>14</v>
      </c>
      <c r="EY57" s="174">
        <f>'20_Timeline'!EY43</f>
        <v>0</v>
      </c>
      <c r="EZ57" s="174">
        <f>'20_Timeline'!EZ43</f>
        <v>0</v>
      </c>
      <c r="FA57" s="174">
        <f>'20_Timeline'!FA43</f>
        <v>0</v>
      </c>
      <c r="FB57" s="174">
        <f>'20_Timeline'!FB43</f>
        <v>0</v>
      </c>
      <c r="FC57" s="174">
        <f>'20_Timeline'!FC43</f>
        <v>0</v>
      </c>
      <c r="FD57" s="174">
        <f>'20_Timeline'!FD43</f>
        <v>0</v>
      </c>
      <c r="FE57" s="174">
        <f>'20_Timeline'!FE43</f>
        <v>0</v>
      </c>
      <c r="FF57" s="174">
        <f>'20_Timeline'!FF43</f>
        <v>0</v>
      </c>
      <c r="FG57" s="174">
        <f>'20_Timeline'!FG43</f>
        <v>0</v>
      </c>
      <c r="FH57" s="174">
        <f>'20_Timeline'!FH43</f>
        <v>0</v>
      </c>
      <c r="FI57" s="174">
        <f>'20_Timeline'!FI43</f>
        <v>0</v>
      </c>
      <c r="FJ57" s="174">
        <f>'20_Timeline'!FJ43</f>
        <v>0</v>
      </c>
      <c r="FK57" s="174">
        <f>'20_Timeline'!FK43</f>
        <v>0</v>
      </c>
      <c r="FL57" s="174">
        <f>'20_Timeline'!FL43</f>
        <v>0</v>
      </c>
      <c r="FM57" s="174">
        <f>'20_Timeline'!FM43</f>
        <v>0</v>
      </c>
      <c r="FN57" s="174">
        <f>'20_Timeline'!FN43</f>
        <v>0</v>
      </c>
      <c r="FO57" s="174">
        <f>'20_Timeline'!FO43</f>
        <v>0</v>
      </c>
      <c r="FP57" s="174">
        <f>'20_Timeline'!FP43</f>
        <v>0</v>
      </c>
      <c r="FQ57" s="174">
        <f>'20_Timeline'!FQ43</f>
        <v>0</v>
      </c>
      <c r="FR57" s="174">
        <f>'20_Timeline'!FR43</f>
        <v>0</v>
      </c>
      <c r="FS57" s="174">
        <f>'20_Timeline'!FS43</f>
        <v>0</v>
      </c>
      <c r="FT57" s="174">
        <f>'20_Timeline'!FT43</f>
        <v>0</v>
      </c>
      <c r="FU57" s="174">
        <f>'20_Timeline'!FU43</f>
        <v>0</v>
      </c>
      <c r="FV57" s="174">
        <f>'20_Timeline'!FV43</f>
        <v>0</v>
      </c>
      <c r="FW57" s="174">
        <f>'20_Timeline'!FW43</f>
        <v>0</v>
      </c>
      <c r="FX57" s="174">
        <f>'20_Timeline'!FX43</f>
        <v>0</v>
      </c>
      <c r="FY57" s="174">
        <f>'20_Timeline'!FY43</f>
        <v>0</v>
      </c>
      <c r="FZ57" s="174">
        <f>'20_Timeline'!FZ43</f>
        <v>0</v>
      </c>
      <c r="GA57" s="174">
        <f>'20_Timeline'!GA43</f>
        <v>0</v>
      </c>
      <c r="GB57" s="174">
        <f>'20_Timeline'!GB43</f>
        <v>0</v>
      </c>
      <c r="GC57" s="174">
        <f>'20_Timeline'!GC43</f>
        <v>0</v>
      </c>
      <c r="GD57" s="174">
        <f>'20_Timeline'!GD43</f>
        <v>0</v>
      </c>
      <c r="GE57" s="174">
        <f>'20_Timeline'!GE43</f>
        <v>0</v>
      </c>
      <c r="GF57" s="174">
        <f>'20_Timeline'!GF43</f>
        <v>0</v>
      </c>
      <c r="GG57" s="174">
        <f>'20_Timeline'!GG43</f>
        <v>0</v>
      </c>
      <c r="GH57" s="174">
        <f>'20_Timeline'!GH43</f>
        <v>0</v>
      </c>
      <c r="GI57" s="174">
        <f>'20_Timeline'!GI43</f>
        <v>0</v>
      </c>
      <c r="GJ57" s="174">
        <f>'20_Timeline'!GJ43</f>
        <v>0</v>
      </c>
      <c r="GK57" s="174">
        <f>'20_Timeline'!GK43</f>
        <v>0</v>
      </c>
      <c r="GL57" s="174">
        <f>'20_Timeline'!GL43</f>
        <v>0</v>
      </c>
      <c r="GM57" s="174">
        <f>'20_Timeline'!GM43</f>
        <v>0</v>
      </c>
      <c r="GN57" s="174">
        <f>'20_Timeline'!GN43</f>
        <v>0</v>
      </c>
      <c r="GO57" s="174">
        <f>'20_Timeline'!GO43</f>
        <v>0</v>
      </c>
      <c r="GP57" s="174">
        <f>'20_Timeline'!GP43</f>
        <v>0</v>
      </c>
      <c r="GQ57" s="174">
        <f>'20_Timeline'!GQ43</f>
        <v>0</v>
      </c>
      <c r="GR57" s="174">
        <f>'20_Timeline'!GR43</f>
        <v>0</v>
      </c>
      <c r="GS57" s="174">
        <f>'20_Timeline'!GS43</f>
        <v>0</v>
      </c>
      <c r="GT57" s="174">
        <f>'20_Timeline'!GT43</f>
        <v>0</v>
      </c>
      <c r="GU57" s="174">
        <f>'20_Timeline'!GU43</f>
        <v>0</v>
      </c>
      <c r="GV57" s="174">
        <f>'20_Timeline'!GV43</f>
        <v>0</v>
      </c>
      <c r="GW57" s="174">
        <f>'20_Timeline'!GW43</f>
        <v>0</v>
      </c>
      <c r="GX57" s="174">
        <f>'20_Timeline'!GX43</f>
        <v>0</v>
      </c>
      <c r="GY57" s="174">
        <f>'20_Timeline'!GY43</f>
        <v>0</v>
      </c>
      <c r="GZ57" s="174">
        <f>'20_Timeline'!GZ43</f>
        <v>0</v>
      </c>
      <c r="HA57" s="174">
        <f>'20_Timeline'!HA43</f>
        <v>0</v>
      </c>
      <c r="HB57" s="174">
        <f>'20_Timeline'!HB43</f>
        <v>0</v>
      </c>
      <c r="HC57" s="174">
        <f>'20_Timeline'!HC43</f>
        <v>0</v>
      </c>
      <c r="HD57" s="174">
        <f>'20_Timeline'!HD43</f>
        <v>0</v>
      </c>
      <c r="HE57" s="174">
        <f>'20_Timeline'!HE43</f>
        <v>0</v>
      </c>
      <c r="HF57" s="174">
        <f>'20_Timeline'!HF43</f>
        <v>0</v>
      </c>
      <c r="HG57" s="174">
        <f>'20_Timeline'!HG43</f>
        <v>0</v>
      </c>
      <c r="HH57" s="174">
        <f>'20_Timeline'!HH43</f>
        <v>0</v>
      </c>
      <c r="HI57" s="174">
        <f>'20_Timeline'!HI43</f>
        <v>0</v>
      </c>
      <c r="HJ57" s="174">
        <f>'20_Timeline'!HJ43</f>
        <v>0</v>
      </c>
      <c r="HK57" s="174">
        <f>'20_Timeline'!HK43</f>
        <v>0</v>
      </c>
      <c r="HL57" s="174">
        <f>'20_Timeline'!HL43</f>
        <v>0</v>
      </c>
      <c r="HM57" s="174">
        <f>'20_Timeline'!HM43</f>
        <v>0</v>
      </c>
      <c r="HN57" s="174">
        <f>'20_Timeline'!HN43</f>
        <v>0</v>
      </c>
      <c r="HO57" s="174">
        <f>'20_Timeline'!HO43</f>
        <v>0</v>
      </c>
      <c r="HP57" s="174">
        <f>'20_Timeline'!HP43</f>
        <v>0</v>
      </c>
      <c r="HQ57" s="174">
        <f>'20_Timeline'!HQ43</f>
        <v>0</v>
      </c>
      <c r="HR57" s="174">
        <f>'20_Timeline'!HR43</f>
        <v>0</v>
      </c>
      <c r="HS57" s="174">
        <f>'20_Timeline'!HS43</f>
        <v>0</v>
      </c>
      <c r="HT57" s="174">
        <f>'20_Timeline'!HT43</f>
        <v>0</v>
      </c>
      <c r="HU57" s="174">
        <f>'20_Timeline'!HU43</f>
        <v>0</v>
      </c>
      <c r="HV57" s="174">
        <f>'20_Timeline'!HV43</f>
        <v>0</v>
      </c>
      <c r="HW57" s="174">
        <f>'20_Timeline'!HW43</f>
        <v>0</v>
      </c>
      <c r="HX57" s="174">
        <f>'20_Timeline'!HX43</f>
        <v>0</v>
      </c>
      <c r="HY57" s="174">
        <f>'20_Timeline'!HY43</f>
        <v>0</v>
      </c>
      <c r="HZ57" s="174">
        <f>'20_Timeline'!HZ43</f>
        <v>0</v>
      </c>
      <c r="IA57" s="174">
        <f>'20_Timeline'!IA43</f>
        <v>0</v>
      </c>
      <c r="IB57" s="174">
        <f>'20_Timeline'!IB43</f>
        <v>0</v>
      </c>
      <c r="IC57" s="174">
        <f>'20_Timeline'!IC43</f>
        <v>0</v>
      </c>
      <c r="ID57" s="174">
        <f>'20_Timeline'!ID43</f>
        <v>0</v>
      </c>
      <c r="IE57" s="174">
        <f>'20_Timeline'!IE43</f>
        <v>0</v>
      </c>
      <c r="IF57" s="174">
        <f>'20_Timeline'!IF43</f>
        <v>0</v>
      </c>
      <c r="IG57" s="174">
        <f>'20_Timeline'!IG43</f>
        <v>0</v>
      </c>
      <c r="IH57" s="174">
        <f>'20_Timeline'!IH43</f>
        <v>0</v>
      </c>
      <c r="II57" s="174">
        <f>'20_Timeline'!II43</f>
        <v>0</v>
      </c>
      <c r="IJ57" s="174">
        <f>'20_Timeline'!IJ43</f>
        <v>0</v>
      </c>
      <c r="IK57" s="174">
        <f>'20_Timeline'!IK43</f>
        <v>0</v>
      </c>
      <c r="IL57" s="174">
        <f>'20_Timeline'!IL43</f>
        <v>0</v>
      </c>
      <c r="IM57" s="174">
        <f>'20_Timeline'!IM43</f>
        <v>0</v>
      </c>
      <c r="IN57" s="174">
        <f>'20_Timeline'!IN43</f>
        <v>0</v>
      </c>
      <c r="IO57" s="174">
        <f>'20_Timeline'!IO43</f>
        <v>0</v>
      </c>
      <c r="IP57" s="174">
        <f>'20_Timeline'!IP43</f>
        <v>0</v>
      </c>
      <c r="IQ57" s="174">
        <f>'20_Timeline'!IQ43</f>
        <v>0</v>
      </c>
      <c r="IR57" s="174">
        <f>'20_Timeline'!IR43</f>
        <v>0</v>
      </c>
      <c r="IS57" s="174">
        <f>'20_Timeline'!IS43</f>
        <v>0</v>
      </c>
      <c r="IT57" s="174">
        <f>'20_Timeline'!IT43</f>
        <v>0</v>
      </c>
      <c r="IU57" s="174">
        <f>'20_Timeline'!IU43</f>
        <v>0</v>
      </c>
      <c r="IV57" s="174">
        <f>'20_Timeline'!IV43</f>
        <v>0</v>
      </c>
      <c r="IW57" s="174">
        <f>'20_Timeline'!IW43</f>
        <v>0</v>
      </c>
      <c r="IX57" s="174">
        <f>'20_Timeline'!IX43</f>
        <v>0</v>
      </c>
      <c r="IY57" s="174">
        <f>'20_Timeline'!IY43</f>
        <v>0</v>
      </c>
      <c r="IZ57" s="174">
        <f>'20_Timeline'!IZ43</f>
        <v>0</v>
      </c>
      <c r="JA57" s="174">
        <f>'20_Timeline'!JA43</f>
        <v>0</v>
      </c>
      <c r="JB57" s="174">
        <f>'20_Timeline'!JB43</f>
        <v>0</v>
      </c>
      <c r="JC57" s="174">
        <f>'20_Timeline'!JC43</f>
        <v>0</v>
      </c>
      <c r="JD57" s="174">
        <f>'20_Timeline'!JD43</f>
        <v>0</v>
      </c>
      <c r="JE57" s="174">
        <f>'20_Timeline'!JE43</f>
        <v>0</v>
      </c>
      <c r="JF57" s="174">
        <f>'20_Timeline'!JF43</f>
        <v>0</v>
      </c>
      <c r="JG57" s="174">
        <f>'20_Timeline'!JG43</f>
        <v>0</v>
      </c>
      <c r="JH57" s="174">
        <f>'20_Timeline'!JH43</f>
        <v>0</v>
      </c>
      <c r="JI57" s="174">
        <f>'20_Timeline'!JI43</f>
        <v>0</v>
      </c>
      <c r="JJ57" s="174">
        <f>'20_Timeline'!JJ43</f>
        <v>0</v>
      </c>
      <c r="JK57" s="174">
        <f>'20_Timeline'!JK43</f>
        <v>0</v>
      </c>
      <c r="JL57" s="174">
        <f>'20_Timeline'!JL43</f>
        <v>0</v>
      </c>
      <c r="JM57" s="174">
        <f>'20_Timeline'!JM43</f>
        <v>0</v>
      </c>
      <c r="JN57" s="174">
        <f>'20_Timeline'!JN43</f>
        <v>0</v>
      </c>
      <c r="JO57" s="174">
        <f>'20_Timeline'!JO43</f>
        <v>0</v>
      </c>
      <c r="JP57" s="174">
        <f>'20_Timeline'!JP43</f>
        <v>0</v>
      </c>
      <c r="JQ57" s="174">
        <f>'20_Timeline'!JQ43</f>
        <v>0</v>
      </c>
      <c r="JR57" s="174">
        <f>'20_Timeline'!JR43</f>
        <v>0</v>
      </c>
      <c r="JS57" s="174">
        <f>'20_Timeline'!JS43</f>
        <v>0</v>
      </c>
      <c r="JT57" s="174">
        <f>'20_Timeline'!JT43</f>
        <v>0</v>
      </c>
      <c r="JU57" s="174">
        <f>'20_Timeline'!JU43</f>
        <v>0</v>
      </c>
      <c r="JV57" s="174">
        <f>'20_Timeline'!JV43</f>
        <v>0</v>
      </c>
      <c r="JW57" s="174">
        <f>'20_Timeline'!JW43</f>
        <v>0</v>
      </c>
      <c r="JX57" s="174">
        <f>'20_Timeline'!JX43</f>
        <v>0</v>
      </c>
      <c r="JY57" s="174">
        <f>'20_Timeline'!JY43</f>
        <v>0</v>
      </c>
      <c r="JZ57" s="174">
        <f>'20_Timeline'!JZ43</f>
        <v>0</v>
      </c>
      <c r="KA57" s="174">
        <f>'20_Timeline'!KA43</f>
        <v>0</v>
      </c>
      <c r="KB57" s="174">
        <f>'20_Timeline'!KB43</f>
        <v>0</v>
      </c>
      <c r="KC57" s="174">
        <f>'20_Timeline'!KC43</f>
        <v>0</v>
      </c>
      <c r="KD57" s="174">
        <f>'20_Timeline'!KD43</f>
        <v>0</v>
      </c>
      <c r="KE57" s="174">
        <f>'20_Timeline'!KE43</f>
        <v>0</v>
      </c>
      <c r="KF57" s="174">
        <f>'20_Timeline'!KF43</f>
        <v>0</v>
      </c>
    </row>
    <row r="58">
      <c r="B58" s="36" t="inlineStr">
        <is>
          <t>Interest rate (p.a.)</t>
        </is>
      </c>
      <c r="C58" s="117" t="inlineStr">
        <is>
          <t>%</t>
        </is>
      </c>
      <c r="E58" s="153">
        <f>MAX(0,(IF(AND(RATE_TYPE=2,E56&gt;0),INDEX(RATE_PATH,MIN(10,MAX(1,E56))),RATE)+D_RATE_ADD)*D_RATE_F)</f>
        <v>0.15</v>
      </c>
      <c r="F58" s="153">
        <f>MAX(0,(IF(AND(RATE_TYPE=2,F56&gt;0),INDEX(RATE_PATH,MIN(10,MAX(1,F56))),RATE)+D_RATE_ADD)*D_RATE_F)</f>
        <v>0.15</v>
      </c>
      <c r="G58" s="153">
        <f>MAX(0,(IF(AND(RATE_TYPE=2,G56&gt;0),INDEX(RATE_PATH,MIN(10,MAX(1,G56))),RATE)+D_RATE_ADD)*D_RATE_F)</f>
        <v>0.15</v>
      </c>
      <c r="H58" s="153">
        <f>MAX(0,(IF(AND(RATE_TYPE=2,H56&gt;0),INDEX(RATE_PATH,MIN(10,MAX(1,H56))),RATE)+D_RATE_ADD)*D_RATE_F)</f>
        <v>0.15</v>
      </c>
      <c r="I58" s="153">
        <f>MAX(0,(IF(AND(RATE_TYPE=2,I56&gt;0),INDEX(RATE_PATH,MIN(10,MAX(1,I56))),RATE)+D_RATE_ADD)*D_RATE_F)</f>
        <v>0.15</v>
      </c>
      <c r="J58" s="153">
        <f>MAX(0,(IF(AND(RATE_TYPE=2,J56&gt;0),INDEX(RATE_PATH,MIN(10,MAX(1,J56))),RATE)+D_RATE_ADD)*D_RATE_F)</f>
        <v>0.15</v>
      </c>
      <c r="K58" s="153">
        <f>MAX(0,(IF(AND(RATE_TYPE=2,K56&gt;0),INDEX(RATE_PATH,MIN(10,MAX(1,K56))),RATE)+D_RATE_ADD)*D_RATE_F)</f>
        <v>0.15</v>
      </c>
      <c r="L58" s="153">
        <f>MAX(0,(IF(AND(RATE_TYPE=2,L56&gt;0),INDEX(RATE_PATH,MIN(10,MAX(1,L56))),RATE)+D_RATE_ADD)*D_RATE_F)</f>
        <v>0.15</v>
      </c>
      <c r="M58" s="153">
        <f>MAX(0,(IF(AND(RATE_TYPE=2,M56&gt;0),INDEX(RATE_PATH,MIN(10,MAX(1,M56))),RATE)+D_RATE_ADD)*D_RATE_F)</f>
        <v>0.15</v>
      </c>
      <c r="N58" s="153">
        <f>MAX(0,(IF(AND(RATE_TYPE=2,N56&gt;0),INDEX(RATE_PATH,MIN(10,MAX(1,N56))),RATE)+D_RATE_ADD)*D_RATE_F)</f>
        <v>0.15</v>
      </c>
      <c r="O58" s="153">
        <f>MAX(0,(IF(AND(RATE_TYPE=2,O56&gt;0),INDEX(RATE_PATH,MIN(10,MAX(1,O56))),RATE)+D_RATE_ADD)*D_RATE_F)</f>
        <v>0.15</v>
      </c>
      <c r="P58" s="153">
        <f>MAX(0,(IF(AND(RATE_TYPE=2,P56&gt;0),INDEX(RATE_PATH,MIN(10,MAX(1,P56))),RATE)+D_RATE_ADD)*D_RATE_F)</f>
        <v>0.15</v>
      </c>
      <c r="Q58" s="153">
        <f>MAX(0,(IF(AND(RATE_TYPE=2,Q56&gt;0),INDEX(RATE_PATH,MIN(10,MAX(1,Q56))),RATE)+D_RATE_ADD)*D_RATE_F)</f>
        <v>0.15</v>
      </c>
      <c r="R58" s="153">
        <f>MAX(0,(IF(AND(RATE_TYPE=2,R56&gt;0),INDEX(RATE_PATH,MIN(10,MAX(1,R56))),RATE)+D_RATE_ADD)*D_RATE_F)</f>
        <v>0.15</v>
      </c>
      <c r="S58" s="153">
        <f>MAX(0,(IF(AND(RATE_TYPE=2,S56&gt;0),INDEX(RATE_PATH,MIN(10,MAX(1,S56))),RATE)+D_RATE_ADD)*D_RATE_F)</f>
        <v>0.15</v>
      </c>
      <c r="T58" s="153">
        <f>MAX(0,(IF(AND(RATE_TYPE=2,T56&gt;0),INDEX(RATE_PATH,MIN(10,MAX(1,T56))),RATE)+D_RATE_ADD)*D_RATE_F)</f>
        <v>0.15</v>
      </c>
      <c r="U58" s="153">
        <f>MAX(0,(IF(AND(RATE_TYPE=2,U56&gt;0),INDEX(RATE_PATH,MIN(10,MAX(1,U56))),RATE)+D_RATE_ADD)*D_RATE_F)</f>
        <v>0.15</v>
      </c>
      <c r="V58" s="153">
        <f>MAX(0,(IF(AND(RATE_TYPE=2,V56&gt;0),INDEX(RATE_PATH,MIN(10,MAX(1,V56))),RATE)+D_RATE_ADD)*D_RATE_F)</f>
        <v>0.15</v>
      </c>
      <c r="W58" s="153">
        <f>MAX(0,(IF(AND(RATE_TYPE=2,W56&gt;0),INDEX(RATE_PATH,MIN(10,MAX(1,W56))),RATE)+D_RATE_ADD)*D_RATE_F)</f>
        <v>0.15</v>
      </c>
      <c r="X58" s="153">
        <f>MAX(0,(IF(AND(RATE_TYPE=2,X56&gt;0),INDEX(RATE_PATH,MIN(10,MAX(1,X56))),RATE)+D_RATE_ADD)*D_RATE_F)</f>
        <v>0.15</v>
      </c>
      <c r="Y58" s="153">
        <f>MAX(0,(IF(AND(RATE_TYPE=2,Y56&gt;0),INDEX(RATE_PATH,MIN(10,MAX(1,Y56))),RATE)+D_RATE_ADD)*D_RATE_F)</f>
        <v>0.15</v>
      </c>
      <c r="Z58" s="153">
        <f>MAX(0,(IF(AND(RATE_TYPE=2,Z56&gt;0),INDEX(RATE_PATH,MIN(10,MAX(1,Z56))),RATE)+D_RATE_ADD)*D_RATE_F)</f>
        <v>0.15</v>
      </c>
      <c r="AA58" s="153">
        <f>MAX(0,(IF(AND(RATE_TYPE=2,AA56&gt;0),INDEX(RATE_PATH,MIN(10,MAX(1,AA56))),RATE)+D_RATE_ADD)*D_RATE_F)</f>
        <v>0.15</v>
      </c>
      <c r="AB58" s="153">
        <f>MAX(0,(IF(AND(RATE_TYPE=2,AB56&gt;0),INDEX(RATE_PATH,MIN(10,MAX(1,AB56))),RATE)+D_RATE_ADD)*D_RATE_F)</f>
        <v>0.15</v>
      </c>
      <c r="AC58" s="153">
        <f>MAX(0,(IF(AND(RATE_TYPE=2,AC56&gt;0),INDEX(RATE_PATH,MIN(10,MAX(1,AC56))),RATE)+D_RATE_ADD)*D_RATE_F)</f>
        <v>0.15</v>
      </c>
      <c r="AD58" s="153">
        <f>MAX(0,(IF(AND(RATE_TYPE=2,AD56&gt;0),INDEX(RATE_PATH,MIN(10,MAX(1,AD56))),RATE)+D_RATE_ADD)*D_RATE_F)</f>
        <v>0.15</v>
      </c>
      <c r="AE58" s="153">
        <f>MAX(0,(IF(AND(RATE_TYPE=2,AE56&gt;0),INDEX(RATE_PATH,MIN(10,MAX(1,AE56))),RATE)+D_RATE_ADD)*D_RATE_F)</f>
        <v>0.15</v>
      </c>
      <c r="AF58" s="153">
        <f>MAX(0,(IF(AND(RATE_TYPE=2,AF56&gt;0),INDEX(RATE_PATH,MIN(10,MAX(1,AF56))),RATE)+D_RATE_ADD)*D_RATE_F)</f>
        <v>0.15</v>
      </c>
      <c r="AG58" s="153">
        <f>MAX(0,(IF(AND(RATE_TYPE=2,AG56&gt;0),INDEX(RATE_PATH,MIN(10,MAX(1,AG56))),RATE)+D_RATE_ADD)*D_RATE_F)</f>
        <v>0.15</v>
      </c>
      <c r="AH58" s="153">
        <f>MAX(0,(IF(AND(RATE_TYPE=2,AH56&gt;0),INDEX(RATE_PATH,MIN(10,MAX(1,AH56))),RATE)+D_RATE_ADD)*D_RATE_F)</f>
        <v>0.15</v>
      </c>
      <c r="AI58" s="153">
        <f>MAX(0,(IF(AND(RATE_TYPE=2,AI56&gt;0),INDEX(RATE_PATH,MIN(10,MAX(1,AI56))),RATE)+D_RATE_ADD)*D_RATE_F)</f>
        <v>0.15</v>
      </c>
      <c r="AJ58" s="153">
        <f>MAX(0,(IF(AND(RATE_TYPE=2,AJ56&gt;0),INDEX(RATE_PATH,MIN(10,MAX(1,AJ56))),RATE)+D_RATE_ADD)*D_RATE_F)</f>
        <v>0.15</v>
      </c>
      <c r="AK58" s="153">
        <f>MAX(0,(IF(AND(RATE_TYPE=2,AK56&gt;0),INDEX(RATE_PATH,MIN(10,MAX(1,AK56))),RATE)+D_RATE_ADD)*D_RATE_F)</f>
        <v>0.15</v>
      </c>
      <c r="AL58" s="153">
        <f>MAX(0,(IF(AND(RATE_TYPE=2,AL56&gt;0),INDEX(RATE_PATH,MIN(10,MAX(1,AL56))),RATE)+D_RATE_ADD)*D_RATE_F)</f>
        <v>0.15</v>
      </c>
      <c r="AM58" s="153">
        <f>MAX(0,(IF(AND(RATE_TYPE=2,AM56&gt;0),INDEX(RATE_PATH,MIN(10,MAX(1,AM56))),RATE)+D_RATE_ADD)*D_RATE_F)</f>
        <v>0.15</v>
      </c>
      <c r="AN58" s="153">
        <f>MAX(0,(IF(AND(RATE_TYPE=2,AN56&gt;0),INDEX(RATE_PATH,MIN(10,MAX(1,AN56))),RATE)+D_RATE_ADD)*D_RATE_F)</f>
        <v>0.15</v>
      </c>
      <c r="AO58" s="153">
        <f>MAX(0,(IF(AND(RATE_TYPE=2,AO56&gt;0),INDEX(RATE_PATH,MIN(10,MAX(1,AO56))),RATE)+D_RATE_ADD)*D_RATE_F)</f>
        <v>0.15</v>
      </c>
      <c r="AP58" s="153">
        <f>MAX(0,(IF(AND(RATE_TYPE=2,AP56&gt;0),INDEX(RATE_PATH,MIN(10,MAX(1,AP56))),RATE)+D_RATE_ADD)*D_RATE_F)</f>
        <v>0.15</v>
      </c>
      <c r="AQ58" s="153">
        <f>MAX(0,(IF(AND(RATE_TYPE=2,AQ56&gt;0),INDEX(RATE_PATH,MIN(10,MAX(1,AQ56))),RATE)+D_RATE_ADD)*D_RATE_F)</f>
        <v>0.15</v>
      </c>
      <c r="AR58" s="153">
        <f>MAX(0,(IF(AND(RATE_TYPE=2,AR56&gt;0),INDEX(RATE_PATH,MIN(10,MAX(1,AR56))),RATE)+D_RATE_ADD)*D_RATE_F)</f>
        <v>0.15</v>
      </c>
      <c r="AS58" s="153">
        <f>MAX(0,(IF(AND(RATE_TYPE=2,AS56&gt;0),INDEX(RATE_PATH,MIN(10,MAX(1,AS56))),RATE)+D_RATE_ADD)*D_RATE_F)</f>
        <v>0.15</v>
      </c>
      <c r="AT58" s="153">
        <f>MAX(0,(IF(AND(RATE_TYPE=2,AT56&gt;0),INDEX(RATE_PATH,MIN(10,MAX(1,AT56))),RATE)+D_RATE_ADD)*D_RATE_F)</f>
        <v>0.15</v>
      </c>
      <c r="AU58" s="153">
        <f>MAX(0,(IF(AND(RATE_TYPE=2,AU56&gt;0),INDEX(RATE_PATH,MIN(10,MAX(1,AU56))),RATE)+D_RATE_ADD)*D_RATE_F)</f>
        <v>0.15</v>
      </c>
      <c r="AV58" s="153">
        <f>MAX(0,(IF(AND(RATE_TYPE=2,AV56&gt;0),INDEX(RATE_PATH,MIN(10,MAX(1,AV56))),RATE)+D_RATE_ADD)*D_RATE_F)</f>
        <v>0.15</v>
      </c>
      <c r="AW58" s="153">
        <f>MAX(0,(IF(AND(RATE_TYPE=2,AW56&gt;0),INDEX(RATE_PATH,MIN(10,MAX(1,AW56))),RATE)+D_RATE_ADD)*D_RATE_F)</f>
        <v>0.15</v>
      </c>
      <c r="AX58" s="153">
        <f>MAX(0,(IF(AND(RATE_TYPE=2,AX56&gt;0),INDEX(RATE_PATH,MIN(10,MAX(1,AX56))),RATE)+D_RATE_ADD)*D_RATE_F)</f>
        <v>0.15</v>
      </c>
      <c r="AY58" s="153">
        <f>MAX(0,(IF(AND(RATE_TYPE=2,AY56&gt;0),INDEX(RATE_PATH,MIN(10,MAX(1,AY56))),RATE)+D_RATE_ADD)*D_RATE_F)</f>
        <v>0.15</v>
      </c>
      <c r="AZ58" s="153">
        <f>MAX(0,(IF(AND(RATE_TYPE=2,AZ56&gt;0),INDEX(RATE_PATH,MIN(10,MAX(1,AZ56))),RATE)+D_RATE_ADD)*D_RATE_F)</f>
        <v>0.15</v>
      </c>
      <c r="BA58" s="153">
        <f>MAX(0,(IF(AND(RATE_TYPE=2,BA56&gt;0),INDEX(RATE_PATH,MIN(10,MAX(1,BA56))),RATE)+D_RATE_ADD)*D_RATE_F)</f>
        <v>0.15</v>
      </c>
      <c r="BB58" s="153">
        <f>MAX(0,(IF(AND(RATE_TYPE=2,BB56&gt;0),INDEX(RATE_PATH,MIN(10,MAX(1,BB56))),RATE)+D_RATE_ADD)*D_RATE_F)</f>
        <v>0.15</v>
      </c>
      <c r="BC58" s="153">
        <f>MAX(0,(IF(AND(RATE_TYPE=2,BC56&gt;0),INDEX(RATE_PATH,MIN(10,MAX(1,BC56))),RATE)+D_RATE_ADD)*D_RATE_F)</f>
        <v>0.15</v>
      </c>
      <c r="BD58" s="153">
        <f>MAX(0,(IF(AND(RATE_TYPE=2,BD56&gt;0),INDEX(RATE_PATH,MIN(10,MAX(1,BD56))),RATE)+D_RATE_ADD)*D_RATE_F)</f>
        <v>0.15</v>
      </c>
      <c r="BE58" s="153">
        <f>MAX(0,(IF(AND(RATE_TYPE=2,BE56&gt;0),INDEX(RATE_PATH,MIN(10,MAX(1,BE56))),RATE)+D_RATE_ADD)*D_RATE_F)</f>
        <v>0.15</v>
      </c>
      <c r="BF58" s="153">
        <f>MAX(0,(IF(AND(RATE_TYPE=2,BF56&gt;0),INDEX(RATE_PATH,MIN(10,MAX(1,BF56))),RATE)+D_RATE_ADD)*D_RATE_F)</f>
        <v>0.15</v>
      </c>
      <c r="BG58" s="153">
        <f>MAX(0,(IF(AND(RATE_TYPE=2,BG56&gt;0),INDEX(RATE_PATH,MIN(10,MAX(1,BG56))),RATE)+D_RATE_ADD)*D_RATE_F)</f>
        <v>0.15</v>
      </c>
      <c r="BH58" s="153">
        <f>MAX(0,(IF(AND(RATE_TYPE=2,BH56&gt;0),INDEX(RATE_PATH,MIN(10,MAX(1,BH56))),RATE)+D_RATE_ADD)*D_RATE_F)</f>
        <v>0.15</v>
      </c>
      <c r="BI58" s="153">
        <f>MAX(0,(IF(AND(RATE_TYPE=2,BI56&gt;0),INDEX(RATE_PATH,MIN(10,MAX(1,BI56))),RATE)+D_RATE_ADD)*D_RATE_F)</f>
        <v>0.15</v>
      </c>
      <c r="BJ58" s="153">
        <f>MAX(0,(IF(AND(RATE_TYPE=2,BJ56&gt;0),INDEX(RATE_PATH,MIN(10,MAX(1,BJ56))),RATE)+D_RATE_ADD)*D_RATE_F)</f>
        <v>0.15</v>
      </c>
      <c r="BK58" s="153">
        <f>MAX(0,(IF(AND(RATE_TYPE=2,BK56&gt;0),INDEX(RATE_PATH,MIN(10,MAX(1,BK56))),RATE)+D_RATE_ADD)*D_RATE_F)</f>
        <v>0.15</v>
      </c>
      <c r="BL58" s="153">
        <f>MAX(0,(IF(AND(RATE_TYPE=2,BL56&gt;0),INDEX(RATE_PATH,MIN(10,MAX(1,BL56))),RATE)+D_RATE_ADD)*D_RATE_F)</f>
        <v>0.15</v>
      </c>
      <c r="BM58" s="153">
        <f>MAX(0,(IF(AND(RATE_TYPE=2,BM56&gt;0),INDEX(RATE_PATH,MIN(10,MAX(1,BM56))),RATE)+D_RATE_ADD)*D_RATE_F)</f>
        <v>0.15</v>
      </c>
      <c r="BN58" s="153">
        <f>MAX(0,(IF(AND(RATE_TYPE=2,BN56&gt;0),INDEX(RATE_PATH,MIN(10,MAX(1,BN56))),RATE)+D_RATE_ADD)*D_RATE_F)</f>
        <v>0.15</v>
      </c>
      <c r="BO58" s="153">
        <f>MAX(0,(IF(AND(RATE_TYPE=2,BO56&gt;0),INDEX(RATE_PATH,MIN(10,MAX(1,BO56))),RATE)+D_RATE_ADD)*D_RATE_F)</f>
        <v>0.15</v>
      </c>
      <c r="BP58" s="153">
        <f>MAX(0,(IF(AND(RATE_TYPE=2,BP56&gt;0),INDEX(RATE_PATH,MIN(10,MAX(1,BP56))),RATE)+D_RATE_ADD)*D_RATE_F)</f>
        <v>0.15</v>
      </c>
      <c r="BQ58" s="153">
        <f>MAX(0,(IF(AND(RATE_TYPE=2,BQ56&gt;0),INDEX(RATE_PATH,MIN(10,MAX(1,BQ56))),RATE)+D_RATE_ADD)*D_RATE_F)</f>
        <v>0.15</v>
      </c>
      <c r="BR58" s="153">
        <f>MAX(0,(IF(AND(RATE_TYPE=2,BR56&gt;0),INDEX(RATE_PATH,MIN(10,MAX(1,BR56))),RATE)+D_RATE_ADD)*D_RATE_F)</f>
        <v>0.15</v>
      </c>
      <c r="BS58" s="153">
        <f>MAX(0,(IF(AND(RATE_TYPE=2,BS56&gt;0),INDEX(RATE_PATH,MIN(10,MAX(1,BS56))),RATE)+D_RATE_ADD)*D_RATE_F)</f>
        <v>0.15</v>
      </c>
      <c r="BT58" s="153">
        <f>MAX(0,(IF(AND(RATE_TYPE=2,BT56&gt;0),INDEX(RATE_PATH,MIN(10,MAX(1,BT56))),RATE)+D_RATE_ADD)*D_RATE_F)</f>
        <v>0.15</v>
      </c>
      <c r="BU58" s="153">
        <f>MAX(0,(IF(AND(RATE_TYPE=2,BU56&gt;0),INDEX(RATE_PATH,MIN(10,MAX(1,BU56))),RATE)+D_RATE_ADD)*D_RATE_F)</f>
        <v>0.15</v>
      </c>
      <c r="BV58" s="153">
        <f>MAX(0,(IF(AND(RATE_TYPE=2,BV56&gt;0),INDEX(RATE_PATH,MIN(10,MAX(1,BV56))),RATE)+D_RATE_ADD)*D_RATE_F)</f>
        <v>0.15</v>
      </c>
      <c r="BW58" s="153">
        <f>MAX(0,(IF(AND(RATE_TYPE=2,BW56&gt;0),INDEX(RATE_PATH,MIN(10,MAX(1,BW56))),RATE)+D_RATE_ADD)*D_RATE_F)</f>
        <v>0.15</v>
      </c>
      <c r="BX58" s="153">
        <f>MAX(0,(IF(AND(RATE_TYPE=2,BX56&gt;0),INDEX(RATE_PATH,MIN(10,MAX(1,BX56))),RATE)+D_RATE_ADD)*D_RATE_F)</f>
        <v>0.15</v>
      </c>
      <c r="BY58" s="153">
        <f>MAX(0,(IF(AND(RATE_TYPE=2,BY56&gt;0),INDEX(RATE_PATH,MIN(10,MAX(1,BY56))),RATE)+D_RATE_ADD)*D_RATE_F)</f>
        <v>0.15</v>
      </c>
      <c r="BZ58" s="153">
        <f>MAX(0,(IF(AND(RATE_TYPE=2,BZ56&gt;0),INDEX(RATE_PATH,MIN(10,MAX(1,BZ56))),RATE)+D_RATE_ADD)*D_RATE_F)</f>
        <v>0.15</v>
      </c>
      <c r="CA58" s="153">
        <f>MAX(0,(IF(AND(RATE_TYPE=2,CA56&gt;0),INDEX(RATE_PATH,MIN(10,MAX(1,CA56))),RATE)+D_RATE_ADD)*D_RATE_F)</f>
        <v>0.15</v>
      </c>
      <c r="CB58" s="153">
        <f>MAX(0,(IF(AND(RATE_TYPE=2,CB56&gt;0),INDEX(RATE_PATH,MIN(10,MAX(1,CB56))),RATE)+D_RATE_ADD)*D_RATE_F)</f>
        <v>0.15</v>
      </c>
      <c r="CC58" s="153">
        <f>MAX(0,(IF(AND(RATE_TYPE=2,CC56&gt;0),INDEX(RATE_PATH,MIN(10,MAX(1,CC56))),RATE)+D_RATE_ADD)*D_RATE_F)</f>
        <v>0.15</v>
      </c>
      <c r="CD58" s="153">
        <f>MAX(0,(IF(AND(RATE_TYPE=2,CD56&gt;0),INDEX(RATE_PATH,MIN(10,MAX(1,CD56))),RATE)+D_RATE_ADD)*D_RATE_F)</f>
        <v>0.15</v>
      </c>
      <c r="CE58" s="153">
        <f>MAX(0,(IF(AND(RATE_TYPE=2,CE56&gt;0),INDEX(RATE_PATH,MIN(10,MAX(1,CE56))),RATE)+D_RATE_ADD)*D_RATE_F)</f>
        <v>0.15</v>
      </c>
      <c r="CF58" s="153">
        <f>MAX(0,(IF(AND(RATE_TYPE=2,CF56&gt;0),INDEX(RATE_PATH,MIN(10,MAX(1,CF56))),RATE)+D_RATE_ADD)*D_RATE_F)</f>
        <v>0.15</v>
      </c>
      <c r="CG58" s="153">
        <f>MAX(0,(IF(AND(RATE_TYPE=2,CG56&gt;0),INDEX(RATE_PATH,MIN(10,MAX(1,CG56))),RATE)+D_RATE_ADD)*D_RATE_F)</f>
        <v>0.15</v>
      </c>
      <c r="CH58" s="153">
        <f>MAX(0,(IF(AND(RATE_TYPE=2,CH56&gt;0),INDEX(RATE_PATH,MIN(10,MAX(1,CH56))),RATE)+D_RATE_ADD)*D_RATE_F)</f>
        <v>0.15</v>
      </c>
      <c r="CI58" s="153">
        <f>MAX(0,(IF(AND(RATE_TYPE=2,CI56&gt;0),INDEX(RATE_PATH,MIN(10,MAX(1,CI56))),RATE)+D_RATE_ADD)*D_RATE_F)</f>
        <v>0.15</v>
      </c>
      <c r="CJ58" s="153">
        <f>MAX(0,(IF(AND(RATE_TYPE=2,CJ56&gt;0),INDEX(RATE_PATH,MIN(10,MAX(1,CJ56))),RATE)+D_RATE_ADD)*D_RATE_F)</f>
        <v>0.15</v>
      </c>
      <c r="CK58" s="153">
        <f>MAX(0,(IF(AND(RATE_TYPE=2,CK56&gt;0),INDEX(RATE_PATH,MIN(10,MAX(1,CK56))),RATE)+D_RATE_ADD)*D_RATE_F)</f>
        <v>0.15</v>
      </c>
      <c r="CL58" s="153">
        <f>MAX(0,(IF(AND(RATE_TYPE=2,CL56&gt;0),INDEX(RATE_PATH,MIN(10,MAX(1,CL56))),RATE)+D_RATE_ADD)*D_RATE_F)</f>
        <v>0.15</v>
      </c>
      <c r="CM58" s="153">
        <f>MAX(0,(IF(AND(RATE_TYPE=2,CM56&gt;0),INDEX(RATE_PATH,MIN(10,MAX(1,CM56))),RATE)+D_RATE_ADD)*D_RATE_F)</f>
        <v>0.15</v>
      </c>
      <c r="CN58" s="153">
        <f>MAX(0,(IF(AND(RATE_TYPE=2,CN56&gt;0),INDEX(RATE_PATH,MIN(10,MAX(1,CN56))),RATE)+D_RATE_ADD)*D_RATE_F)</f>
        <v>0.15</v>
      </c>
      <c r="CO58" s="153">
        <f>MAX(0,(IF(AND(RATE_TYPE=2,CO56&gt;0),INDEX(RATE_PATH,MIN(10,MAX(1,CO56))),RATE)+D_RATE_ADD)*D_RATE_F)</f>
        <v>0.15</v>
      </c>
      <c r="CP58" s="153">
        <f>MAX(0,(IF(AND(RATE_TYPE=2,CP56&gt;0),INDEX(RATE_PATH,MIN(10,MAX(1,CP56))),RATE)+D_RATE_ADD)*D_RATE_F)</f>
        <v>0.15</v>
      </c>
      <c r="CQ58" s="153">
        <f>MAX(0,(IF(AND(RATE_TYPE=2,CQ56&gt;0),INDEX(RATE_PATH,MIN(10,MAX(1,CQ56))),RATE)+D_RATE_ADD)*D_RATE_F)</f>
        <v>0.15</v>
      </c>
      <c r="CR58" s="153">
        <f>MAX(0,(IF(AND(RATE_TYPE=2,CR56&gt;0),INDEX(RATE_PATH,MIN(10,MAX(1,CR56))),RATE)+D_RATE_ADD)*D_RATE_F)</f>
        <v>0.15</v>
      </c>
      <c r="CS58" s="153">
        <f>MAX(0,(IF(AND(RATE_TYPE=2,CS56&gt;0),INDEX(RATE_PATH,MIN(10,MAX(1,CS56))),RATE)+D_RATE_ADD)*D_RATE_F)</f>
        <v>0.15</v>
      </c>
      <c r="CT58" s="153">
        <f>MAX(0,(IF(AND(RATE_TYPE=2,CT56&gt;0),INDEX(RATE_PATH,MIN(10,MAX(1,CT56))),RATE)+D_RATE_ADD)*D_RATE_F)</f>
        <v>0.15</v>
      </c>
      <c r="CU58" s="153">
        <f>MAX(0,(IF(AND(RATE_TYPE=2,CU56&gt;0),INDEX(RATE_PATH,MIN(10,MAX(1,CU56))),RATE)+D_RATE_ADD)*D_RATE_F)</f>
        <v>0.15</v>
      </c>
      <c r="CV58" s="153">
        <f>MAX(0,(IF(AND(RATE_TYPE=2,CV56&gt;0),INDEX(RATE_PATH,MIN(10,MAX(1,CV56))),RATE)+D_RATE_ADD)*D_RATE_F)</f>
        <v>0.15</v>
      </c>
      <c r="CW58" s="153">
        <f>MAX(0,(IF(AND(RATE_TYPE=2,CW56&gt;0),INDEX(RATE_PATH,MIN(10,MAX(1,CW56))),RATE)+D_RATE_ADD)*D_RATE_F)</f>
        <v>0.15</v>
      </c>
      <c r="CX58" s="153">
        <f>MAX(0,(IF(AND(RATE_TYPE=2,CX56&gt;0),INDEX(RATE_PATH,MIN(10,MAX(1,CX56))),RATE)+D_RATE_ADD)*D_RATE_F)</f>
        <v>0.15</v>
      </c>
      <c r="CY58" s="153">
        <f>MAX(0,(IF(AND(RATE_TYPE=2,CY56&gt;0),INDEX(RATE_PATH,MIN(10,MAX(1,CY56))),RATE)+D_RATE_ADD)*D_RATE_F)</f>
        <v>0.15</v>
      </c>
      <c r="CZ58" s="153">
        <f>MAX(0,(IF(AND(RATE_TYPE=2,CZ56&gt;0),INDEX(RATE_PATH,MIN(10,MAX(1,CZ56))),RATE)+D_RATE_ADD)*D_RATE_F)</f>
        <v>0.15</v>
      </c>
      <c r="DA58" s="153">
        <f>MAX(0,(IF(AND(RATE_TYPE=2,DA56&gt;0),INDEX(RATE_PATH,MIN(10,MAX(1,DA56))),RATE)+D_RATE_ADD)*D_RATE_F)</f>
        <v>0.15</v>
      </c>
      <c r="DB58" s="153">
        <f>MAX(0,(IF(AND(RATE_TYPE=2,DB56&gt;0),INDEX(RATE_PATH,MIN(10,MAX(1,DB56))),RATE)+D_RATE_ADD)*D_RATE_F)</f>
        <v>0.15</v>
      </c>
      <c r="DC58" s="153">
        <f>MAX(0,(IF(AND(RATE_TYPE=2,DC56&gt;0),INDEX(RATE_PATH,MIN(10,MAX(1,DC56))),RATE)+D_RATE_ADD)*D_RATE_F)</f>
        <v>0.15</v>
      </c>
      <c r="DD58" s="153">
        <f>MAX(0,(IF(AND(RATE_TYPE=2,DD56&gt;0),INDEX(RATE_PATH,MIN(10,MAX(1,DD56))),RATE)+D_RATE_ADD)*D_RATE_F)</f>
        <v>0.15</v>
      </c>
      <c r="DE58" s="153">
        <f>MAX(0,(IF(AND(RATE_TYPE=2,DE56&gt;0),INDEX(RATE_PATH,MIN(10,MAX(1,DE56))),RATE)+D_RATE_ADD)*D_RATE_F)</f>
        <v>0.15</v>
      </c>
      <c r="DF58" s="153">
        <f>MAX(0,(IF(AND(RATE_TYPE=2,DF56&gt;0),INDEX(RATE_PATH,MIN(10,MAX(1,DF56))),RATE)+D_RATE_ADD)*D_RATE_F)</f>
        <v>0.15</v>
      </c>
      <c r="DG58" s="153">
        <f>MAX(0,(IF(AND(RATE_TYPE=2,DG56&gt;0),INDEX(RATE_PATH,MIN(10,MAX(1,DG56))),RATE)+D_RATE_ADD)*D_RATE_F)</f>
        <v>0.15</v>
      </c>
      <c r="DH58" s="153">
        <f>MAX(0,(IF(AND(RATE_TYPE=2,DH56&gt;0),INDEX(RATE_PATH,MIN(10,MAX(1,DH56))),RATE)+D_RATE_ADD)*D_RATE_F)</f>
        <v>0.15</v>
      </c>
      <c r="DI58" s="153">
        <f>MAX(0,(IF(AND(RATE_TYPE=2,DI56&gt;0),INDEX(RATE_PATH,MIN(10,MAX(1,DI56))),RATE)+D_RATE_ADD)*D_RATE_F)</f>
        <v>0.15</v>
      </c>
      <c r="DJ58" s="153">
        <f>MAX(0,(IF(AND(RATE_TYPE=2,DJ56&gt;0),INDEX(RATE_PATH,MIN(10,MAX(1,DJ56))),RATE)+D_RATE_ADD)*D_RATE_F)</f>
        <v>0.15</v>
      </c>
      <c r="DK58" s="153">
        <f>MAX(0,(IF(AND(RATE_TYPE=2,DK56&gt;0),INDEX(RATE_PATH,MIN(10,MAX(1,DK56))),RATE)+D_RATE_ADD)*D_RATE_F)</f>
        <v>0.15</v>
      </c>
      <c r="DL58" s="153">
        <f>MAX(0,(IF(AND(RATE_TYPE=2,DL56&gt;0),INDEX(RATE_PATH,MIN(10,MAX(1,DL56))),RATE)+D_RATE_ADD)*D_RATE_F)</f>
        <v>0.15</v>
      </c>
      <c r="DM58" s="153">
        <f>MAX(0,(IF(AND(RATE_TYPE=2,DM56&gt;0),INDEX(RATE_PATH,MIN(10,MAX(1,DM56))),RATE)+D_RATE_ADD)*D_RATE_F)</f>
        <v>0.15</v>
      </c>
      <c r="DN58" s="153">
        <f>MAX(0,(IF(AND(RATE_TYPE=2,DN56&gt;0),INDEX(RATE_PATH,MIN(10,MAX(1,DN56))),RATE)+D_RATE_ADD)*D_RATE_F)</f>
        <v>0.15</v>
      </c>
      <c r="DO58" s="153">
        <f>MAX(0,(IF(AND(RATE_TYPE=2,DO56&gt;0),INDEX(RATE_PATH,MIN(10,MAX(1,DO56))),RATE)+D_RATE_ADD)*D_RATE_F)</f>
        <v>0.15</v>
      </c>
      <c r="DP58" s="153">
        <f>MAX(0,(IF(AND(RATE_TYPE=2,DP56&gt;0),INDEX(RATE_PATH,MIN(10,MAX(1,DP56))),RATE)+D_RATE_ADD)*D_RATE_F)</f>
        <v>0.15</v>
      </c>
      <c r="DQ58" s="153">
        <f>MAX(0,(IF(AND(RATE_TYPE=2,DQ56&gt;0),INDEX(RATE_PATH,MIN(10,MAX(1,DQ56))),RATE)+D_RATE_ADD)*D_RATE_F)</f>
        <v>0.15</v>
      </c>
      <c r="DR58" s="153">
        <f>MAX(0,(IF(AND(RATE_TYPE=2,DR56&gt;0),INDEX(RATE_PATH,MIN(10,MAX(1,DR56))),RATE)+D_RATE_ADD)*D_RATE_F)</f>
        <v>0.15</v>
      </c>
      <c r="DS58" s="153">
        <f>MAX(0,(IF(AND(RATE_TYPE=2,DS56&gt;0),INDEX(RATE_PATH,MIN(10,MAX(1,DS56))),RATE)+D_RATE_ADD)*D_RATE_F)</f>
        <v>0.15</v>
      </c>
      <c r="DT58" s="153">
        <f>MAX(0,(IF(AND(RATE_TYPE=2,DT56&gt;0),INDEX(RATE_PATH,MIN(10,MAX(1,DT56))),RATE)+D_RATE_ADD)*D_RATE_F)</f>
        <v>0.15</v>
      </c>
      <c r="DU58" s="153">
        <f>MAX(0,(IF(AND(RATE_TYPE=2,DU56&gt;0),INDEX(RATE_PATH,MIN(10,MAX(1,DU56))),RATE)+D_RATE_ADD)*D_RATE_F)</f>
        <v>0.15</v>
      </c>
      <c r="DV58" s="153">
        <f>MAX(0,(IF(AND(RATE_TYPE=2,DV56&gt;0),INDEX(RATE_PATH,MIN(10,MAX(1,DV56))),RATE)+D_RATE_ADD)*D_RATE_F)</f>
        <v>0.15</v>
      </c>
      <c r="DW58" s="153">
        <f>MAX(0,(IF(AND(RATE_TYPE=2,DW56&gt;0),INDEX(RATE_PATH,MIN(10,MAX(1,DW56))),RATE)+D_RATE_ADD)*D_RATE_F)</f>
        <v>0.15</v>
      </c>
      <c r="DX58" s="153">
        <f>MAX(0,(IF(AND(RATE_TYPE=2,DX56&gt;0),INDEX(RATE_PATH,MIN(10,MAX(1,DX56))),RATE)+D_RATE_ADD)*D_RATE_F)</f>
        <v>0.15</v>
      </c>
      <c r="DY58" s="153">
        <f>MAX(0,(IF(AND(RATE_TYPE=2,DY56&gt;0),INDEX(RATE_PATH,MIN(10,MAX(1,DY56))),RATE)+D_RATE_ADD)*D_RATE_F)</f>
        <v>0.15</v>
      </c>
      <c r="DZ58" s="153">
        <f>MAX(0,(IF(AND(RATE_TYPE=2,DZ56&gt;0),INDEX(RATE_PATH,MIN(10,MAX(1,DZ56))),RATE)+D_RATE_ADD)*D_RATE_F)</f>
        <v>0.15</v>
      </c>
      <c r="EA58" s="153">
        <f>MAX(0,(IF(AND(RATE_TYPE=2,EA56&gt;0),INDEX(RATE_PATH,MIN(10,MAX(1,EA56))),RATE)+D_RATE_ADD)*D_RATE_F)</f>
        <v>0.15</v>
      </c>
      <c r="EB58" s="153">
        <f>MAX(0,(IF(AND(RATE_TYPE=2,EB56&gt;0),INDEX(RATE_PATH,MIN(10,MAX(1,EB56))),RATE)+D_RATE_ADD)*D_RATE_F)</f>
        <v>0.15</v>
      </c>
      <c r="EC58" s="153">
        <f>MAX(0,(IF(AND(RATE_TYPE=2,EC56&gt;0),INDEX(RATE_PATH,MIN(10,MAX(1,EC56))),RATE)+D_RATE_ADD)*D_RATE_F)</f>
        <v>0.15</v>
      </c>
      <c r="ED58" s="153">
        <f>MAX(0,(IF(AND(RATE_TYPE=2,ED56&gt;0),INDEX(RATE_PATH,MIN(10,MAX(1,ED56))),RATE)+D_RATE_ADD)*D_RATE_F)</f>
        <v>0.15</v>
      </c>
      <c r="EE58" s="153">
        <f>MAX(0,(IF(AND(RATE_TYPE=2,EE56&gt;0),INDEX(RATE_PATH,MIN(10,MAX(1,EE56))),RATE)+D_RATE_ADD)*D_RATE_F)</f>
        <v>0.15</v>
      </c>
      <c r="EF58" s="153">
        <f>MAX(0,(IF(AND(RATE_TYPE=2,EF56&gt;0),INDEX(RATE_PATH,MIN(10,MAX(1,EF56))),RATE)+D_RATE_ADD)*D_RATE_F)</f>
        <v>0.15</v>
      </c>
      <c r="EG58" s="153">
        <f>MAX(0,(IF(AND(RATE_TYPE=2,EG56&gt;0),INDEX(RATE_PATH,MIN(10,MAX(1,EG56))),RATE)+D_RATE_ADD)*D_RATE_F)</f>
        <v>0.15</v>
      </c>
      <c r="EH58" s="153">
        <f>MAX(0,(IF(AND(RATE_TYPE=2,EH56&gt;0),INDEX(RATE_PATH,MIN(10,MAX(1,EH56))),RATE)+D_RATE_ADD)*D_RATE_F)</f>
        <v>0.15</v>
      </c>
      <c r="EI58" s="153">
        <f>MAX(0,(IF(AND(RATE_TYPE=2,EI56&gt;0),INDEX(RATE_PATH,MIN(10,MAX(1,EI56))),RATE)+D_RATE_ADD)*D_RATE_F)</f>
        <v>0.15</v>
      </c>
      <c r="EJ58" s="153">
        <f>MAX(0,(IF(AND(RATE_TYPE=2,EJ56&gt;0),INDEX(RATE_PATH,MIN(10,MAX(1,EJ56))),RATE)+D_RATE_ADD)*D_RATE_F)</f>
        <v>0.15</v>
      </c>
      <c r="EK58" s="153">
        <f>MAX(0,(IF(AND(RATE_TYPE=2,EK56&gt;0),INDEX(RATE_PATH,MIN(10,MAX(1,EK56))),RATE)+D_RATE_ADD)*D_RATE_F)</f>
        <v>0.15</v>
      </c>
      <c r="EL58" s="153">
        <f>MAX(0,(IF(AND(RATE_TYPE=2,EL56&gt;0),INDEX(RATE_PATH,MIN(10,MAX(1,EL56))),RATE)+D_RATE_ADD)*D_RATE_F)</f>
        <v>0.15</v>
      </c>
      <c r="EM58" s="153">
        <f>MAX(0,(IF(AND(RATE_TYPE=2,EM56&gt;0),INDEX(RATE_PATH,MIN(10,MAX(1,EM56))),RATE)+D_RATE_ADD)*D_RATE_F)</f>
        <v>0.15</v>
      </c>
      <c r="EN58" s="153">
        <f>MAX(0,(IF(AND(RATE_TYPE=2,EN56&gt;0),INDEX(RATE_PATH,MIN(10,MAX(1,EN56))),RATE)+D_RATE_ADD)*D_RATE_F)</f>
        <v>0.15</v>
      </c>
      <c r="EO58" s="153">
        <f>MAX(0,(IF(AND(RATE_TYPE=2,EO56&gt;0),INDEX(RATE_PATH,MIN(10,MAX(1,EO56))),RATE)+D_RATE_ADD)*D_RATE_F)</f>
        <v>0.15</v>
      </c>
      <c r="EP58" s="153">
        <f>MAX(0,(IF(AND(RATE_TYPE=2,EP56&gt;0),INDEX(RATE_PATH,MIN(10,MAX(1,EP56))),RATE)+D_RATE_ADD)*D_RATE_F)</f>
        <v>0.15</v>
      </c>
      <c r="EQ58" s="153">
        <f>MAX(0,(IF(AND(RATE_TYPE=2,EQ56&gt;0),INDEX(RATE_PATH,MIN(10,MAX(1,EQ56))),RATE)+D_RATE_ADD)*D_RATE_F)</f>
        <v>0.15</v>
      </c>
      <c r="ER58" s="153">
        <f>MAX(0,(IF(AND(RATE_TYPE=2,ER56&gt;0),INDEX(RATE_PATH,MIN(10,MAX(1,ER56))),RATE)+D_RATE_ADD)*D_RATE_F)</f>
        <v>0.15</v>
      </c>
      <c r="ES58" s="153">
        <f>MAX(0,(IF(AND(RATE_TYPE=2,ES56&gt;0),INDEX(RATE_PATH,MIN(10,MAX(1,ES56))),RATE)+D_RATE_ADD)*D_RATE_F)</f>
        <v>0.15</v>
      </c>
      <c r="ET58" s="153">
        <f>MAX(0,(IF(AND(RATE_TYPE=2,ET56&gt;0),INDEX(RATE_PATH,MIN(10,MAX(1,ET56))),RATE)+D_RATE_ADD)*D_RATE_F)</f>
        <v>0.15</v>
      </c>
      <c r="EU58" s="153">
        <f>MAX(0,(IF(AND(RATE_TYPE=2,EU56&gt;0),INDEX(RATE_PATH,MIN(10,MAX(1,EU56))),RATE)+D_RATE_ADD)*D_RATE_F)</f>
        <v>0.15</v>
      </c>
      <c r="EV58" s="153">
        <f>MAX(0,(IF(AND(RATE_TYPE=2,EV56&gt;0),INDEX(RATE_PATH,MIN(10,MAX(1,EV56))),RATE)+D_RATE_ADD)*D_RATE_F)</f>
        <v>0.15</v>
      </c>
      <c r="EW58" s="153">
        <f>MAX(0,(IF(AND(RATE_TYPE=2,EW56&gt;0),INDEX(RATE_PATH,MIN(10,MAX(1,EW56))),RATE)+D_RATE_ADD)*D_RATE_F)</f>
        <v>0.15</v>
      </c>
      <c r="EX58" s="153">
        <f>MAX(0,(IF(AND(RATE_TYPE=2,EX56&gt;0),INDEX(RATE_PATH,MIN(10,MAX(1,EX56))),RATE)+D_RATE_ADD)*D_RATE_F)</f>
        <v>0.15</v>
      </c>
      <c r="EY58" s="153">
        <f>MAX(0,(IF(AND(RATE_TYPE=2,EY56&gt;0),INDEX(RATE_PATH,MIN(10,MAX(1,EY56))),RATE)+D_RATE_ADD)*D_RATE_F)</f>
        <v>0.15</v>
      </c>
      <c r="EZ58" s="153">
        <f>MAX(0,(IF(AND(RATE_TYPE=2,EZ56&gt;0),INDEX(RATE_PATH,MIN(10,MAX(1,EZ56))),RATE)+D_RATE_ADD)*D_RATE_F)</f>
        <v>0.15</v>
      </c>
      <c r="FA58" s="153">
        <f>MAX(0,(IF(AND(RATE_TYPE=2,FA56&gt;0),INDEX(RATE_PATH,MIN(10,MAX(1,FA56))),RATE)+D_RATE_ADD)*D_RATE_F)</f>
        <v>0.15</v>
      </c>
      <c r="FB58" s="153">
        <f>MAX(0,(IF(AND(RATE_TYPE=2,FB56&gt;0),INDEX(RATE_PATH,MIN(10,MAX(1,FB56))),RATE)+D_RATE_ADD)*D_RATE_F)</f>
        <v>0.15</v>
      </c>
      <c r="FC58" s="153">
        <f>MAX(0,(IF(AND(RATE_TYPE=2,FC56&gt;0),INDEX(RATE_PATH,MIN(10,MAX(1,FC56))),RATE)+D_RATE_ADD)*D_RATE_F)</f>
        <v>0.15</v>
      </c>
      <c r="FD58" s="153">
        <f>MAX(0,(IF(AND(RATE_TYPE=2,FD56&gt;0),INDEX(RATE_PATH,MIN(10,MAX(1,FD56))),RATE)+D_RATE_ADD)*D_RATE_F)</f>
        <v>0.15</v>
      </c>
      <c r="FE58" s="153">
        <f>MAX(0,(IF(AND(RATE_TYPE=2,FE56&gt;0),INDEX(RATE_PATH,MIN(10,MAX(1,FE56))),RATE)+D_RATE_ADD)*D_RATE_F)</f>
        <v>0.15</v>
      </c>
      <c r="FF58" s="153">
        <f>MAX(0,(IF(AND(RATE_TYPE=2,FF56&gt;0),INDEX(RATE_PATH,MIN(10,MAX(1,FF56))),RATE)+D_RATE_ADD)*D_RATE_F)</f>
        <v>0.15</v>
      </c>
      <c r="FG58" s="153">
        <f>MAX(0,(IF(AND(RATE_TYPE=2,FG56&gt;0),INDEX(RATE_PATH,MIN(10,MAX(1,FG56))),RATE)+D_RATE_ADD)*D_RATE_F)</f>
        <v>0.15</v>
      </c>
      <c r="FH58" s="153">
        <f>MAX(0,(IF(AND(RATE_TYPE=2,FH56&gt;0),INDEX(RATE_PATH,MIN(10,MAX(1,FH56))),RATE)+D_RATE_ADD)*D_RATE_F)</f>
        <v>0.15</v>
      </c>
      <c r="FI58" s="153">
        <f>MAX(0,(IF(AND(RATE_TYPE=2,FI56&gt;0),INDEX(RATE_PATH,MIN(10,MAX(1,FI56))),RATE)+D_RATE_ADD)*D_RATE_F)</f>
        <v>0.15</v>
      </c>
      <c r="FJ58" s="153">
        <f>MAX(0,(IF(AND(RATE_TYPE=2,FJ56&gt;0),INDEX(RATE_PATH,MIN(10,MAX(1,FJ56))),RATE)+D_RATE_ADD)*D_RATE_F)</f>
        <v>0.15</v>
      </c>
      <c r="FK58" s="153">
        <f>MAX(0,(IF(AND(RATE_TYPE=2,FK56&gt;0),INDEX(RATE_PATH,MIN(10,MAX(1,FK56))),RATE)+D_RATE_ADD)*D_RATE_F)</f>
        <v>0.15</v>
      </c>
      <c r="FL58" s="153">
        <f>MAX(0,(IF(AND(RATE_TYPE=2,FL56&gt;0),INDEX(RATE_PATH,MIN(10,MAX(1,FL56))),RATE)+D_RATE_ADD)*D_RATE_F)</f>
        <v>0.15</v>
      </c>
      <c r="FM58" s="153">
        <f>MAX(0,(IF(AND(RATE_TYPE=2,FM56&gt;0),INDEX(RATE_PATH,MIN(10,MAX(1,FM56))),RATE)+D_RATE_ADD)*D_RATE_F)</f>
        <v>0.15</v>
      </c>
      <c r="FN58" s="153">
        <f>MAX(0,(IF(AND(RATE_TYPE=2,FN56&gt;0),INDEX(RATE_PATH,MIN(10,MAX(1,FN56))),RATE)+D_RATE_ADD)*D_RATE_F)</f>
        <v>0.15</v>
      </c>
      <c r="FO58" s="153">
        <f>MAX(0,(IF(AND(RATE_TYPE=2,FO56&gt;0),INDEX(RATE_PATH,MIN(10,MAX(1,FO56))),RATE)+D_RATE_ADD)*D_RATE_F)</f>
        <v>0.15</v>
      </c>
      <c r="FP58" s="153">
        <f>MAX(0,(IF(AND(RATE_TYPE=2,FP56&gt;0),INDEX(RATE_PATH,MIN(10,MAX(1,FP56))),RATE)+D_RATE_ADD)*D_RATE_F)</f>
        <v>0.15</v>
      </c>
      <c r="FQ58" s="153">
        <f>MAX(0,(IF(AND(RATE_TYPE=2,FQ56&gt;0),INDEX(RATE_PATH,MIN(10,MAX(1,FQ56))),RATE)+D_RATE_ADD)*D_RATE_F)</f>
        <v>0.15</v>
      </c>
      <c r="FR58" s="153">
        <f>MAX(0,(IF(AND(RATE_TYPE=2,FR56&gt;0),INDEX(RATE_PATH,MIN(10,MAX(1,FR56))),RATE)+D_RATE_ADD)*D_RATE_F)</f>
        <v>0.15</v>
      </c>
      <c r="FS58" s="153">
        <f>MAX(0,(IF(AND(RATE_TYPE=2,FS56&gt;0),INDEX(RATE_PATH,MIN(10,MAX(1,FS56))),RATE)+D_RATE_ADD)*D_RATE_F)</f>
        <v>0.15</v>
      </c>
      <c r="FT58" s="153">
        <f>MAX(0,(IF(AND(RATE_TYPE=2,FT56&gt;0),INDEX(RATE_PATH,MIN(10,MAX(1,FT56))),RATE)+D_RATE_ADD)*D_RATE_F)</f>
        <v>0.15</v>
      </c>
      <c r="FU58" s="153">
        <f>MAX(0,(IF(AND(RATE_TYPE=2,FU56&gt;0),INDEX(RATE_PATH,MIN(10,MAX(1,FU56))),RATE)+D_RATE_ADD)*D_RATE_F)</f>
        <v>0.15</v>
      </c>
      <c r="FV58" s="153">
        <f>MAX(0,(IF(AND(RATE_TYPE=2,FV56&gt;0),INDEX(RATE_PATH,MIN(10,MAX(1,FV56))),RATE)+D_RATE_ADD)*D_RATE_F)</f>
        <v>0.15</v>
      </c>
      <c r="FW58" s="153">
        <f>MAX(0,(IF(AND(RATE_TYPE=2,FW56&gt;0),INDEX(RATE_PATH,MIN(10,MAX(1,FW56))),RATE)+D_RATE_ADD)*D_RATE_F)</f>
        <v>0.15</v>
      </c>
      <c r="FX58" s="153">
        <f>MAX(0,(IF(AND(RATE_TYPE=2,FX56&gt;0),INDEX(RATE_PATH,MIN(10,MAX(1,FX56))),RATE)+D_RATE_ADD)*D_RATE_F)</f>
        <v>0.15</v>
      </c>
      <c r="FY58" s="153">
        <f>MAX(0,(IF(AND(RATE_TYPE=2,FY56&gt;0),INDEX(RATE_PATH,MIN(10,MAX(1,FY56))),RATE)+D_RATE_ADD)*D_RATE_F)</f>
        <v>0.15</v>
      </c>
      <c r="FZ58" s="153">
        <f>MAX(0,(IF(AND(RATE_TYPE=2,FZ56&gt;0),INDEX(RATE_PATH,MIN(10,MAX(1,FZ56))),RATE)+D_RATE_ADD)*D_RATE_F)</f>
        <v>0.15</v>
      </c>
      <c r="GA58" s="153">
        <f>MAX(0,(IF(AND(RATE_TYPE=2,GA56&gt;0),INDEX(RATE_PATH,MIN(10,MAX(1,GA56))),RATE)+D_RATE_ADD)*D_RATE_F)</f>
        <v>0.15</v>
      </c>
      <c r="GB58" s="153">
        <f>MAX(0,(IF(AND(RATE_TYPE=2,GB56&gt;0),INDEX(RATE_PATH,MIN(10,MAX(1,GB56))),RATE)+D_RATE_ADD)*D_RATE_F)</f>
        <v>0.15</v>
      </c>
      <c r="GC58" s="153">
        <f>MAX(0,(IF(AND(RATE_TYPE=2,GC56&gt;0),INDEX(RATE_PATH,MIN(10,MAX(1,GC56))),RATE)+D_RATE_ADD)*D_RATE_F)</f>
        <v>0.15</v>
      </c>
      <c r="GD58" s="153">
        <f>MAX(0,(IF(AND(RATE_TYPE=2,GD56&gt;0),INDEX(RATE_PATH,MIN(10,MAX(1,GD56))),RATE)+D_RATE_ADD)*D_RATE_F)</f>
        <v>0.15</v>
      </c>
      <c r="GE58" s="153">
        <f>MAX(0,(IF(AND(RATE_TYPE=2,GE56&gt;0),INDEX(RATE_PATH,MIN(10,MAX(1,GE56))),RATE)+D_RATE_ADD)*D_RATE_F)</f>
        <v>0.15</v>
      </c>
      <c r="GF58" s="153">
        <f>MAX(0,(IF(AND(RATE_TYPE=2,GF56&gt;0),INDEX(RATE_PATH,MIN(10,MAX(1,GF56))),RATE)+D_RATE_ADD)*D_RATE_F)</f>
        <v>0.15</v>
      </c>
      <c r="GG58" s="153">
        <f>MAX(0,(IF(AND(RATE_TYPE=2,GG56&gt;0),INDEX(RATE_PATH,MIN(10,MAX(1,GG56))),RATE)+D_RATE_ADD)*D_RATE_F)</f>
        <v>0.15</v>
      </c>
      <c r="GH58" s="153">
        <f>MAX(0,(IF(AND(RATE_TYPE=2,GH56&gt;0),INDEX(RATE_PATH,MIN(10,MAX(1,GH56))),RATE)+D_RATE_ADD)*D_RATE_F)</f>
        <v>0.15</v>
      </c>
      <c r="GI58" s="153">
        <f>MAX(0,(IF(AND(RATE_TYPE=2,GI56&gt;0),INDEX(RATE_PATH,MIN(10,MAX(1,GI56))),RATE)+D_RATE_ADD)*D_RATE_F)</f>
        <v>0.15</v>
      </c>
      <c r="GJ58" s="153">
        <f>MAX(0,(IF(AND(RATE_TYPE=2,GJ56&gt;0),INDEX(RATE_PATH,MIN(10,MAX(1,GJ56))),RATE)+D_RATE_ADD)*D_RATE_F)</f>
        <v>0.15</v>
      </c>
      <c r="GK58" s="153">
        <f>MAX(0,(IF(AND(RATE_TYPE=2,GK56&gt;0),INDEX(RATE_PATH,MIN(10,MAX(1,GK56))),RATE)+D_RATE_ADD)*D_RATE_F)</f>
        <v>0.15</v>
      </c>
      <c r="GL58" s="153">
        <f>MAX(0,(IF(AND(RATE_TYPE=2,GL56&gt;0),INDEX(RATE_PATH,MIN(10,MAX(1,GL56))),RATE)+D_RATE_ADD)*D_RATE_F)</f>
        <v>0.15</v>
      </c>
      <c r="GM58" s="153">
        <f>MAX(0,(IF(AND(RATE_TYPE=2,GM56&gt;0),INDEX(RATE_PATH,MIN(10,MAX(1,GM56))),RATE)+D_RATE_ADD)*D_RATE_F)</f>
        <v>0.15</v>
      </c>
      <c r="GN58" s="153">
        <f>MAX(0,(IF(AND(RATE_TYPE=2,GN56&gt;0),INDEX(RATE_PATH,MIN(10,MAX(1,GN56))),RATE)+D_RATE_ADD)*D_RATE_F)</f>
        <v>0.15</v>
      </c>
      <c r="GO58" s="153">
        <f>MAX(0,(IF(AND(RATE_TYPE=2,GO56&gt;0),INDEX(RATE_PATH,MIN(10,MAX(1,GO56))),RATE)+D_RATE_ADD)*D_RATE_F)</f>
        <v>0.15</v>
      </c>
      <c r="GP58" s="153">
        <f>MAX(0,(IF(AND(RATE_TYPE=2,GP56&gt;0),INDEX(RATE_PATH,MIN(10,MAX(1,GP56))),RATE)+D_RATE_ADD)*D_RATE_F)</f>
        <v>0.15</v>
      </c>
      <c r="GQ58" s="153">
        <f>MAX(0,(IF(AND(RATE_TYPE=2,GQ56&gt;0),INDEX(RATE_PATH,MIN(10,MAX(1,GQ56))),RATE)+D_RATE_ADD)*D_RATE_F)</f>
        <v>0.15</v>
      </c>
      <c r="GR58" s="153">
        <f>MAX(0,(IF(AND(RATE_TYPE=2,GR56&gt;0),INDEX(RATE_PATH,MIN(10,MAX(1,GR56))),RATE)+D_RATE_ADD)*D_RATE_F)</f>
        <v>0.15</v>
      </c>
      <c r="GS58" s="153">
        <f>MAX(0,(IF(AND(RATE_TYPE=2,GS56&gt;0),INDEX(RATE_PATH,MIN(10,MAX(1,GS56))),RATE)+D_RATE_ADD)*D_RATE_F)</f>
        <v>0.15</v>
      </c>
      <c r="GT58" s="153">
        <f>MAX(0,(IF(AND(RATE_TYPE=2,GT56&gt;0),INDEX(RATE_PATH,MIN(10,MAX(1,GT56))),RATE)+D_RATE_ADD)*D_RATE_F)</f>
        <v>0.15</v>
      </c>
      <c r="GU58" s="153">
        <f>MAX(0,(IF(AND(RATE_TYPE=2,GU56&gt;0),INDEX(RATE_PATH,MIN(10,MAX(1,GU56))),RATE)+D_RATE_ADD)*D_RATE_F)</f>
        <v>0.15</v>
      </c>
      <c r="GV58" s="153">
        <f>MAX(0,(IF(AND(RATE_TYPE=2,GV56&gt;0),INDEX(RATE_PATH,MIN(10,MAX(1,GV56))),RATE)+D_RATE_ADD)*D_RATE_F)</f>
        <v>0.15</v>
      </c>
      <c r="GW58" s="153">
        <f>MAX(0,(IF(AND(RATE_TYPE=2,GW56&gt;0),INDEX(RATE_PATH,MIN(10,MAX(1,GW56))),RATE)+D_RATE_ADD)*D_RATE_F)</f>
        <v>0.15</v>
      </c>
      <c r="GX58" s="153">
        <f>MAX(0,(IF(AND(RATE_TYPE=2,GX56&gt;0),INDEX(RATE_PATH,MIN(10,MAX(1,GX56))),RATE)+D_RATE_ADD)*D_RATE_F)</f>
        <v>0.15</v>
      </c>
      <c r="GY58" s="153">
        <f>MAX(0,(IF(AND(RATE_TYPE=2,GY56&gt;0),INDEX(RATE_PATH,MIN(10,MAX(1,GY56))),RATE)+D_RATE_ADD)*D_RATE_F)</f>
        <v>0.15</v>
      </c>
      <c r="GZ58" s="153">
        <f>MAX(0,(IF(AND(RATE_TYPE=2,GZ56&gt;0),INDEX(RATE_PATH,MIN(10,MAX(1,GZ56))),RATE)+D_RATE_ADD)*D_RATE_F)</f>
        <v>0.15</v>
      </c>
      <c r="HA58" s="153">
        <f>MAX(0,(IF(AND(RATE_TYPE=2,HA56&gt;0),INDEX(RATE_PATH,MIN(10,MAX(1,HA56))),RATE)+D_RATE_ADD)*D_RATE_F)</f>
        <v>0.15</v>
      </c>
      <c r="HB58" s="153">
        <f>MAX(0,(IF(AND(RATE_TYPE=2,HB56&gt;0),INDEX(RATE_PATH,MIN(10,MAX(1,HB56))),RATE)+D_RATE_ADD)*D_RATE_F)</f>
        <v>0.15</v>
      </c>
      <c r="HC58" s="153">
        <f>MAX(0,(IF(AND(RATE_TYPE=2,HC56&gt;0),INDEX(RATE_PATH,MIN(10,MAX(1,HC56))),RATE)+D_RATE_ADD)*D_RATE_F)</f>
        <v>0.15</v>
      </c>
      <c r="HD58" s="153">
        <f>MAX(0,(IF(AND(RATE_TYPE=2,HD56&gt;0),INDEX(RATE_PATH,MIN(10,MAX(1,HD56))),RATE)+D_RATE_ADD)*D_RATE_F)</f>
        <v>0.15</v>
      </c>
      <c r="HE58" s="153">
        <f>MAX(0,(IF(AND(RATE_TYPE=2,HE56&gt;0),INDEX(RATE_PATH,MIN(10,MAX(1,HE56))),RATE)+D_RATE_ADD)*D_RATE_F)</f>
        <v>0.15</v>
      </c>
      <c r="HF58" s="153">
        <f>MAX(0,(IF(AND(RATE_TYPE=2,HF56&gt;0),INDEX(RATE_PATH,MIN(10,MAX(1,HF56))),RATE)+D_RATE_ADD)*D_RATE_F)</f>
        <v>0.15</v>
      </c>
      <c r="HG58" s="153">
        <f>MAX(0,(IF(AND(RATE_TYPE=2,HG56&gt;0),INDEX(RATE_PATH,MIN(10,MAX(1,HG56))),RATE)+D_RATE_ADD)*D_RATE_F)</f>
        <v>0.15</v>
      </c>
      <c r="HH58" s="153">
        <f>MAX(0,(IF(AND(RATE_TYPE=2,HH56&gt;0),INDEX(RATE_PATH,MIN(10,MAX(1,HH56))),RATE)+D_RATE_ADD)*D_RATE_F)</f>
        <v>0.15</v>
      </c>
      <c r="HI58" s="153">
        <f>MAX(0,(IF(AND(RATE_TYPE=2,HI56&gt;0),INDEX(RATE_PATH,MIN(10,MAX(1,HI56))),RATE)+D_RATE_ADD)*D_RATE_F)</f>
        <v>0.15</v>
      </c>
      <c r="HJ58" s="153">
        <f>MAX(0,(IF(AND(RATE_TYPE=2,HJ56&gt;0),INDEX(RATE_PATH,MIN(10,MAX(1,HJ56))),RATE)+D_RATE_ADD)*D_RATE_F)</f>
        <v>0.15</v>
      </c>
      <c r="HK58" s="153">
        <f>MAX(0,(IF(AND(RATE_TYPE=2,HK56&gt;0),INDEX(RATE_PATH,MIN(10,MAX(1,HK56))),RATE)+D_RATE_ADD)*D_RATE_F)</f>
        <v>0.15</v>
      </c>
      <c r="HL58" s="153">
        <f>MAX(0,(IF(AND(RATE_TYPE=2,HL56&gt;0),INDEX(RATE_PATH,MIN(10,MAX(1,HL56))),RATE)+D_RATE_ADD)*D_RATE_F)</f>
        <v>0.15</v>
      </c>
      <c r="HM58" s="153">
        <f>MAX(0,(IF(AND(RATE_TYPE=2,HM56&gt;0),INDEX(RATE_PATH,MIN(10,MAX(1,HM56))),RATE)+D_RATE_ADD)*D_RATE_F)</f>
        <v>0.15</v>
      </c>
      <c r="HN58" s="153">
        <f>MAX(0,(IF(AND(RATE_TYPE=2,HN56&gt;0),INDEX(RATE_PATH,MIN(10,MAX(1,HN56))),RATE)+D_RATE_ADD)*D_RATE_F)</f>
        <v>0.15</v>
      </c>
      <c r="HO58" s="153">
        <f>MAX(0,(IF(AND(RATE_TYPE=2,HO56&gt;0),INDEX(RATE_PATH,MIN(10,MAX(1,HO56))),RATE)+D_RATE_ADD)*D_RATE_F)</f>
        <v>0.15</v>
      </c>
      <c r="HP58" s="153">
        <f>MAX(0,(IF(AND(RATE_TYPE=2,HP56&gt;0),INDEX(RATE_PATH,MIN(10,MAX(1,HP56))),RATE)+D_RATE_ADD)*D_RATE_F)</f>
        <v>0.15</v>
      </c>
      <c r="HQ58" s="153">
        <f>MAX(0,(IF(AND(RATE_TYPE=2,HQ56&gt;0),INDEX(RATE_PATH,MIN(10,MAX(1,HQ56))),RATE)+D_RATE_ADD)*D_RATE_F)</f>
        <v>0.15</v>
      </c>
      <c r="HR58" s="153">
        <f>MAX(0,(IF(AND(RATE_TYPE=2,HR56&gt;0),INDEX(RATE_PATH,MIN(10,MAX(1,HR56))),RATE)+D_RATE_ADD)*D_RATE_F)</f>
        <v>0.15</v>
      </c>
      <c r="HS58" s="153">
        <f>MAX(0,(IF(AND(RATE_TYPE=2,HS56&gt;0),INDEX(RATE_PATH,MIN(10,MAX(1,HS56))),RATE)+D_RATE_ADD)*D_RATE_F)</f>
        <v>0.15</v>
      </c>
      <c r="HT58" s="153">
        <f>MAX(0,(IF(AND(RATE_TYPE=2,HT56&gt;0),INDEX(RATE_PATH,MIN(10,MAX(1,HT56))),RATE)+D_RATE_ADD)*D_RATE_F)</f>
        <v>0.15</v>
      </c>
      <c r="HU58" s="153">
        <f>MAX(0,(IF(AND(RATE_TYPE=2,HU56&gt;0),INDEX(RATE_PATH,MIN(10,MAX(1,HU56))),RATE)+D_RATE_ADD)*D_RATE_F)</f>
        <v>0.15</v>
      </c>
      <c r="HV58" s="153">
        <f>MAX(0,(IF(AND(RATE_TYPE=2,HV56&gt;0),INDEX(RATE_PATH,MIN(10,MAX(1,HV56))),RATE)+D_RATE_ADD)*D_RATE_F)</f>
        <v>0.15</v>
      </c>
      <c r="HW58" s="153">
        <f>MAX(0,(IF(AND(RATE_TYPE=2,HW56&gt;0),INDEX(RATE_PATH,MIN(10,MAX(1,HW56))),RATE)+D_RATE_ADD)*D_RATE_F)</f>
        <v>0.15</v>
      </c>
      <c r="HX58" s="153">
        <f>MAX(0,(IF(AND(RATE_TYPE=2,HX56&gt;0),INDEX(RATE_PATH,MIN(10,MAX(1,HX56))),RATE)+D_RATE_ADD)*D_RATE_F)</f>
        <v>0.15</v>
      </c>
      <c r="HY58" s="153">
        <f>MAX(0,(IF(AND(RATE_TYPE=2,HY56&gt;0),INDEX(RATE_PATH,MIN(10,MAX(1,HY56))),RATE)+D_RATE_ADD)*D_RATE_F)</f>
        <v>0.15</v>
      </c>
      <c r="HZ58" s="153">
        <f>MAX(0,(IF(AND(RATE_TYPE=2,HZ56&gt;0),INDEX(RATE_PATH,MIN(10,MAX(1,HZ56))),RATE)+D_RATE_ADD)*D_RATE_F)</f>
        <v>0.15</v>
      </c>
      <c r="IA58" s="153">
        <f>MAX(0,(IF(AND(RATE_TYPE=2,IA56&gt;0),INDEX(RATE_PATH,MIN(10,MAX(1,IA56))),RATE)+D_RATE_ADD)*D_RATE_F)</f>
        <v>0.15</v>
      </c>
      <c r="IB58" s="153">
        <f>MAX(0,(IF(AND(RATE_TYPE=2,IB56&gt;0),INDEX(RATE_PATH,MIN(10,MAX(1,IB56))),RATE)+D_RATE_ADD)*D_RATE_F)</f>
        <v>0.15</v>
      </c>
      <c r="IC58" s="153">
        <f>MAX(0,(IF(AND(RATE_TYPE=2,IC56&gt;0),INDEX(RATE_PATH,MIN(10,MAX(1,IC56))),RATE)+D_RATE_ADD)*D_RATE_F)</f>
        <v>0.15</v>
      </c>
      <c r="ID58" s="153">
        <f>MAX(0,(IF(AND(RATE_TYPE=2,ID56&gt;0),INDEX(RATE_PATH,MIN(10,MAX(1,ID56))),RATE)+D_RATE_ADD)*D_RATE_F)</f>
        <v>0.15</v>
      </c>
      <c r="IE58" s="153">
        <f>MAX(0,(IF(AND(RATE_TYPE=2,IE56&gt;0),INDEX(RATE_PATH,MIN(10,MAX(1,IE56))),RATE)+D_RATE_ADD)*D_RATE_F)</f>
        <v>0.15</v>
      </c>
      <c r="IF58" s="153">
        <f>MAX(0,(IF(AND(RATE_TYPE=2,IF56&gt;0),INDEX(RATE_PATH,MIN(10,MAX(1,IF56))),RATE)+D_RATE_ADD)*D_RATE_F)</f>
        <v>0.15</v>
      </c>
      <c r="IG58" s="153">
        <f>MAX(0,(IF(AND(RATE_TYPE=2,IG56&gt;0),INDEX(RATE_PATH,MIN(10,MAX(1,IG56))),RATE)+D_RATE_ADD)*D_RATE_F)</f>
        <v>0.15</v>
      </c>
      <c r="IH58" s="153">
        <f>MAX(0,(IF(AND(RATE_TYPE=2,IH56&gt;0),INDEX(RATE_PATH,MIN(10,MAX(1,IH56))),RATE)+D_RATE_ADD)*D_RATE_F)</f>
        <v>0.15</v>
      </c>
      <c r="II58" s="153">
        <f>MAX(0,(IF(AND(RATE_TYPE=2,II56&gt;0),INDEX(RATE_PATH,MIN(10,MAX(1,II56))),RATE)+D_RATE_ADD)*D_RATE_F)</f>
        <v>0.15</v>
      </c>
      <c r="IJ58" s="153">
        <f>MAX(0,(IF(AND(RATE_TYPE=2,IJ56&gt;0),INDEX(RATE_PATH,MIN(10,MAX(1,IJ56))),RATE)+D_RATE_ADD)*D_RATE_F)</f>
        <v>0.15</v>
      </c>
      <c r="IK58" s="153">
        <f>MAX(0,(IF(AND(RATE_TYPE=2,IK56&gt;0),INDEX(RATE_PATH,MIN(10,MAX(1,IK56))),RATE)+D_RATE_ADD)*D_RATE_F)</f>
        <v>0.15</v>
      </c>
      <c r="IL58" s="153">
        <f>MAX(0,(IF(AND(RATE_TYPE=2,IL56&gt;0),INDEX(RATE_PATH,MIN(10,MAX(1,IL56))),RATE)+D_RATE_ADD)*D_RATE_F)</f>
        <v>0.15</v>
      </c>
      <c r="IM58" s="153">
        <f>MAX(0,(IF(AND(RATE_TYPE=2,IM56&gt;0),INDEX(RATE_PATH,MIN(10,MAX(1,IM56))),RATE)+D_RATE_ADD)*D_RATE_F)</f>
        <v>0.15</v>
      </c>
      <c r="IN58" s="153">
        <f>MAX(0,(IF(AND(RATE_TYPE=2,IN56&gt;0),INDEX(RATE_PATH,MIN(10,MAX(1,IN56))),RATE)+D_RATE_ADD)*D_RATE_F)</f>
        <v>0.15</v>
      </c>
      <c r="IO58" s="153">
        <f>MAX(0,(IF(AND(RATE_TYPE=2,IO56&gt;0),INDEX(RATE_PATH,MIN(10,MAX(1,IO56))),RATE)+D_RATE_ADD)*D_RATE_F)</f>
        <v>0.15</v>
      </c>
      <c r="IP58" s="153">
        <f>MAX(0,(IF(AND(RATE_TYPE=2,IP56&gt;0),INDEX(RATE_PATH,MIN(10,MAX(1,IP56))),RATE)+D_RATE_ADD)*D_RATE_F)</f>
        <v>0.15</v>
      </c>
      <c r="IQ58" s="153">
        <f>MAX(0,(IF(AND(RATE_TYPE=2,IQ56&gt;0),INDEX(RATE_PATH,MIN(10,MAX(1,IQ56))),RATE)+D_RATE_ADD)*D_RATE_F)</f>
        <v>0.15</v>
      </c>
      <c r="IR58" s="153">
        <f>MAX(0,(IF(AND(RATE_TYPE=2,IR56&gt;0),INDEX(RATE_PATH,MIN(10,MAX(1,IR56))),RATE)+D_RATE_ADD)*D_RATE_F)</f>
        <v>0.15</v>
      </c>
      <c r="IS58" s="153">
        <f>MAX(0,(IF(AND(RATE_TYPE=2,IS56&gt;0),INDEX(RATE_PATH,MIN(10,MAX(1,IS56))),RATE)+D_RATE_ADD)*D_RATE_F)</f>
        <v>0.15</v>
      </c>
      <c r="IT58" s="153">
        <f>MAX(0,(IF(AND(RATE_TYPE=2,IT56&gt;0),INDEX(RATE_PATH,MIN(10,MAX(1,IT56))),RATE)+D_RATE_ADD)*D_RATE_F)</f>
        <v>0.15</v>
      </c>
      <c r="IU58" s="153">
        <f>MAX(0,(IF(AND(RATE_TYPE=2,IU56&gt;0),INDEX(RATE_PATH,MIN(10,MAX(1,IU56))),RATE)+D_RATE_ADD)*D_RATE_F)</f>
        <v>0.15</v>
      </c>
      <c r="IV58" s="153">
        <f>MAX(0,(IF(AND(RATE_TYPE=2,IV56&gt;0),INDEX(RATE_PATH,MIN(10,MAX(1,IV56))),RATE)+D_RATE_ADD)*D_RATE_F)</f>
        <v>0.15</v>
      </c>
      <c r="IW58" s="153">
        <f>MAX(0,(IF(AND(RATE_TYPE=2,IW56&gt;0),INDEX(RATE_PATH,MIN(10,MAX(1,IW56))),RATE)+D_RATE_ADD)*D_RATE_F)</f>
        <v>0.15</v>
      </c>
      <c r="IX58" s="153">
        <f>MAX(0,(IF(AND(RATE_TYPE=2,IX56&gt;0),INDEX(RATE_PATH,MIN(10,MAX(1,IX56))),RATE)+D_RATE_ADD)*D_RATE_F)</f>
        <v>0.15</v>
      </c>
      <c r="IY58" s="153">
        <f>MAX(0,(IF(AND(RATE_TYPE=2,IY56&gt;0),INDEX(RATE_PATH,MIN(10,MAX(1,IY56))),RATE)+D_RATE_ADD)*D_RATE_F)</f>
        <v>0.15</v>
      </c>
      <c r="IZ58" s="153">
        <f>MAX(0,(IF(AND(RATE_TYPE=2,IZ56&gt;0),INDEX(RATE_PATH,MIN(10,MAX(1,IZ56))),RATE)+D_RATE_ADD)*D_RATE_F)</f>
        <v>0.15</v>
      </c>
      <c r="JA58" s="153">
        <f>MAX(0,(IF(AND(RATE_TYPE=2,JA56&gt;0),INDEX(RATE_PATH,MIN(10,MAX(1,JA56))),RATE)+D_RATE_ADD)*D_RATE_F)</f>
        <v>0.15</v>
      </c>
      <c r="JB58" s="153">
        <f>MAX(0,(IF(AND(RATE_TYPE=2,JB56&gt;0),INDEX(RATE_PATH,MIN(10,MAX(1,JB56))),RATE)+D_RATE_ADD)*D_RATE_F)</f>
        <v>0.15</v>
      </c>
      <c r="JC58" s="153">
        <f>MAX(0,(IF(AND(RATE_TYPE=2,JC56&gt;0),INDEX(RATE_PATH,MIN(10,MAX(1,JC56))),RATE)+D_RATE_ADD)*D_RATE_F)</f>
        <v>0.15</v>
      </c>
      <c r="JD58" s="153">
        <f>MAX(0,(IF(AND(RATE_TYPE=2,JD56&gt;0),INDEX(RATE_PATH,MIN(10,MAX(1,JD56))),RATE)+D_RATE_ADD)*D_RATE_F)</f>
        <v>0.15</v>
      </c>
      <c r="JE58" s="153">
        <f>MAX(0,(IF(AND(RATE_TYPE=2,JE56&gt;0),INDEX(RATE_PATH,MIN(10,MAX(1,JE56))),RATE)+D_RATE_ADD)*D_RATE_F)</f>
        <v>0.15</v>
      </c>
      <c r="JF58" s="153">
        <f>MAX(0,(IF(AND(RATE_TYPE=2,JF56&gt;0),INDEX(RATE_PATH,MIN(10,MAX(1,JF56))),RATE)+D_RATE_ADD)*D_RATE_F)</f>
        <v>0.15</v>
      </c>
      <c r="JG58" s="153">
        <f>MAX(0,(IF(AND(RATE_TYPE=2,JG56&gt;0),INDEX(RATE_PATH,MIN(10,MAX(1,JG56))),RATE)+D_RATE_ADD)*D_RATE_F)</f>
        <v>0.15</v>
      </c>
      <c r="JH58" s="153">
        <f>MAX(0,(IF(AND(RATE_TYPE=2,JH56&gt;0),INDEX(RATE_PATH,MIN(10,MAX(1,JH56))),RATE)+D_RATE_ADD)*D_RATE_F)</f>
        <v>0.15</v>
      </c>
      <c r="JI58" s="153">
        <f>MAX(0,(IF(AND(RATE_TYPE=2,JI56&gt;0),INDEX(RATE_PATH,MIN(10,MAX(1,JI56))),RATE)+D_RATE_ADD)*D_RATE_F)</f>
        <v>0.15</v>
      </c>
      <c r="JJ58" s="153">
        <f>MAX(0,(IF(AND(RATE_TYPE=2,JJ56&gt;0),INDEX(RATE_PATH,MIN(10,MAX(1,JJ56))),RATE)+D_RATE_ADD)*D_RATE_F)</f>
        <v>0.15</v>
      </c>
      <c r="JK58" s="153">
        <f>MAX(0,(IF(AND(RATE_TYPE=2,JK56&gt;0),INDEX(RATE_PATH,MIN(10,MAX(1,JK56))),RATE)+D_RATE_ADD)*D_RATE_F)</f>
        <v>0.15</v>
      </c>
      <c r="JL58" s="153">
        <f>MAX(0,(IF(AND(RATE_TYPE=2,JL56&gt;0),INDEX(RATE_PATH,MIN(10,MAX(1,JL56))),RATE)+D_RATE_ADD)*D_RATE_F)</f>
        <v>0.15</v>
      </c>
      <c r="JM58" s="153">
        <f>MAX(0,(IF(AND(RATE_TYPE=2,JM56&gt;0),INDEX(RATE_PATH,MIN(10,MAX(1,JM56))),RATE)+D_RATE_ADD)*D_RATE_F)</f>
        <v>0.15</v>
      </c>
      <c r="JN58" s="153">
        <f>MAX(0,(IF(AND(RATE_TYPE=2,JN56&gt;0),INDEX(RATE_PATH,MIN(10,MAX(1,JN56))),RATE)+D_RATE_ADD)*D_RATE_F)</f>
        <v>0.15</v>
      </c>
      <c r="JO58" s="153">
        <f>MAX(0,(IF(AND(RATE_TYPE=2,JO56&gt;0),INDEX(RATE_PATH,MIN(10,MAX(1,JO56))),RATE)+D_RATE_ADD)*D_RATE_F)</f>
        <v>0.15</v>
      </c>
      <c r="JP58" s="153">
        <f>MAX(0,(IF(AND(RATE_TYPE=2,JP56&gt;0),INDEX(RATE_PATH,MIN(10,MAX(1,JP56))),RATE)+D_RATE_ADD)*D_RATE_F)</f>
        <v>0.15</v>
      </c>
      <c r="JQ58" s="153">
        <f>MAX(0,(IF(AND(RATE_TYPE=2,JQ56&gt;0),INDEX(RATE_PATH,MIN(10,MAX(1,JQ56))),RATE)+D_RATE_ADD)*D_RATE_F)</f>
        <v>0.15</v>
      </c>
      <c r="JR58" s="153">
        <f>MAX(0,(IF(AND(RATE_TYPE=2,JR56&gt;0),INDEX(RATE_PATH,MIN(10,MAX(1,JR56))),RATE)+D_RATE_ADD)*D_RATE_F)</f>
        <v>0.15</v>
      </c>
      <c r="JS58" s="153">
        <f>MAX(0,(IF(AND(RATE_TYPE=2,JS56&gt;0),INDEX(RATE_PATH,MIN(10,MAX(1,JS56))),RATE)+D_RATE_ADD)*D_RATE_F)</f>
        <v>0.15</v>
      </c>
      <c r="JT58" s="153">
        <f>MAX(0,(IF(AND(RATE_TYPE=2,JT56&gt;0),INDEX(RATE_PATH,MIN(10,MAX(1,JT56))),RATE)+D_RATE_ADD)*D_RATE_F)</f>
        <v>0.15</v>
      </c>
      <c r="JU58" s="153">
        <f>MAX(0,(IF(AND(RATE_TYPE=2,JU56&gt;0),INDEX(RATE_PATH,MIN(10,MAX(1,JU56))),RATE)+D_RATE_ADD)*D_RATE_F)</f>
        <v>0.15</v>
      </c>
      <c r="JV58" s="153">
        <f>MAX(0,(IF(AND(RATE_TYPE=2,JV56&gt;0),INDEX(RATE_PATH,MIN(10,MAX(1,JV56))),RATE)+D_RATE_ADD)*D_RATE_F)</f>
        <v>0.15</v>
      </c>
      <c r="JW58" s="153">
        <f>MAX(0,(IF(AND(RATE_TYPE=2,JW56&gt;0),INDEX(RATE_PATH,MIN(10,MAX(1,JW56))),RATE)+D_RATE_ADD)*D_RATE_F)</f>
        <v>0.15</v>
      </c>
      <c r="JX58" s="153">
        <f>MAX(0,(IF(AND(RATE_TYPE=2,JX56&gt;0),INDEX(RATE_PATH,MIN(10,MAX(1,JX56))),RATE)+D_RATE_ADD)*D_RATE_F)</f>
        <v>0.15</v>
      </c>
      <c r="JY58" s="153">
        <f>MAX(0,(IF(AND(RATE_TYPE=2,JY56&gt;0),INDEX(RATE_PATH,MIN(10,MAX(1,JY56))),RATE)+D_RATE_ADD)*D_RATE_F)</f>
        <v>0.15</v>
      </c>
      <c r="JZ58" s="153">
        <f>MAX(0,(IF(AND(RATE_TYPE=2,JZ56&gt;0),INDEX(RATE_PATH,MIN(10,MAX(1,JZ56))),RATE)+D_RATE_ADD)*D_RATE_F)</f>
        <v>0.15</v>
      </c>
      <c r="KA58" s="153">
        <f>MAX(0,(IF(AND(RATE_TYPE=2,KA56&gt;0),INDEX(RATE_PATH,MIN(10,MAX(1,KA56))),RATE)+D_RATE_ADD)*D_RATE_F)</f>
        <v>0.15</v>
      </c>
      <c r="KB58" s="153">
        <f>MAX(0,(IF(AND(RATE_TYPE=2,KB56&gt;0),INDEX(RATE_PATH,MIN(10,MAX(1,KB56))),RATE)+D_RATE_ADD)*D_RATE_F)</f>
        <v>0.15</v>
      </c>
      <c r="KC58" s="153">
        <f>MAX(0,(IF(AND(RATE_TYPE=2,KC56&gt;0),INDEX(RATE_PATH,MIN(10,MAX(1,KC56))),RATE)+D_RATE_ADD)*D_RATE_F)</f>
        <v>0.15</v>
      </c>
      <c r="KD58" s="153">
        <f>MAX(0,(IF(AND(RATE_TYPE=2,KD56&gt;0),INDEX(RATE_PATH,MIN(10,MAX(1,KD56))),RATE)+D_RATE_ADD)*D_RATE_F)</f>
        <v>0.15</v>
      </c>
      <c r="KE58" s="153">
        <f>MAX(0,(IF(AND(RATE_TYPE=2,KE56&gt;0),INDEX(RATE_PATH,MIN(10,MAX(1,KE56))),RATE)+D_RATE_ADD)*D_RATE_F)</f>
        <v>0.15</v>
      </c>
      <c r="KF58" s="153">
        <f>MAX(0,(IF(AND(RATE_TYPE=2,KF56&gt;0),INDEX(RATE_PATH,MIN(10,MAX(1,KF56))),RATE)+D_RATE_ADD)*D_RATE_F)</f>
        <v>0.15</v>
      </c>
    </row>
    <row r="59">
      <c r="B59" s="36" t="inlineStr">
        <is>
          <t>Grace flag</t>
        </is>
      </c>
      <c r="C59" s="117" t="inlineStr">
        <is>
          <t>flag</t>
        </is>
      </c>
      <c r="D59" s="147">
        <f>SUM(E59:KF59)</f>
        <v>12</v>
      </c>
      <c r="E59" s="148">
        <f>IF(AND(E55&gt;=1,E55&lt;=GRACE_M),1,0)</f>
        <v>0</v>
      </c>
      <c r="F59" s="148">
        <f>IF(AND(F55&gt;=1,F55&lt;=GRACE_M),1,0)</f>
        <v>0</v>
      </c>
      <c r="G59" s="148">
        <f>IF(AND(G55&gt;=1,G55&lt;=GRACE_M),1,0)</f>
        <v>0</v>
      </c>
      <c r="H59" s="148">
        <f>IF(AND(H55&gt;=1,H55&lt;=GRACE_M),1,0)</f>
        <v>0</v>
      </c>
      <c r="I59" s="148">
        <f>IF(AND(I55&gt;=1,I55&lt;=GRACE_M),1,0)</f>
        <v>0</v>
      </c>
      <c r="J59" s="148">
        <f>IF(AND(J55&gt;=1,J55&lt;=GRACE_M),1,0)</f>
        <v>0</v>
      </c>
      <c r="K59" s="148">
        <f>IF(AND(K55&gt;=1,K55&lt;=GRACE_M),1,0)</f>
        <v>0</v>
      </c>
      <c r="L59" s="148">
        <f>IF(AND(L55&gt;=1,L55&lt;=GRACE_M),1,0)</f>
        <v>0</v>
      </c>
      <c r="M59" s="148">
        <f>IF(AND(M55&gt;=1,M55&lt;=GRACE_M),1,0)</f>
        <v>0</v>
      </c>
      <c r="N59" s="148">
        <f>IF(AND(N55&gt;=1,N55&lt;=GRACE_M),1,0)</f>
        <v>0</v>
      </c>
      <c r="O59" s="148">
        <f>IF(AND(O55&gt;=1,O55&lt;=GRACE_M),1,0)</f>
        <v>0</v>
      </c>
      <c r="P59" s="148">
        <f>IF(AND(P55&gt;=1,P55&lt;=GRACE_M),1,0)</f>
        <v>0</v>
      </c>
      <c r="Q59" s="148">
        <f>IF(AND(Q55&gt;=1,Q55&lt;=GRACE_M),1,0)</f>
        <v>0</v>
      </c>
      <c r="R59" s="148">
        <f>IF(AND(R55&gt;=1,R55&lt;=GRACE_M),1,0)</f>
        <v>0</v>
      </c>
      <c r="S59" s="148">
        <f>IF(AND(S55&gt;=1,S55&lt;=GRACE_M),1,0)</f>
        <v>0</v>
      </c>
      <c r="T59" s="148">
        <f>IF(AND(T55&gt;=1,T55&lt;=GRACE_M),1,0)</f>
        <v>0</v>
      </c>
      <c r="U59" s="148">
        <f>IF(AND(U55&gt;=1,U55&lt;=GRACE_M),1,0)</f>
        <v>0</v>
      </c>
      <c r="V59" s="148">
        <f>IF(AND(V55&gt;=1,V55&lt;=GRACE_M),1,0)</f>
        <v>0</v>
      </c>
      <c r="W59" s="148">
        <f>IF(AND(W55&gt;=1,W55&lt;=GRACE_M),1,0)</f>
        <v>0</v>
      </c>
      <c r="X59" s="148">
        <f>IF(AND(X55&gt;=1,X55&lt;=GRACE_M),1,0)</f>
        <v>0</v>
      </c>
      <c r="Y59" s="148">
        <f>IF(AND(Y55&gt;=1,Y55&lt;=GRACE_M),1,0)</f>
        <v>0</v>
      </c>
      <c r="Z59" s="148">
        <f>IF(AND(Z55&gt;=1,Z55&lt;=GRACE_M),1,0)</f>
        <v>0</v>
      </c>
      <c r="AA59" s="148">
        <f>IF(AND(AA55&gt;=1,AA55&lt;=GRACE_M),1,0)</f>
        <v>0</v>
      </c>
      <c r="AB59" s="148">
        <f>IF(AND(AB55&gt;=1,AB55&lt;=GRACE_M),1,0)</f>
        <v>0</v>
      </c>
      <c r="AC59" s="148">
        <f>IF(AND(AC55&gt;=1,AC55&lt;=GRACE_M),1,0)</f>
        <v>0</v>
      </c>
      <c r="AD59" s="148">
        <f>IF(AND(AD55&gt;=1,AD55&lt;=GRACE_M),1,0)</f>
        <v>0</v>
      </c>
      <c r="AE59" s="148">
        <f>IF(AND(AE55&gt;=1,AE55&lt;=GRACE_M),1,0)</f>
        <v>0</v>
      </c>
      <c r="AF59" s="148">
        <f>IF(AND(AF55&gt;=1,AF55&lt;=GRACE_M),1,0)</f>
        <v>0</v>
      </c>
      <c r="AG59" s="148">
        <f>IF(AND(AG55&gt;=1,AG55&lt;=GRACE_M),1,0)</f>
        <v>0</v>
      </c>
      <c r="AH59" s="148">
        <f>IF(AND(AH55&gt;=1,AH55&lt;=GRACE_M),1,0)</f>
        <v>0</v>
      </c>
      <c r="AI59" s="148">
        <f>IF(AND(AI55&gt;=1,AI55&lt;=GRACE_M),1,0)</f>
        <v>1</v>
      </c>
      <c r="AJ59" s="148">
        <f>IF(AND(AJ55&gt;=1,AJ55&lt;=GRACE_M),1,0)</f>
        <v>1</v>
      </c>
      <c r="AK59" s="148">
        <f>IF(AND(AK55&gt;=1,AK55&lt;=GRACE_M),1,0)</f>
        <v>1</v>
      </c>
      <c r="AL59" s="148">
        <f>IF(AND(AL55&gt;=1,AL55&lt;=GRACE_M),1,0)</f>
        <v>1</v>
      </c>
      <c r="AM59" s="148">
        <f>IF(AND(AM55&gt;=1,AM55&lt;=GRACE_M),1,0)</f>
        <v>1</v>
      </c>
      <c r="AN59" s="148">
        <f>IF(AND(AN55&gt;=1,AN55&lt;=GRACE_M),1,0)</f>
        <v>1</v>
      </c>
      <c r="AO59" s="148">
        <f>IF(AND(AO55&gt;=1,AO55&lt;=GRACE_M),1,0)</f>
        <v>1</v>
      </c>
      <c r="AP59" s="148">
        <f>IF(AND(AP55&gt;=1,AP55&lt;=GRACE_M),1,0)</f>
        <v>1</v>
      </c>
      <c r="AQ59" s="148">
        <f>IF(AND(AQ55&gt;=1,AQ55&lt;=GRACE_M),1,0)</f>
        <v>1</v>
      </c>
      <c r="AR59" s="148">
        <f>IF(AND(AR55&gt;=1,AR55&lt;=GRACE_M),1,0)</f>
        <v>1</v>
      </c>
      <c r="AS59" s="148">
        <f>IF(AND(AS55&gt;=1,AS55&lt;=GRACE_M),1,0)</f>
        <v>1</v>
      </c>
      <c r="AT59" s="148">
        <f>IF(AND(AT55&gt;=1,AT55&lt;=GRACE_M),1,0)</f>
        <v>1</v>
      </c>
      <c r="AU59" s="148">
        <f>IF(AND(AU55&gt;=1,AU55&lt;=GRACE_M),1,0)</f>
        <v>0</v>
      </c>
      <c r="AV59" s="148">
        <f>IF(AND(AV55&gt;=1,AV55&lt;=GRACE_M),1,0)</f>
        <v>0</v>
      </c>
      <c r="AW59" s="148">
        <f>IF(AND(AW55&gt;=1,AW55&lt;=GRACE_M),1,0)</f>
        <v>0</v>
      </c>
      <c r="AX59" s="148">
        <f>IF(AND(AX55&gt;=1,AX55&lt;=GRACE_M),1,0)</f>
        <v>0</v>
      </c>
      <c r="AY59" s="148">
        <f>IF(AND(AY55&gt;=1,AY55&lt;=GRACE_M),1,0)</f>
        <v>0</v>
      </c>
      <c r="AZ59" s="148">
        <f>IF(AND(AZ55&gt;=1,AZ55&lt;=GRACE_M),1,0)</f>
        <v>0</v>
      </c>
      <c r="BA59" s="148">
        <f>IF(AND(BA55&gt;=1,BA55&lt;=GRACE_M),1,0)</f>
        <v>0</v>
      </c>
      <c r="BB59" s="148">
        <f>IF(AND(BB55&gt;=1,BB55&lt;=GRACE_M),1,0)</f>
        <v>0</v>
      </c>
      <c r="BC59" s="148">
        <f>IF(AND(BC55&gt;=1,BC55&lt;=GRACE_M),1,0)</f>
        <v>0</v>
      </c>
      <c r="BD59" s="148">
        <f>IF(AND(BD55&gt;=1,BD55&lt;=GRACE_M),1,0)</f>
        <v>0</v>
      </c>
      <c r="BE59" s="148">
        <f>IF(AND(BE55&gt;=1,BE55&lt;=GRACE_M),1,0)</f>
        <v>0</v>
      </c>
      <c r="BF59" s="148">
        <f>IF(AND(BF55&gt;=1,BF55&lt;=GRACE_M),1,0)</f>
        <v>0</v>
      </c>
      <c r="BG59" s="148">
        <f>IF(AND(BG55&gt;=1,BG55&lt;=GRACE_M),1,0)</f>
        <v>0</v>
      </c>
      <c r="BH59" s="148">
        <f>IF(AND(BH55&gt;=1,BH55&lt;=GRACE_M),1,0)</f>
        <v>0</v>
      </c>
      <c r="BI59" s="148">
        <f>IF(AND(BI55&gt;=1,BI55&lt;=GRACE_M),1,0)</f>
        <v>0</v>
      </c>
      <c r="BJ59" s="148">
        <f>IF(AND(BJ55&gt;=1,BJ55&lt;=GRACE_M),1,0)</f>
        <v>0</v>
      </c>
      <c r="BK59" s="148">
        <f>IF(AND(BK55&gt;=1,BK55&lt;=GRACE_M),1,0)</f>
        <v>0</v>
      </c>
      <c r="BL59" s="148">
        <f>IF(AND(BL55&gt;=1,BL55&lt;=GRACE_M),1,0)</f>
        <v>0</v>
      </c>
      <c r="BM59" s="148">
        <f>IF(AND(BM55&gt;=1,BM55&lt;=GRACE_M),1,0)</f>
        <v>0</v>
      </c>
      <c r="BN59" s="148">
        <f>IF(AND(BN55&gt;=1,BN55&lt;=GRACE_M),1,0)</f>
        <v>0</v>
      </c>
      <c r="BO59" s="148">
        <f>IF(AND(BO55&gt;=1,BO55&lt;=GRACE_M),1,0)</f>
        <v>0</v>
      </c>
      <c r="BP59" s="148">
        <f>IF(AND(BP55&gt;=1,BP55&lt;=GRACE_M),1,0)</f>
        <v>0</v>
      </c>
      <c r="BQ59" s="148">
        <f>IF(AND(BQ55&gt;=1,BQ55&lt;=GRACE_M),1,0)</f>
        <v>0</v>
      </c>
      <c r="BR59" s="148">
        <f>IF(AND(BR55&gt;=1,BR55&lt;=GRACE_M),1,0)</f>
        <v>0</v>
      </c>
      <c r="BS59" s="148">
        <f>IF(AND(BS55&gt;=1,BS55&lt;=GRACE_M),1,0)</f>
        <v>0</v>
      </c>
      <c r="BT59" s="148">
        <f>IF(AND(BT55&gt;=1,BT55&lt;=GRACE_M),1,0)</f>
        <v>0</v>
      </c>
      <c r="BU59" s="148">
        <f>IF(AND(BU55&gt;=1,BU55&lt;=GRACE_M),1,0)</f>
        <v>0</v>
      </c>
      <c r="BV59" s="148">
        <f>IF(AND(BV55&gt;=1,BV55&lt;=GRACE_M),1,0)</f>
        <v>0</v>
      </c>
      <c r="BW59" s="148">
        <f>IF(AND(BW55&gt;=1,BW55&lt;=GRACE_M),1,0)</f>
        <v>0</v>
      </c>
      <c r="BX59" s="148">
        <f>IF(AND(BX55&gt;=1,BX55&lt;=GRACE_M),1,0)</f>
        <v>0</v>
      </c>
      <c r="BY59" s="148">
        <f>IF(AND(BY55&gt;=1,BY55&lt;=GRACE_M),1,0)</f>
        <v>0</v>
      </c>
      <c r="BZ59" s="148">
        <f>IF(AND(BZ55&gt;=1,BZ55&lt;=GRACE_M),1,0)</f>
        <v>0</v>
      </c>
      <c r="CA59" s="148">
        <f>IF(AND(CA55&gt;=1,CA55&lt;=GRACE_M),1,0)</f>
        <v>0</v>
      </c>
      <c r="CB59" s="148">
        <f>IF(AND(CB55&gt;=1,CB55&lt;=GRACE_M),1,0)</f>
        <v>0</v>
      </c>
      <c r="CC59" s="148">
        <f>IF(AND(CC55&gt;=1,CC55&lt;=GRACE_M),1,0)</f>
        <v>0</v>
      </c>
      <c r="CD59" s="148">
        <f>IF(AND(CD55&gt;=1,CD55&lt;=GRACE_M),1,0)</f>
        <v>0</v>
      </c>
      <c r="CE59" s="148">
        <f>IF(AND(CE55&gt;=1,CE55&lt;=GRACE_M),1,0)</f>
        <v>0</v>
      </c>
      <c r="CF59" s="148">
        <f>IF(AND(CF55&gt;=1,CF55&lt;=GRACE_M),1,0)</f>
        <v>0</v>
      </c>
      <c r="CG59" s="148">
        <f>IF(AND(CG55&gt;=1,CG55&lt;=GRACE_M),1,0)</f>
        <v>0</v>
      </c>
      <c r="CH59" s="148">
        <f>IF(AND(CH55&gt;=1,CH55&lt;=GRACE_M),1,0)</f>
        <v>0</v>
      </c>
      <c r="CI59" s="148">
        <f>IF(AND(CI55&gt;=1,CI55&lt;=GRACE_M),1,0)</f>
        <v>0</v>
      </c>
      <c r="CJ59" s="148">
        <f>IF(AND(CJ55&gt;=1,CJ55&lt;=GRACE_M),1,0)</f>
        <v>0</v>
      </c>
      <c r="CK59" s="148">
        <f>IF(AND(CK55&gt;=1,CK55&lt;=GRACE_M),1,0)</f>
        <v>0</v>
      </c>
      <c r="CL59" s="148">
        <f>IF(AND(CL55&gt;=1,CL55&lt;=GRACE_M),1,0)</f>
        <v>0</v>
      </c>
      <c r="CM59" s="148">
        <f>IF(AND(CM55&gt;=1,CM55&lt;=GRACE_M),1,0)</f>
        <v>0</v>
      </c>
      <c r="CN59" s="148">
        <f>IF(AND(CN55&gt;=1,CN55&lt;=GRACE_M),1,0)</f>
        <v>0</v>
      </c>
      <c r="CO59" s="148">
        <f>IF(AND(CO55&gt;=1,CO55&lt;=GRACE_M),1,0)</f>
        <v>0</v>
      </c>
      <c r="CP59" s="148">
        <f>IF(AND(CP55&gt;=1,CP55&lt;=GRACE_M),1,0)</f>
        <v>0</v>
      </c>
      <c r="CQ59" s="148">
        <f>IF(AND(CQ55&gt;=1,CQ55&lt;=GRACE_M),1,0)</f>
        <v>0</v>
      </c>
      <c r="CR59" s="148">
        <f>IF(AND(CR55&gt;=1,CR55&lt;=GRACE_M),1,0)</f>
        <v>0</v>
      </c>
      <c r="CS59" s="148">
        <f>IF(AND(CS55&gt;=1,CS55&lt;=GRACE_M),1,0)</f>
        <v>0</v>
      </c>
      <c r="CT59" s="148">
        <f>IF(AND(CT55&gt;=1,CT55&lt;=GRACE_M),1,0)</f>
        <v>0</v>
      </c>
      <c r="CU59" s="148">
        <f>IF(AND(CU55&gt;=1,CU55&lt;=GRACE_M),1,0)</f>
        <v>0</v>
      </c>
      <c r="CV59" s="148">
        <f>IF(AND(CV55&gt;=1,CV55&lt;=GRACE_M),1,0)</f>
        <v>0</v>
      </c>
      <c r="CW59" s="148">
        <f>IF(AND(CW55&gt;=1,CW55&lt;=GRACE_M),1,0)</f>
        <v>0</v>
      </c>
      <c r="CX59" s="148">
        <f>IF(AND(CX55&gt;=1,CX55&lt;=GRACE_M),1,0)</f>
        <v>0</v>
      </c>
      <c r="CY59" s="148">
        <f>IF(AND(CY55&gt;=1,CY55&lt;=GRACE_M),1,0)</f>
        <v>0</v>
      </c>
      <c r="CZ59" s="148">
        <f>IF(AND(CZ55&gt;=1,CZ55&lt;=GRACE_M),1,0)</f>
        <v>0</v>
      </c>
      <c r="DA59" s="148">
        <f>IF(AND(DA55&gt;=1,DA55&lt;=GRACE_M),1,0)</f>
        <v>0</v>
      </c>
      <c r="DB59" s="148">
        <f>IF(AND(DB55&gt;=1,DB55&lt;=GRACE_M),1,0)</f>
        <v>0</v>
      </c>
      <c r="DC59" s="148">
        <f>IF(AND(DC55&gt;=1,DC55&lt;=GRACE_M),1,0)</f>
        <v>0</v>
      </c>
      <c r="DD59" s="148">
        <f>IF(AND(DD55&gt;=1,DD55&lt;=GRACE_M),1,0)</f>
        <v>0</v>
      </c>
      <c r="DE59" s="148">
        <f>IF(AND(DE55&gt;=1,DE55&lt;=GRACE_M),1,0)</f>
        <v>0</v>
      </c>
      <c r="DF59" s="148">
        <f>IF(AND(DF55&gt;=1,DF55&lt;=GRACE_M),1,0)</f>
        <v>0</v>
      </c>
      <c r="DG59" s="148">
        <f>IF(AND(DG55&gt;=1,DG55&lt;=GRACE_M),1,0)</f>
        <v>0</v>
      </c>
      <c r="DH59" s="148">
        <f>IF(AND(DH55&gt;=1,DH55&lt;=GRACE_M),1,0)</f>
        <v>0</v>
      </c>
      <c r="DI59" s="148">
        <f>IF(AND(DI55&gt;=1,DI55&lt;=GRACE_M),1,0)</f>
        <v>0</v>
      </c>
      <c r="DJ59" s="148">
        <f>IF(AND(DJ55&gt;=1,DJ55&lt;=GRACE_M),1,0)</f>
        <v>0</v>
      </c>
      <c r="DK59" s="148">
        <f>IF(AND(DK55&gt;=1,DK55&lt;=GRACE_M),1,0)</f>
        <v>0</v>
      </c>
      <c r="DL59" s="148">
        <f>IF(AND(DL55&gt;=1,DL55&lt;=GRACE_M),1,0)</f>
        <v>0</v>
      </c>
      <c r="DM59" s="148">
        <f>IF(AND(DM55&gt;=1,DM55&lt;=GRACE_M),1,0)</f>
        <v>0</v>
      </c>
      <c r="DN59" s="148">
        <f>IF(AND(DN55&gt;=1,DN55&lt;=GRACE_M),1,0)</f>
        <v>0</v>
      </c>
      <c r="DO59" s="148">
        <f>IF(AND(DO55&gt;=1,DO55&lt;=GRACE_M),1,0)</f>
        <v>0</v>
      </c>
      <c r="DP59" s="148">
        <f>IF(AND(DP55&gt;=1,DP55&lt;=GRACE_M),1,0)</f>
        <v>0</v>
      </c>
      <c r="DQ59" s="148">
        <f>IF(AND(DQ55&gt;=1,DQ55&lt;=GRACE_M),1,0)</f>
        <v>0</v>
      </c>
      <c r="DR59" s="148">
        <f>IF(AND(DR55&gt;=1,DR55&lt;=GRACE_M),1,0)</f>
        <v>0</v>
      </c>
      <c r="DS59" s="148">
        <f>IF(AND(DS55&gt;=1,DS55&lt;=GRACE_M),1,0)</f>
        <v>0</v>
      </c>
      <c r="DT59" s="148">
        <f>IF(AND(DT55&gt;=1,DT55&lt;=GRACE_M),1,0)</f>
        <v>0</v>
      </c>
      <c r="DU59" s="148">
        <f>IF(AND(DU55&gt;=1,DU55&lt;=GRACE_M),1,0)</f>
        <v>0</v>
      </c>
      <c r="DV59" s="148">
        <f>IF(AND(DV55&gt;=1,DV55&lt;=GRACE_M),1,0)</f>
        <v>0</v>
      </c>
      <c r="DW59" s="148">
        <f>IF(AND(DW55&gt;=1,DW55&lt;=GRACE_M),1,0)</f>
        <v>0</v>
      </c>
      <c r="DX59" s="148">
        <f>IF(AND(DX55&gt;=1,DX55&lt;=GRACE_M),1,0)</f>
        <v>0</v>
      </c>
      <c r="DY59" s="148">
        <f>IF(AND(DY55&gt;=1,DY55&lt;=GRACE_M),1,0)</f>
        <v>0</v>
      </c>
      <c r="DZ59" s="148">
        <f>IF(AND(DZ55&gt;=1,DZ55&lt;=GRACE_M),1,0)</f>
        <v>0</v>
      </c>
      <c r="EA59" s="148">
        <f>IF(AND(EA55&gt;=1,EA55&lt;=GRACE_M),1,0)</f>
        <v>0</v>
      </c>
      <c r="EB59" s="148">
        <f>IF(AND(EB55&gt;=1,EB55&lt;=GRACE_M),1,0)</f>
        <v>0</v>
      </c>
      <c r="EC59" s="148">
        <f>IF(AND(EC55&gt;=1,EC55&lt;=GRACE_M),1,0)</f>
        <v>0</v>
      </c>
      <c r="ED59" s="148">
        <f>IF(AND(ED55&gt;=1,ED55&lt;=GRACE_M),1,0)</f>
        <v>0</v>
      </c>
      <c r="EE59" s="148">
        <f>IF(AND(EE55&gt;=1,EE55&lt;=GRACE_M),1,0)</f>
        <v>0</v>
      </c>
      <c r="EF59" s="148">
        <f>IF(AND(EF55&gt;=1,EF55&lt;=GRACE_M),1,0)</f>
        <v>0</v>
      </c>
      <c r="EG59" s="148">
        <f>IF(AND(EG55&gt;=1,EG55&lt;=GRACE_M),1,0)</f>
        <v>0</v>
      </c>
      <c r="EH59" s="148">
        <f>IF(AND(EH55&gt;=1,EH55&lt;=GRACE_M),1,0)</f>
        <v>0</v>
      </c>
      <c r="EI59" s="148">
        <f>IF(AND(EI55&gt;=1,EI55&lt;=GRACE_M),1,0)</f>
        <v>0</v>
      </c>
      <c r="EJ59" s="148">
        <f>IF(AND(EJ55&gt;=1,EJ55&lt;=GRACE_M),1,0)</f>
        <v>0</v>
      </c>
      <c r="EK59" s="148">
        <f>IF(AND(EK55&gt;=1,EK55&lt;=GRACE_M),1,0)</f>
        <v>0</v>
      </c>
      <c r="EL59" s="148">
        <f>IF(AND(EL55&gt;=1,EL55&lt;=GRACE_M),1,0)</f>
        <v>0</v>
      </c>
      <c r="EM59" s="148">
        <f>IF(AND(EM55&gt;=1,EM55&lt;=GRACE_M),1,0)</f>
        <v>0</v>
      </c>
      <c r="EN59" s="148">
        <f>IF(AND(EN55&gt;=1,EN55&lt;=GRACE_M),1,0)</f>
        <v>0</v>
      </c>
      <c r="EO59" s="148">
        <f>IF(AND(EO55&gt;=1,EO55&lt;=GRACE_M),1,0)</f>
        <v>0</v>
      </c>
      <c r="EP59" s="148">
        <f>IF(AND(EP55&gt;=1,EP55&lt;=GRACE_M),1,0)</f>
        <v>0</v>
      </c>
      <c r="EQ59" s="148">
        <f>IF(AND(EQ55&gt;=1,EQ55&lt;=GRACE_M),1,0)</f>
        <v>0</v>
      </c>
      <c r="ER59" s="148">
        <f>IF(AND(ER55&gt;=1,ER55&lt;=GRACE_M),1,0)</f>
        <v>0</v>
      </c>
      <c r="ES59" s="148">
        <f>IF(AND(ES55&gt;=1,ES55&lt;=GRACE_M),1,0)</f>
        <v>0</v>
      </c>
      <c r="ET59" s="148">
        <f>IF(AND(ET55&gt;=1,ET55&lt;=GRACE_M),1,0)</f>
        <v>0</v>
      </c>
      <c r="EU59" s="148">
        <f>IF(AND(EU55&gt;=1,EU55&lt;=GRACE_M),1,0)</f>
        <v>0</v>
      </c>
      <c r="EV59" s="148">
        <f>IF(AND(EV55&gt;=1,EV55&lt;=GRACE_M),1,0)</f>
        <v>0</v>
      </c>
      <c r="EW59" s="148">
        <f>IF(AND(EW55&gt;=1,EW55&lt;=GRACE_M),1,0)</f>
        <v>0</v>
      </c>
      <c r="EX59" s="148">
        <f>IF(AND(EX55&gt;=1,EX55&lt;=GRACE_M),1,0)</f>
        <v>0</v>
      </c>
      <c r="EY59" s="148">
        <f>IF(AND(EY55&gt;=1,EY55&lt;=GRACE_M),1,0)</f>
        <v>0</v>
      </c>
      <c r="EZ59" s="148">
        <f>IF(AND(EZ55&gt;=1,EZ55&lt;=GRACE_M),1,0)</f>
        <v>0</v>
      </c>
      <c r="FA59" s="148">
        <f>IF(AND(FA55&gt;=1,FA55&lt;=GRACE_M),1,0)</f>
        <v>0</v>
      </c>
      <c r="FB59" s="148">
        <f>IF(AND(FB55&gt;=1,FB55&lt;=GRACE_M),1,0)</f>
        <v>0</v>
      </c>
      <c r="FC59" s="148">
        <f>IF(AND(FC55&gt;=1,FC55&lt;=GRACE_M),1,0)</f>
        <v>0</v>
      </c>
      <c r="FD59" s="148">
        <f>IF(AND(FD55&gt;=1,FD55&lt;=GRACE_M),1,0)</f>
        <v>0</v>
      </c>
      <c r="FE59" s="148">
        <f>IF(AND(FE55&gt;=1,FE55&lt;=GRACE_M),1,0)</f>
        <v>0</v>
      </c>
      <c r="FF59" s="148">
        <f>IF(AND(FF55&gt;=1,FF55&lt;=GRACE_M),1,0)</f>
        <v>0</v>
      </c>
      <c r="FG59" s="148">
        <f>IF(AND(FG55&gt;=1,FG55&lt;=GRACE_M),1,0)</f>
        <v>0</v>
      </c>
      <c r="FH59" s="148">
        <f>IF(AND(FH55&gt;=1,FH55&lt;=GRACE_M),1,0)</f>
        <v>0</v>
      </c>
      <c r="FI59" s="148">
        <f>IF(AND(FI55&gt;=1,FI55&lt;=GRACE_M),1,0)</f>
        <v>0</v>
      </c>
      <c r="FJ59" s="148">
        <f>IF(AND(FJ55&gt;=1,FJ55&lt;=GRACE_M),1,0)</f>
        <v>0</v>
      </c>
      <c r="FK59" s="148">
        <f>IF(AND(FK55&gt;=1,FK55&lt;=GRACE_M),1,0)</f>
        <v>0</v>
      </c>
      <c r="FL59" s="148">
        <f>IF(AND(FL55&gt;=1,FL55&lt;=GRACE_M),1,0)</f>
        <v>0</v>
      </c>
      <c r="FM59" s="148">
        <f>IF(AND(FM55&gt;=1,FM55&lt;=GRACE_M),1,0)</f>
        <v>0</v>
      </c>
      <c r="FN59" s="148">
        <f>IF(AND(FN55&gt;=1,FN55&lt;=GRACE_M),1,0)</f>
        <v>0</v>
      </c>
      <c r="FO59" s="148">
        <f>IF(AND(FO55&gt;=1,FO55&lt;=GRACE_M),1,0)</f>
        <v>0</v>
      </c>
      <c r="FP59" s="148">
        <f>IF(AND(FP55&gt;=1,FP55&lt;=GRACE_M),1,0)</f>
        <v>0</v>
      </c>
      <c r="FQ59" s="148">
        <f>IF(AND(FQ55&gt;=1,FQ55&lt;=GRACE_M),1,0)</f>
        <v>0</v>
      </c>
      <c r="FR59" s="148">
        <f>IF(AND(FR55&gt;=1,FR55&lt;=GRACE_M),1,0)</f>
        <v>0</v>
      </c>
      <c r="FS59" s="148">
        <f>IF(AND(FS55&gt;=1,FS55&lt;=GRACE_M),1,0)</f>
        <v>0</v>
      </c>
      <c r="FT59" s="148">
        <f>IF(AND(FT55&gt;=1,FT55&lt;=GRACE_M),1,0)</f>
        <v>0</v>
      </c>
      <c r="FU59" s="148">
        <f>IF(AND(FU55&gt;=1,FU55&lt;=GRACE_M),1,0)</f>
        <v>0</v>
      </c>
      <c r="FV59" s="148">
        <f>IF(AND(FV55&gt;=1,FV55&lt;=GRACE_M),1,0)</f>
        <v>0</v>
      </c>
      <c r="FW59" s="148">
        <f>IF(AND(FW55&gt;=1,FW55&lt;=GRACE_M),1,0)</f>
        <v>0</v>
      </c>
      <c r="FX59" s="148">
        <f>IF(AND(FX55&gt;=1,FX55&lt;=GRACE_M),1,0)</f>
        <v>0</v>
      </c>
      <c r="FY59" s="148">
        <f>IF(AND(FY55&gt;=1,FY55&lt;=GRACE_M),1,0)</f>
        <v>0</v>
      </c>
      <c r="FZ59" s="148">
        <f>IF(AND(FZ55&gt;=1,FZ55&lt;=GRACE_M),1,0)</f>
        <v>0</v>
      </c>
      <c r="GA59" s="148">
        <f>IF(AND(GA55&gt;=1,GA55&lt;=GRACE_M),1,0)</f>
        <v>0</v>
      </c>
      <c r="GB59" s="148">
        <f>IF(AND(GB55&gt;=1,GB55&lt;=GRACE_M),1,0)</f>
        <v>0</v>
      </c>
      <c r="GC59" s="148">
        <f>IF(AND(GC55&gt;=1,GC55&lt;=GRACE_M),1,0)</f>
        <v>0</v>
      </c>
      <c r="GD59" s="148">
        <f>IF(AND(GD55&gt;=1,GD55&lt;=GRACE_M),1,0)</f>
        <v>0</v>
      </c>
      <c r="GE59" s="148">
        <f>IF(AND(GE55&gt;=1,GE55&lt;=GRACE_M),1,0)</f>
        <v>0</v>
      </c>
      <c r="GF59" s="148">
        <f>IF(AND(GF55&gt;=1,GF55&lt;=GRACE_M),1,0)</f>
        <v>0</v>
      </c>
      <c r="GG59" s="148">
        <f>IF(AND(GG55&gt;=1,GG55&lt;=GRACE_M),1,0)</f>
        <v>0</v>
      </c>
      <c r="GH59" s="148">
        <f>IF(AND(GH55&gt;=1,GH55&lt;=GRACE_M),1,0)</f>
        <v>0</v>
      </c>
      <c r="GI59" s="148">
        <f>IF(AND(GI55&gt;=1,GI55&lt;=GRACE_M),1,0)</f>
        <v>0</v>
      </c>
      <c r="GJ59" s="148">
        <f>IF(AND(GJ55&gt;=1,GJ55&lt;=GRACE_M),1,0)</f>
        <v>0</v>
      </c>
      <c r="GK59" s="148">
        <f>IF(AND(GK55&gt;=1,GK55&lt;=GRACE_M),1,0)</f>
        <v>0</v>
      </c>
      <c r="GL59" s="148">
        <f>IF(AND(GL55&gt;=1,GL55&lt;=GRACE_M),1,0)</f>
        <v>0</v>
      </c>
      <c r="GM59" s="148">
        <f>IF(AND(GM55&gt;=1,GM55&lt;=GRACE_M),1,0)</f>
        <v>0</v>
      </c>
      <c r="GN59" s="148">
        <f>IF(AND(GN55&gt;=1,GN55&lt;=GRACE_M),1,0)</f>
        <v>0</v>
      </c>
      <c r="GO59" s="148">
        <f>IF(AND(GO55&gt;=1,GO55&lt;=GRACE_M),1,0)</f>
        <v>0</v>
      </c>
      <c r="GP59" s="148">
        <f>IF(AND(GP55&gt;=1,GP55&lt;=GRACE_M),1,0)</f>
        <v>0</v>
      </c>
      <c r="GQ59" s="148">
        <f>IF(AND(GQ55&gt;=1,GQ55&lt;=GRACE_M),1,0)</f>
        <v>0</v>
      </c>
      <c r="GR59" s="148">
        <f>IF(AND(GR55&gt;=1,GR55&lt;=GRACE_M),1,0)</f>
        <v>0</v>
      </c>
      <c r="GS59" s="148">
        <f>IF(AND(GS55&gt;=1,GS55&lt;=GRACE_M),1,0)</f>
        <v>0</v>
      </c>
      <c r="GT59" s="148">
        <f>IF(AND(GT55&gt;=1,GT55&lt;=GRACE_M),1,0)</f>
        <v>0</v>
      </c>
      <c r="GU59" s="148">
        <f>IF(AND(GU55&gt;=1,GU55&lt;=GRACE_M),1,0)</f>
        <v>0</v>
      </c>
      <c r="GV59" s="148">
        <f>IF(AND(GV55&gt;=1,GV55&lt;=GRACE_M),1,0)</f>
        <v>0</v>
      </c>
      <c r="GW59" s="148">
        <f>IF(AND(GW55&gt;=1,GW55&lt;=GRACE_M),1,0)</f>
        <v>0</v>
      </c>
      <c r="GX59" s="148">
        <f>IF(AND(GX55&gt;=1,GX55&lt;=GRACE_M),1,0)</f>
        <v>0</v>
      </c>
      <c r="GY59" s="148">
        <f>IF(AND(GY55&gt;=1,GY55&lt;=GRACE_M),1,0)</f>
        <v>0</v>
      </c>
      <c r="GZ59" s="148">
        <f>IF(AND(GZ55&gt;=1,GZ55&lt;=GRACE_M),1,0)</f>
        <v>0</v>
      </c>
      <c r="HA59" s="148">
        <f>IF(AND(HA55&gt;=1,HA55&lt;=GRACE_M),1,0)</f>
        <v>0</v>
      </c>
      <c r="HB59" s="148">
        <f>IF(AND(HB55&gt;=1,HB55&lt;=GRACE_M),1,0)</f>
        <v>0</v>
      </c>
      <c r="HC59" s="148">
        <f>IF(AND(HC55&gt;=1,HC55&lt;=GRACE_M),1,0)</f>
        <v>0</v>
      </c>
      <c r="HD59" s="148">
        <f>IF(AND(HD55&gt;=1,HD55&lt;=GRACE_M),1,0)</f>
        <v>0</v>
      </c>
      <c r="HE59" s="148">
        <f>IF(AND(HE55&gt;=1,HE55&lt;=GRACE_M),1,0)</f>
        <v>0</v>
      </c>
      <c r="HF59" s="148">
        <f>IF(AND(HF55&gt;=1,HF55&lt;=GRACE_M),1,0)</f>
        <v>0</v>
      </c>
      <c r="HG59" s="148">
        <f>IF(AND(HG55&gt;=1,HG55&lt;=GRACE_M),1,0)</f>
        <v>0</v>
      </c>
      <c r="HH59" s="148">
        <f>IF(AND(HH55&gt;=1,HH55&lt;=GRACE_M),1,0)</f>
        <v>0</v>
      </c>
      <c r="HI59" s="148">
        <f>IF(AND(HI55&gt;=1,HI55&lt;=GRACE_M),1,0)</f>
        <v>0</v>
      </c>
      <c r="HJ59" s="148">
        <f>IF(AND(HJ55&gt;=1,HJ55&lt;=GRACE_M),1,0)</f>
        <v>0</v>
      </c>
      <c r="HK59" s="148">
        <f>IF(AND(HK55&gt;=1,HK55&lt;=GRACE_M),1,0)</f>
        <v>0</v>
      </c>
      <c r="HL59" s="148">
        <f>IF(AND(HL55&gt;=1,HL55&lt;=GRACE_M),1,0)</f>
        <v>0</v>
      </c>
      <c r="HM59" s="148">
        <f>IF(AND(HM55&gt;=1,HM55&lt;=GRACE_M),1,0)</f>
        <v>0</v>
      </c>
      <c r="HN59" s="148">
        <f>IF(AND(HN55&gt;=1,HN55&lt;=GRACE_M),1,0)</f>
        <v>0</v>
      </c>
      <c r="HO59" s="148">
        <f>IF(AND(HO55&gt;=1,HO55&lt;=GRACE_M),1,0)</f>
        <v>0</v>
      </c>
      <c r="HP59" s="148">
        <f>IF(AND(HP55&gt;=1,HP55&lt;=GRACE_M),1,0)</f>
        <v>0</v>
      </c>
      <c r="HQ59" s="148">
        <f>IF(AND(HQ55&gt;=1,HQ55&lt;=GRACE_M),1,0)</f>
        <v>0</v>
      </c>
      <c r="HR59" s="148">
        <f>IF(AND(HR55&gt;=1,HR55&lt;=GRACE_M),1,0)</f>
        <v>0</v>
      </c>
      <c r="HS59" s="148">
        <f>IF(AND(HS55&gt;=1,HS55&lt;=GRACE_M),1,0)</f>
        <v>0</v>
      </c>
      <c r="HT59" s="148">
        <f>IF(AND(HT55&gt;=1,HT55&lt;=GRACE_M),1,0)</f>
        <v>0</v>
      </c>
      <c r="HU59" s="148">
        <f>IF(AND(HU55&gt;=1,HU55&lt;=GRACE_M),1,0)</f>
        <v>0</v>
      </c>
      <c r="HV59" s="148">
        <f>IF(AND(HV55&gt;=1,HV55&lt;=GRACE_M),1,0)</f>
        <v>0</v>
      </c>
      <c r="HW59" s="148">
        <f>IF(AND(HW55&gt;=1,HW55&lt;=GRACE_M),1,0)</f>
        <v>0</v>
      </c>
      <c r="HX59" s="148">
        <f>IF(AND(HX55&gt;=1,HX55&lt;=GRACE_M),1,0)</f>
        <v>0</v>
      </c>
      <c r="HY59" s="148">
        <f>IF(AND(HY55&gt;=1,HY55&lt;=GRACE_M),1,0)</f>
        <v>0</v>
      </c>
      <c r="HZ59" s="148">
        <f>IF(AND(HZ55&gt;=1,HZ55&lt;=GRACE_M),1,0)</f>
        <v>0</v>
      </c>
      <c r="IA59" s="148">
        <f>IF(AND(IA55&gt;=1,IA55&lt;=GRACE_M),1,0)</f>
        <v>0</v>
      </c>
      <c r="IB59" s="148">
        <f>IF(AND(IB55&gt;=1,IB55&lt;=GRACE_M),1,0)</f>
        <v>0</v>
      </c>
      <c r="IC59" s="148">
        <f>IF(AND(IC55&gt;=1,IC55&lt;=GRACE_M),1,0)</f>
        <v>0</v>
      </c>
      <c r="ID59" s="148">
        <f>IF(AND(ID55&gt;=1,ID55&lt;=GRACE_M),1,0)</f>
        <v>0</v>
      </c>
      <c r="IE59" s="148">
        <f>IF(AND(IE55&gt;=1,IE55&lt;=GRACE_M),1,0)</f>
        <v>0</v>
      </c>
      <c r="IF59" s="148">
        <f>IF(AND(IF55&gt;=1,IF55&lt;=GRACE_M),1,0)</f>
        <v>0</v>
      </c>
      <c r="IG59" s="148">
        <f>IF(AND(IG55&gt;=1,IG55&lt;=GRACE_M),1,0)</f>
        <v>0</v>
      </c>
      <c r="IH59" s="148">
        <f>IF(AND(IH55&gt;=1,IH55&lt;=GRACE_M),1,0)</f>
        <v>0</v>
      </c>
      <c r="II59" s="148">
        <f>IF(AND(II55&gt;=1,II55&lt;=GRACE_M),1,0)</f>
        <v>0</v>
      </c>
      <c r="IJ59" s="148">
        <f>IF(AND(IJ55&gt;=1,IJ55&lt;=GRACE_M),1,0)</f>
        <v>0</v>
      </c>
      <c r="IK59" s="148">
        <f>IF(AND(IK55&gt;=1,IK55&lt;=GRACE_M),1,0)</f>
        <v>0</v>
      </c>
      <c r="IL59" s="148">
        <f>IF(AND(IL55&gt;=1,IL55&lt;=GRACE_M),1,0)</f>
        <v>0</v>
      </c>
      <c r="IM59" s="148">
        <f>IF(AND(IM55&gt;=1,IM55&lt;=GRACE_M),1,0)</f>
        <v>0</v>
      </c>
      <c r="IN59" s="148">
        <f>IF(AND(IN55&gt;=1,IN55&lt;=GRACE_M),1,0)</f>
        <v>0</v>
      </c>
      <c r="IO59" s="148">
        <f>IF(AND(IO55&gt;=1,IO55&lt;=GRACE_M),1,0)</f>
        <v>0</v>
      </c>
      <c r="IP59" s="148">
        <f>IF(AND(IP55&gt;=1,IP55&lt;=GRACE_M),1,0)</f>
        <v>0</v>
      </c>
      <c r="IQ59" s="148">
        <f>IF(AND(IQ55&gt;=1,IQ55&lt;=GRACE_M),1,0)</f>
        <v>0</v>
      </c>
      <c r="IR59" s="148">
        <f>IF(AND(IR55&gt;=1,IR55&lt;=GRACE_M),1,0)</f>
        <v>0</v>
      </c>
      <c r="IS59" s="148">
        <f>IF(AND(IS55&gt;=1,IS55&lt;=GRACE_M),1,0)</f>
        <v>0</v>
      </c>
      <c r="IT59" s="148">
        <f>IF(AND(IT55&gt;=1,IT55&lt;=GRACE_M),1,0)</f>
        <v>0</v>
      </c>
      <c r="IU59" s="148">
        <f>IF(AND(IU55&gt;=1,IU55&lt;=GRACE_M),1,0)</f>
        <v>0</v>
      </c>
      <c r="IV59" s="148">
        <f>IF(AND(IV55&gt;=1,IV55&lt;=GRACE_M),1,0)</f>
        <v>0</v>
      </c>
      <c r="IW59" s="148">
        <f>IF(AND(IW55&gt;=1,IW55&lt;=GRACE_M),1,0)</f>
        <v>0</v>
      </c>
      <c r="IX59" s="148">
        <f>IF(AND(IX55&gt;=1,IX55&lt;=GRACE_M),1,0)</f>
        <v>0</v>
      </c>
      <c r="IY59" s="148">
        <f>IF(AND(IY55&gt;=1,IY55&lt;=GRACE_M),1,0)</f>
        <v>0</v>
      </c>
      <c r="IZ59" s="148">
        <f>IF(AND(IZ55&gt;=1,IZ55&lt;=GRACE_M),1,0)</f>
        <v>0</v>
      </c>
      <c r="JA59" s="148">
        <f>IF(AND(JA55&gt;=1,JA55&lt;=GRACE_M),1,0)</f>
        <v>0</v>
      </c>
      <c r="JB59" s="148">
        <f>IF(AND(JB55&gt;=1,JB55&lt;=GRACE_M),1,0)</f>
        <v>0</v>
      </c>
      <c r="JC59" s="148">
        <f>IF(AND(JC55&gt;=1,JC55&lt;=GRACE_M),1,0)</f>
        <v>0</v>
      </c>
      <c r="JD59" s="148">
        <f>IF(AND(JD55&gt;=1,JD55&lt;=GRACE_M),1,0)</f>
        <v>0</v>
      </c>
      <c r="JE59" s="148">
        <f>IF(AND(JE55&gt;=1,JE55&lt;=GRACE_M),1,0)</f>
        <v>0</v>
      </c>
      <c r="JF59" s="148">
        <f>IF(AND(JF55&gt;=1,JF55&lt;=GRACE_M),1,0)</f>
        <v>0</v>
      </c>
      <c r="JG59" s="148">
        <f>IF(AND(JG55&gt;=1,JG55&lt;=GRACE_M),1,0)</f>
        <v>0</v>
      </c>
      <c r="JH59" s="148">
        <f>IF(AND(JH55&gt;=1,JH55&lt;=GRACE_M),1,0)</f>
        <v>0</v>
      </c>
      <c r="JI59" s="148">
        <f>IF(AND(JI55&gt;=1,JI55&lt;=GRACE_M),1,0)</f>
        <v>0</v>
      </c>
      <c r="JJ59" s="148">
        <f>IF(AND(JJ55&gt;=1,JJ55&lt;=GRACE_M),1,0)</f>
        <v>0</v>
      </c>
      <c r="JK59" s="148">
        <f>IF(AND(JK55&gt;=1,JK55&lt;=GRACE_M),1,0)</f>
        <v>0</v>
      </c>
      <c r="JL59" s="148">
        <f>IF(AND(JL55&gt;=1,JL55&lt;=GRACE_M),1,0)</f>
        <v>0</v>
      </c>
      <c r="JM59" s="148">
        <f>IF(AND(JM55&gt;=1,JM55&lt;=GRACE_M),1,0)</f>
        <v>0</v>
      </c>
      <c r="JN59" s="148">
        <f>IF(AND(JN55&gt;=1,JN55&lt;=GRACE_M),1,0)</f>
        <v>0</v>
      </c>
      <c r="JO59" s="148">
        <f>IF(AND(JO55&gt;=1,JO55&lt;=GRACE_M),1,0)</f>
        <v>0</v>
      </c>
      <c r="JP59" s="148">
        <f>IF(AND(JP55&gt;=1,JP55&lt;=GRACE_M),1,0)</f>
        <v>0</v>
      </c>
      <c r="JQ59" s="148">
        <f>IF(AND(JQ55&gt;=1,JQ55&lt;=GRACE_M),1,0)</f>
        <v>0</v>
      </c>
      <c r="JR59" s="148">
        <f>IF(AND(JR55&gt;=1,JR55&lt;=GRACE_M),1,0)</f>
        <v>0</v>
      </c>
      <c r="JS59" s="148">
        <f>IF(AND(JS55&gt;=1,JS55&lt;=GRACE_M),1,0)</f>
        <v>0</v>
      </c>
      <c r="JT59" s="148">
        <f>IF(AND(JT55&gt;=1,JT55&lt;=GRACE_M),1,0)</f>
        <v>0</v>
      </c>
      <c r="JU59" s="148">
        <f>IF(AND(JU55&gt;=1,JU55&lt;=GRACE_M),1,0)</f>
        <v>0</v>
      </c>
      <c r="JV59" s="148">
        <f>IF(AND(JV55&gt;=1,JV55&lt;=GRACE_M),1,0)</f>
        <v>0</v>
      </c>
      <c r="JW59" s="148">
        <f>IF(AND(JW55&gt;=1,JW55&lt;=GRACE_M),1,0)</f>
        <v>0</v>
      </c>
      <c r="JX59" s="148">
        <f>IF(AND(JX55&gt;=1,JX55&lt;=GRACE_M),1,0)</f>
        <v>0</v>
      </c>
      <c r="JY59" s="148">
        <f>IF(AND(JY55&gt;=1,JY55&lt;=GRACE_M),1,0)</f>
        <v>0</v>
      </c>
      <c r="JZ59" s="148">
        <f>IF(AND(JZ55&gt;=1,JZ55&lt;=GRACE_M),1,0)</f>
        <v>0</v>
      </c>
      <c r="KA59" s="148">
        <f>IF(AND(KA55&gt;=1,KA55&lt;=GRACE_M),1,0)</f>
        <v>0</v>
      </c>
      <c r="KB59" s="148">
        <f>IF(AND(KB55&gt;=1,KB55&lt;=GRACE_M),1,0)</f>
        <v>0</v>
      </c>
      <c r="KC59" s="148">
        <f>IF(AND(KC55&gt;=1,KC55&lt;=GRACE_M),1,0)</f>
        <v>0</v>
      </c>
      <c r="KD59" s="148">
        <f>IF(AND(KD55&gt;=1,KD55&lt;=GRACE_M),1,0)</f>
        <v>0</v>
      </c>
      <c r="KE59" s="148">
        <f>IF(AND(KE55&gt;=1,KE55&lt;=GRACE_M),1,0)</f>
        <v>0</v>
      </c>
      <c r="KF59" s="148">
        <f>IF(AND(KF55&gt;=1,KF55&lt;=GRACE_M),1,0)</f>
        <v>0</v>
      </c>
    </row>
    <row r="60">
      <c r="B60" s="36" t="inlineStr">
        <is>
          <t>Repayment event flag</t>
        </is>
      </c>
      <c r="C60" s="117" t="inlineStr">
        <is>
          <t>flag</t>
        </is>
      </c>
      <c r="D60" s="147">
        <f>SUM(E60:KF60)</f>
        <v>36</v>
      </c>
      <c r="E60" s="148">
        <f>IF(AND(E55&gt;GRACE_M,E55&lt;=GRACE_M+N_PAY*FREQ_M,MOD(E55-GRACE_M,FREQ_M)=0),1,0)</f>
        <v>0</v>
      </c>
      <c r="F60" s="148">
        <f>IF(AND(F55&gt;GRACE_M,F55&lt;=GRACE_M+N_PAY*FREQ_M,MOD(F55-GRACE_M,FREQ_M)=0),1,0)</f>
        <v>0</v>
      </c>
      <c r="G60" s="148">
        <f>IF(AND(G55&gt;GRACE_M,G55&lt;=GRACE_M+N_PAY*FREQ_M,MOD(G55-GRACE_M,FREQ_M)=0),1,0)</f>
        <v>0</v>
      </c>
      <c r="H60" s="148">
        <f>IF(AND(H55&gt;GRACE_M,H55&lt;=GRACE_M+N_PAY*FREQ_M,MOD(H55-GRACE_M,FREQ_M)=0),1,0)</f>
        <v>0</v>
      </c>
      <c r="I60" s="148">
        <f>IF(AND(I55&gt;GRACE_M,I55&lt;=GRACE_M+N_PAY*FREQ_M,MOD(I55-GRACE_M,FREQ_M)=0),1,0)</f>
        <v>0</v>
      </c>
      <c r="J60" s="148">
        <f>IF(AND(J55&gt;GRACE_M,J55&lt;=GRACE_M+N_PAY*FREQ_M,MOD(J55-GRACE_M,FREQ_M)=0),1,0)</f>
        <v>0</v>
      </c>
      <c r="K60" s="148">
        <f>IF(AND(K55&gt;GRACE_M,K55&lt;=GRACE_M+N_PAY*FREQ_M,MOD(K55-GRACE_M,FREQ_M)=0),1,0)</f>
        <v>0</v>
      </c>
      <c r="L60" s="148">
        <f>IF(AND(L55&gt;GRACE_M,L55&lt;=GRACE_M+N_PAY*FREQ_M,MOD(L55-GRACE_M,FREQ_M)=0),1,0)</f>
        <v>0</v>
      </c>
      <c r="M60" s="148">
        <f>IF(AND(M55&gt;GRACE_M,M55&lt;=GRACE_M+N_PAY*FREQ_M,MOD(M55-GRACE_M,FREQ_M)=0),1,0)</f>
        <v>0</v>
      </c>
      <c r="N60" s="148">
        <f>IF(AND(N55&gt;GRACE_M,N55&lt;=GRACE_M+N_PAY*FREQ_M,MOD(N55-GRACE_M,FREQ_M)=0),1,0)</f>
        <v>0</v>
      </c>
      <c r="O60" s="148">
        <f>IF(AND(O55&gt;GRACE_M,O55&lt;=GRACE_M+N_PAY*FREQ_M,MOD(O55-GRACE_M,FREQ_M)=0),1,0)</f>
        <v>0</v>
      </c>
      <c r="P60" s="148">
        <f>IF(AND(P55&gt;GRACE_M,P55&lt;=GRACE_M+N_PAY*FREQ_M,MOD(P55-GRACE_M,FREQ_M)=0),1,0)</f>
        <v>0</v>
      </c>
      <c r="Q60" s="148">
        <f>IF(AND(Q55&gt;GRACE_M,Q55&lt;=GRACE_M+N_PAY*FREQ_M,MOD(Q55-GRACE_M,FREQ_M)=0),1,0)</f>
        <v>0</v>
      </c>
      <c r="R60" s="148">
        <f>IF(AND(R55&gt;GRACE_M,R55&lt;=GRACE_M+N_PAY*FREQ_M,MOD(R55-GRACE_M,FREQ_M)=0),1,0)</f>
        <v>0</v>
      </c>
      <c r="S60" s="148">
        <f>IF(AND(S55&gt;GRACE_M,S55&lt;=GRACE_M+N_PAY*FREQ_M,MOD(S55-GRACE_M,FREQ_M)=0),1,0)</f>
        <v>0</v>
      </c>
      <c r="T60" s="148">
        <f>IF(AND(T55&gt;GRACE_M,T55&lt;=GRACE_M+N_PAY*FREQ_M,MOD(T55-GRACE_M,FREQ_M)=0),1,0)</f>
        <v>0</v>
      </c>
      <c r="U60" s="148">
        <f>IF(AND(U55&gt;GRACE_M,U55&lt;=GRACE_M+N_PAY*FREQ_M,MOD(U55-GRACE_M,FREQ_M)=0),1,0)</f>
        <v>0</v>
      </c>
      <c r="V60" s="148">
        <f>IF(AND(V55&gt;GRACE_M,V55&lt;=GRACE_M+N_PAY*FREQ_M,MOD(V55-GRACE_M,FREQ_M)=0),1,0)</f>
        <v>0</v>
      </c>
      <c r="W60" s="148">
        <f>IF(AND(W55&gt;GRACE_M,W55&lt;=GRACE_M+N_PAY*FREQ_M,MOD(W55-GRACE_M,FREQ_M)=0),1,0)</f>
        <v>0</v>
      </c>
      <c r="X60" s="148">
        <f>IF(AND(X55&gt;GRACE_M,X55&lt;=GRACE_M+N_PAY*FREQ_M,MOD(X55-GRACE_M,FREQ_M)=0),1,0)</f>
        <v>0</v>
      </c>
      <c r="Y60" s="148">
        <f>IF(AND(Y55&gt;GRACE_M,Y55&lt;=GRACE_M+N_PAY*FREQ_M,MOD(Y55-GRACE_M,FREQ_M)=0),1,0)</f>
        <v>0</v>
      </c>
      <c r="Z60" s="148">
        <f>IF(AND(Z55&gt;GRACE_M,Z55&lt;=GRACE_M+N_PAY*FREQ_M,MOD(Z55-GRACE_M,FREQ_M)=0),1,0)</f>
        <v>0</v>
      </c>
      <c r="AA60" s="148">
        <f>IF(AND(AA55&gt;GRACE_M,AA55&lt;=GRACE_M+N_PAY*FREQ_M,MOD(AA55-GRACE_M,FREQ_M)=0),1,0)</f>
        <v>0</v>
      </c>
      <c r="AB60" s="148">
        <f>IF(AND(AB55&gt;GRACE_M,AB55&lt;=GRACE_M+N_PAY*FREQ_M,MOD(AB55-GRACE_M,FREQ_M)=0),1,0)</f>
        <v>0</v>
      </c>
      <c r="AC60" s="148">
        <f>IF(AND(AC55&gt;GRACE_M,AC55&lt;=GRACE_M+N_PAY*FREQ_M,MOD(AC55-GRACE_M,FREQ_M)=0),1,0)</f>
        <v>0</v>
      </c>
      <c r="AD60" s="148">
        <f>IF(AND(AD55&gt;GRACE_M,AD55&lt;=GRACE_M+N_PAY*FREQ_M,MOD(AD55-GRACE_M,FREQ_M)=0),1,0)</f>
        <v>0</v>
      </c>
      <c r="AE60" s="148">
        <f>IF(AND(AE55&gt;GRACE_M,AE55&lt;=GRACE_M+N_PAY*FREQ_M,MOD(AE55-GRACE_M,FREQ_M)=0),1,0)</f>
        <v>0</v>
      </c>
      <c r="AF60" s="148">
        <f>IF(AND(AF55&gt;GRACE_M,AF55&lt;=GRACE_M+N_PAY*FREQ_M,MOD(AF55-GRACE_M,FREQ_M)=0),1,0)</f>
        <v>0</v>
      </c>
      <c r="AG60" s="148">
        <f>IF(AND(AG55&gt;GRACE_M,AG55&lt;=GRACE_M+N_PAY*FREQ_M,MOD(AG55-GRACE_M,FREQ_M)=0),1,0)</f>
        <v>0</v>
      </c>
      <c r="AH60" s="148">
        <f>IF(AND(AH55&gt;GRACE_M,AH55&lt;=GRACE_M+N_PAY*FREQ_M,MOD(AH55-GRACE_M,FREQ_M)=0),1,0)</f>
        <v>0</v>
      </c>
      <c r="AI60" s="148">
        <f>IF(AND(AI55&gt;GRACE_M,AI55&lt;=GRACE_M+N_PAY*FREQ_M,MOD(AI55-GRACE_M,FREQ_M)=0),1,0)</f>
        <v>0</v>
      </c>
      <c r="AJ60" s="148">
        <f>IF(AND(AJ55&gt;GRACE_M,AJ55&lt;=GRACE_M+N_PAY*FREQ_M,MOD(AJ55-GRACE_M,FREQ_M)=0),1,0)</f>
        <v>0</v>
      </c>
      <c r="AK60" s="148">
        <f>IF(AND(AK55&gt;GRACE_M,AK55&lt;=GRACE_M+N_PAY*FREQ_M,MOD(AK55-GRACE_M,FREQ_M)=0),1,0)</f>
        <v>0</v>
      </c>
      <c r="AL60" s="148">
        <f>IF(AND(AL55&gt;GRACE_M,AL55&lt;=GRACE_M+N_PAY*FREQ_M,MOD(AL55-GRACE_M,FREQ_M)=0),1,0)</f>
        <v>0</v>
      </c>
      <c r="AM60" s="148">
        <f>IF(AND(AM55&gt;GRACE_M,AM55&lt;=GRACE_M+N_PAY*FREQ_M,MOD(AM55-GRACE_M,FREQ_M)=0),1,0)</f>
        <v>0</v>
      </c>
      <c r="AN60" s="148">
        <f>IF(AND(AN55&gt;GRACE_M,AN55&lt;=GRACE_M+N_PAY*FREQ_M,MOD(AN55-GRACE_M,FREQ_M)=0),1,0)</f>
        <v>0</v>
      </c>
      <c r="AO60" s="148">
        <f>IF(AND(AO55&gt;GRACE_M,AO55&lt;=GRACE_M+N_PAY*FREQ_M,MOD(AO55-GRACE_M,FREQ_M)=0),1,0)</f>
        <v>0</v>
      </c>
      <c r="AP60" s="148">
        <f>IF(AND(AP55&gt;GRACE_M,AP55&lt;=GRACE_M+N_PAY*FREQ_M,MOD(AP55-GRACE_M,FREQ_M)=0),1,0)</f>
        <v>0</v>
      </c>
      <c r="AQ60" s="148">
        <f>IF(AND(AQ55&gt;GRACE_M,AQ55&lt;=GRACE_M+N_PAY*FREQ_M,MOD(AQ55-GRACE_M,FREQ_M)=0),1,0)</f>
        <v>0</v>
      </c>
      <c r="AR60" s="148">
        <f>IF(AND(AR55&gt;GRACE_M,AR55&lt;=GRACE_M+N_PAY*FREQ_M,MOD(AR55-GRACE_M,FREQ_M)=0),1,0)</f>
        <v>0</v>
      </c>
      <c r="AS60" s="148">
        <f>IF(AND(AS55&gt;GRACE_M,AS55&lt;=GRACE_M+N_PAY*FREQ_M,MOD(AS55-GRACE_M,FREQ_M)=0),1,0)</f>
        <v>0</v>
      </c>
      <c r="AT60" s="148">
        <f>IF(AND(AT55&gt;GRACE_M,AT55&lt;=GRACE_M+N_PAY*FREQ_M,MOD(AT55-GRACE_M,FREQ_M)=0),1,0)</f>
        <v>0</v>
      </c>
      <c r="AU60" s="148">
        <f>IF(AND(AU55&gt;GRACE_M,AU55&lt;=GRACE_M+N_PAY*FREQ_M,MOD(AU55-GRACE_M,FREQ_M)=0),1,0)</f>
        <v>0</v>
      </c>
      <c r="AV60" s="148">
        <f>IF(AND(AV55&gt;GRACE_M,AV55&lt;=GRACE_M+N_PAY*FREQ_M,MOD(AV55-GRACE_M,FREQ_M)=0),1,0)</f>
        <v>0</v>
      </c>
      <c r="AW60" s="148">
        <f>IF(AND(AW55&gt;GRACE_M,AW55&lt;=GRACE_M+N_PAY*FREQ_M,MOD(AW55-GRACE_M,FREQ_M)=0),1,0)</f>
        <v>1</v>
      </c>
      <c r="AX60" s="148">
        <f>IF(AND(AX55&gt;GRACE_M,AX55&lt;=GRACE_M+N_PAY*FREQ_M,MOD(AX55-GRACE_M,FREQ_M)=0),1,0)</f>
        <v>0</v>
      </c>
      <c r="AY60" s="148">
        <f>IF(AND(AY55&gt;GRACE_M,AY55&lt;=GRACE_M+N_PAY*FREQ_M,MOD(AY55-GRACE_M,FREQ_M)=0),1,0)</f>
        <v>0</v>
      </c>
      <c r="AZ60" s="148">
        <f>IF(AND(AZ55&gt;GRACE_M,AZ55&lt;=GRACE_M+N_PAY*FREQ_M,MOD(AZ55-GRACE_M,FREQ_M)=0),1,0)</f>
        <v>1</v>
      </c>
      <c r="BA60" s="148">
        <f>IF(AND(BA55&gt;GRACE_M,BA55&lt;=GRACE_M+N_PAY*FREQ_M,MOD(BA55-GRACE_M,FREQ_M)=0),1,0)</f>
        <v>0</v>
      </c>
      <c r="BB60" s="148">
        <f>IF(AND(BB55&gt;GRACE_M,BB55&lt;=GRACE_M+N_PAY*FREQ_M,MOD(BB55-GRACE_M,FREQ_M)=0),1,0)</f>
        <v>0</v>
      </c>
      <c r="BC60" s="148">
        <f>IF(AND(BC55&gt;GRACE_M,BC55&lt;=GRACE_M+N_PAY*FREQ_M,MOD(BC55-GRACE_M,FREQ_M)=0),1,0)</f>
        <v>1</v>
      </c>
      <c r="BD60" s="148">
        <f>IF(AND(BD55&gt;GRACE_M,BD55&lt;=GRACE_M+N_PAY*FREQ_M,MOD(BD55-GRACE_M,FREQ_M)=0),1,0)</f>
        <v>0</v>
      </c>
      <c r="BE60" s="148">
        <f>IF(AND(BE55&gt;GRACE_M,BE55&lt;=GRACE_M+N_PAY*FREQ_M,MOD(BE55-GRACE_M,FREQ_M)=0),1,0)</f>
        <v>0</v>
      </c>
      <c r="BF60" s="148">
        <f>IF(AND(BF55&gt;GRACE_M,BF55&lt;=GRACE_M+N_PAY*FREQ_M,MOD(BF55-GRACE_M,FREQ_M)=0),1,0)</f>
        <v>1</v>
      </c>
      <c r="BG60" s="148">
        <f>IF(AND(BG55&gt;GRACE_M,BG55&lt;=GRACE_M+N_PAY*FREQ_M,MOD(BG55-GRACE_M,FREQ_M)=0),1,0)</f>
        <v>0</v>
      </c>
      <c r="BH60" s="148">
        <f>IF(AND(BH55&gt;GRACE_M,BH55&lt;=GRACE_M+N_PAY*FREQ_M,MOD(BH55-GRACE_M,FREQ_M)=0),1,0)</f>
        <v>0</v>
      </c>
      <c r="BI60" s="148">
        <f>IF(AND(BI55&gt;GRACE_M,BI55&lt;=GRACE_M+N_PAY*FREQ_M,MOD(BI55-GRACE_M,FREQ_M)=0),1,0)</f>
        <v>1</v>
      </c>
      <c r="BJ60" s="148">
        <f>IF(AND(BJ55&gt;GRACE_M,BJ55&lt;=GRACE_M+N_PAY*FREQ_M,MOD(BJ55-GRACE_M,FREQ_M)=0),1,0)</f>
        <v>0</v>
      </c>
      <c r="BK60" s="148">
        <f>IF(AND(BK55&gt;GRACE_M,BK55&lt;=GRACE_M+N_PAY*FREQ_M,MOD(BK55-GRACE_M,FREQ_M)=0),1,0)</f>
        <v>0</v>
      </c>
      <c r="BL60" s="148">
        <f>IF(AND(BL55&gt;GRACE_M,BL55&lt;=GRACE_M+N_PAY*FREQ_M,MOD(BL55-GRACE_M,FREQ_M)=0),1,0)</f>
        <v>1</v>
      </c>
      <c r="BM60" s="148">
        <f>IF(AND(BM55&gt;GRACE_M,BM55&lt;=GRACE_M+N_PAY*FREQ_M,MOD(BM55-GRACE_M,FREQ_M)=0),1,0)</f>
        <v>0</v>
      </c>
      <c r="BN60" s="148">
        <f>IF(AND(BN55&gt;GRACE_M,BN55&lt;=GRACE_M+N_PAY*FREQ_M,MOD(BN55-GRACE_M,FREQ_M)=0),1,0)</f>
        <v>0</v>
      </c>
      <c r="BO60" s="148">
        <f>IF(AND(BO55&gt;GRACE_M,BO55&lt;=GRACE_M+N_PAY*FREQ_M,MOD(BO55-GRACE_M,FREQ_M)=0),1,0)</f>
        <v>1</v>
      </c>
      <c r="BP60" s="148">
        <f>IF(AND(BP55&gt;GRACE_M,BP55&lt;=GRACE_M+N_PAY*FREQ_M,MOD(BP55-GRACE_M,FREQ_M)=0),1,0)</f>
        <v>0</v>
      </c>
      <c r="BQ60" s="148">
        <f>IF(AND(BQ55&gt;GRACE_M,BQ55&lt;=GRACE_M+N_PAY*FREQ_M,MOD(BQ55-GRACE_M,FREQ_M)=0),1,0)</f>
        <v>0</v>
      </c>
      <c r="BR60" s="148">
        <f>IF(AND(BR55&gt;GRACE_M,BR55&lt;=GRACE_M+N_PAY*FREQ_M,MOD(BR55-GRACE_M,FREQ_M)=0),1,0)</f>
        <v>1</v>
      </c>
      <c r="BS60" s="148">
        <f>IF(AND(BS55&gt;GRACE_M,BS55&lt;=GRACE_M+N_PAY*FREQ_M,MOD(BS55-GRACE_M,FREQ_M)=0),1,0)</f>
        <v>0</v>
      </c>
      <c r="BT60" s="148">
        <f>IF(AND(BT55&gt;GRACE_M,BT55&lt;=GRACE_M+N_PAY*FREQ_M,MOD(BT55-GRACE_M,FREQ_M)=0),1,0)</f>
        <v>0</v>
      </c>
      <c r="BU60" s="148">
        <f>IF(AND(BU55&gt;GRACE_M,BU55&lt;=GRACE_M+N_PAY*FREQ_M,MOD(BU55-GRACE_M,FREQ_M)=0),1,0)</f>
        <v>1</v>
      </c>
      <c r="BV60" s="148">
        <f>IF(AND(BV55&gt;GRACE_M,BV55&lt;=GRACE_M+N_PAY*FREQ_M,MOD(BV55-GRACE_M,FREQ_M)=0),1,0)</f>
        <v>0</v>
      </c>
      <c r="BW60" s="148">
        <f>IF(AND(BW55&gt;GRACE_M,BW55&lt;=GRACE_M+N_PAY*FREQ_M,MOD(BW55-GRACE_M,FREQ_M)=0),1,0)</f>
        <v>0</v>
      </c>
      <c r="BX60" s="148">
        <f>IF(AND(BX55&gt;GRACE_M,BX55&lt;=GRACE_M+N_PAY*FREQ_M,MOD(BX55-GRACE_M,FREQ_M)=0),1,0)</f>
        <v>1</v>
      </c>
      <c r="BY60" s="148">
        <f>IF(AND(BY55&gt;GRACE_M,BY55&lt;=GRACE_M+N_PAY*FREQ_M,MOD(BY55-GRACE_M,FREQ_M)=0),1,0)</f>
        <v>0</v>
      </c>
      <c r="BZ60" s="148">
        <f>IF(AND(BZ55&gt;GRACE_M,BZ55&lt;=GRACE_M+N_PAY*FREQ_M,MOD(BZ55-GRACE_M,FREQ_M)=0),1,0)</f>
        <v>0</v>
      </c>
      <c r="CA60" s="148">
        <f>IF(AND(CA55&gt;GRACE_M,CA55&lt;=GRACE_M+N_PAY*FREQ_M,MOD(CA55-GRACE_M,FREQ_M)=0),1,0)</f>
        <v>1</v>
      </c>
      <c r="CB60" s="148">
        <f>IF(AND(CB55&gt;GRACE_M,CB55&lt;=GRACE_M+N_PAY*FREQ_M,MOD(CB55-GRACE_M,FREQ_M)=0),1,0)</f>
        <v>0</v>
      </c>
      <c r="CC60" s="148">
        <f>IF(AND(CC55&gt;GRACE_M,CC55&lt;=GRACE_M+N_PAY*FREQ_M,MOD(CC55-GRACE_M,FREQ_M)=0),1,0)</f>
        <v>0</v>
      </c>
      <c r="CD60" s="148">
        <f>IF(AND(CD55&gt;GRACE_M,CD55&lt;=GRACE_M+N_PAY*FREQ_M,MOD(CD55-GRACE_M,FREQ_M)=0),1,0)</f>
        <v>1</v>
      </c>
      <c r="CE60" s="148">
        <f>IF(AND(CE55&gt;GRACE_M,CE55&lt;=GRACE_M+N_PAY*FREQ_M,MOD(CE55-GRACE_M,FREQ_M)=0),1,0)</f>
        <v>0</v>
      </c>
      <c r="CF60" s="148">
        <f>IF(AND(CF55&gt;GRACE_M,CF55&lt;=GRACE_M+N_PAY*FREQ_M,MOD(CF55-GRACE_M,FREQ_M)=0),1,0)</f>
        <v>0</v>
      </c>
      <c r="CG60" s="148">
        <f>IF(AND(CG55&gt;GRACE_M,CG55&lt;=GRACE_M+N_PAY*FREQ_M,MOD(CG55-GRACE_M,FREQ_M)=0),1,0)</f>
        <v>1</v>
      </c>
      <c r="CH60" s="148">
        <f>IF(AND(CH55&gt;GRACE_M,CH55&lt;=GRACE_M+N_PAY*FREQ_M,MOD(CH55-GRACE_M,FREQ_M)=0),1,0)</f>
        <v>0</v>
      </c>
      <c r="CI60" s="148">
        <f>IF(AND(CI55&gt;GRACE_M,CI55&lt;=GRACE_M+N_PAY*FREQ_M,MOD(CI55-GRACE_M,FREQ_M)=0),1,0)</f>
        <v>0</v>
      </c>
      <c r="CJ60" s="148">
        <f>IF(AND(CJ55&gt;GRACE_M,CJ55&lt;=GRACE_M+N_PAY*FREQ_M,MOD(CJ55-GRACE_M,FREQ_M)=0),1,0)</f>
        <v>1</v>
      </c>
      <c r="CK60" s="148">
        <f>IF(AND(CK55&gt;GRACE_M,CK55&lt;=GRACE_M+N_PAY*FREQ_M,MOD(CK55-GRACE_M,FREQ_M)=0),1,0)</f>
        <v>0</v>
      </c>
      <c r="CL60" s="148">
        <f>IF(AND(CL55&gt;GRACE_M,CL55&lt;=GRACE_M+N_PAY*FREQ_M,MOD(CL55-GRACE_M,FREQ_M)=0),1,0)</f>
        <v>0</v>
      </c>
      <c r="CM60" s="148">
        <f>IF(AND(CM55&gt;GRACE_M,CM55&lt;=GRACE_M+N_PAY*FREQ_M,MOD(CM55-GRACE_M,FREQ_M)=0),1,0)</f>
        <v>1</v>
      </c>
      <c r="CN60" s="148">
        <f>IF(AND(CN55&gt;GRACE_M,CN55&lt;=GRACE_M+N_PAY*FREQ_M,MOD(CN55-GRACE_M,FREQ_M)=0),1,0)</f>
        <v>0</v>
      </c>
      <c r="CO60" s="148">
        <f>IF(AND(CO55&gt;GRACE_M,CO55&lt;=GRACE_M+N_PAY*FREQ_M,MOD(CO55-GRACE_M,FREQ_M)=0),1,0)</f>
        <v>0</v>
      </c>
      <c r="CP60" s="148">
        <f>IF(AND(CP55&gt;GRACE_M,CP55&lt;=GRACE_M+N_PAY*FREQ_M,MOD(CP55-GRACE_M,FREQ_M)=0),1,0)</f>
        <v>1</v>
      </c>
      <c r="CQ60" s="148">
        <f>IF(AND(CQ55&gt;GRACE_M,CQ55&lt;=GRACE_M+N_PAY*FREQ_M,MOD(CQ55-GRACE_M,FREQ_M)=0),1,0)</f>
        <v>0</v>
      </c>
      <c r="CR60" s="148">
        <f>IF(AND(CR55&gt;GRACE_M,CR55&lt;=GRACE_M+N_PAY*FREQ_M,MOD(CR55-GRACE_M,FREQ_M)=0),1,0)</f>
        <v>0</v>
      </c>
      <c r="CS60" s="148">
        <f>IF(AND(CS55&gt;GRACE_M,CS55&lt;=GRACE_M+N_PAY*FREQ_M,MOD(CS55-GRACE_M,FREQ_M)=0),1,0)</f>
        <v>1</v>
      </c>
      <c r="CT60" s="148">
        <f>IF(AND(CT55&gt;GRACE_M,CT55&lt;=GRACE_M+N_PAY*FREQ_M,MOD(CT55-GRACE_M,FREQ_M)=0),1,0)</f>
        <v>0</v>
      </c>
      <c r="CU60" s="148">
        <f>IF(AND(CU55&gt;GRACE_M,CU55&lt;=GRACE_M+N_PAY*FREQ_M,MOD(CU55-GRACE_M,FREQ_M)=0),1,0)</f>
        <v>0</v>
      </c>
      <c r="CV60" s="148">
        <f>IF(AND(CV55&gt;GRACE_M,CV55&lt;=GRACE_M+N_PAY*FREQ_M,MOD(CV55-GRACE_M,FREQ_M)=0),1,0)</f>
        <v>1</v>
      </c>
      <c r="CW60" s="148">
        <f>IF(AND(CW55&gt;GRACE_M,CW55&lt;=GRACE_M+N_PAY*FREQ_M,MOD(CW55-GRACE_M,FREQ_M)=0),1,0)</f>
        <v>0</v>
      </c>
      <c r="CX60" s="148">
        <f>IF(AND(CX55&gt;GRACE_M,CX55&lt;=GRACE_M+N_PAY*FREQ_M,MOD(CX55-GRACE_M,FREQ_M)=0),1,0)</f>
        <v>0</v>
      </c>
      <c r="CY60" s="148">
        <f>IF(AND(CY55&gt;GRACE_M,CY55&lt;=GRACE_M+N_PAY*FREQ_M,MOD(CY55-GRACE_M,FREQ_M)=0),1,0)</f>
        <v>1</v>
      </c>
      <c r="CZ60" s="148">
        <f>IF(AND(CZ55&gt;GRACE_M,CZ55&lt;=GRACE_M+N_PAY*FREQ_M,MOD(CZ55-GRACE_M,FREQ_M)=0),1,0)</f>
        <v>0</v>
      </c>
      <c r="DA60" s="148">
        <f>IF(AND(DA55&gt;GRACE_M,DA55&lt;=GRACE_M+N_PAY*FREQ_M,MOD(DA55-GRACE_M,FREQ_M)=0),1,0)</f>
        <v>0</v>
      </c>
      <c r="DB60" s="148">
        <f>IF(AND(DB55&gt;GRACE_M,DB55&lt;=GRACE_M+N_PAY*FREQ_M,MOD(DB55-GRACE_M,FREQ_M)=0),1,0)</f>
        <v>1</v>
      </c>
      <c r="DC60" s="148">
        <f>IF(AND(DC55&gt;GRACE_M,DC55&lt;=GRACE_M+N_PAY*FREQ_M,MOD(DC55-GRACE_M,FREQ_M)=0),1,0)</f>
        <v>0</v>
      </c>
      <c r="DD60" s="148">
        <f>IF(AND(DD55&gt;GRACE_M,DD55&lt;=GRACE_M+N_PAY*FREQ_M,MOD(DD55-GRACE_M,FREQ_M)=0),1,0)</f>
        <v>0</v>
      </c>
      <c r="DE60" s="148">
        <f>IF(AND(DE55&gt;GRACE_M,DE55&lt;=GRACE_M+N_PAY*FREQ_M,MOD(DE55-GRACE_M,FREQ_M)=0),1,0)</f>
        <v>1</v>
      </c>
      <c r="DF60" s="148">
        <f>IF(AND(DF55&gt;GRACE_M,DF55&lt;=GRACE_M+N_PAY*FREQ_M,MOD(DF55-GRACE_M,FREQ_M)=0),1,0)</f>
        <v>0</v>
      </c>
      <c r="DG60" s="148">
        <f>IF(AND(DG55&gt;GRACE_M,DG55&lt;=GRACE_M+N_PAY*FREQ_M,MOD(DG55-GRACE_M,FREQ_M)=0),1,0)</f>
        <v>0</v>
      </c>
      <c r="DH60" s="148">
        <f>IF(AND(DH55&gt;GRACE_M,DH55&lt;=GRACE_M+N_PAY*FREQ_M,MOD(DH55-GRACE_M,FREQ_M)=0),1,0)</f>
        <v>1</v>
      </c>
      <c r="DI60" s="148">
        <f>IF(AND(DI55&gt;GRACE_M,DI55&lt;=GRACE_M+N_PAY*FREQ_M,MOD(DI55-GRACE_M,FREQ_M)=0),1,0)</f>
        <v>0</v>
      </c>
      <c r="DJ60" s="148">
        <f>IF(AND(DJ55&gt;GRACE_M,DJ55&lt;=GRACE_M+N_PAY*FREQ_M,MOD(DJ55-GRACE_M,FREQ_M)=0),1,0)</f>
        <v>0</v>
      </c>
      <c r="DK60" s="148">
        <f>IF(AND(DK55&gt;GRACE_M,DK55&lt;=GRACE_M+N_PAY*FREQ_M,MOD(DK55-GRACE_M,FREQ_M)=0),1,0)</f>
        <v>1</v>
      </c>
      <c r="DL60" s="148">
        <f>IF(AND(DL55&gt;GRACE_M,DL55&lt;=GRACE_M+N_PAY*FREQ_M,MOD(DL55-GRACE_M,FREQ_M)=0),1,0)</f>
        <v>0</v>
      </c>
      <c r="DM60" s="148">
        <f>IF(AND(DM55&gt;GRACE_M,DM55&lt;=GRACE_M+N_PAY*FREQ_M,MOD(DM55-GRACE_M,FREQ_M)=0),1,0)</f>
        <v>0</v>
      </c>
      <c r="DN60" s="148">
        <f>IF(AND(DN55&gt;GRACE_M,DN55&lt;=GRACE_M+N_PAY*FREQ_M,MOD(DN55-GRACE_M,FREQ_M)=0),1,0)</f>
        <v>1</v>
      </c>
      <c r="DO60" s="148">
        <f>IF(AND(DO55&gt;GRACE_M,DO55&lt;=GRACE_M+N_PAY*FREQ_M,MOD(DO55-GRACE_M,FREQ_M)=0),1,0)</f>
        <v>0</v>
      </c>
      <c r="DP60" s="148">
        <f>IF(AND(DP55&gt;GRACE_M,DP55&lt;=GRACE_M+N_PAY*FREQ_M,MOD(DP55-GRACE_M,FREQ_M)=0),1,0)</f>
        <v>0</v>
      </c>
      <c r="DQ60" s="148">
        <f>IF(AND(DQ55&gt;GRACE_M,DQ55&lt;=GRACE_M+N_PAY*FREQ_M,MOD(DQ55-GRACE_M,FREQ_M)=0),1,0)</f>
        <v>1</v>
      </c>
      <c r="DR60" s="148">
        <f>IF(AND(DR55&gt;GRACE_M,DR55&lt;=GRACE_M+N_PAY*FREQ_M,MOD(DR55-GRACE_M,FREQ_M)=0),1,0)</f>
        <v>0</v>
      </c>
      <c r="DS60" s="148">
        <f>IF(AND(DS55&gt;GRACE_M,DS55&lt;=GRACE_M+N_PAY*FREQ_M,MOD(DS55-GRACE_M,FREQ_M)=0),1,0)</f>
        <v>0</v>
      </c>
      <c r="DT60" s="148">
        <f>IF(AND(DT55&gt;GRACE_M,DT55&lt;=GRACE_M+N_PAY*FREQ_M,MOD(DT55-GRACE_M,FREQ_M)=0),1,0)</f>
        <v>1</v>
      </c>
      <c r="DU60" s="148">
        <f>IF(AND(DU55&gt;GRACE_M,DU55&lt;=GRACE_M+N_PAY*FREQ_M,MOD(DU55-GRACE_M,FREQ_M)=0),1,0)</f>
        <v>0</v>
      </c>
      <c r="DV60" s="148">
        <f>IF(AND(DV55&gt;GRACE_M,DV55&lt;=GRACE_M+N_PAY*FREQ_M,MOD(DV55-GRACE_M,FREQ_M)=0),1,0)</f>
        <v>0</v>
      </c>
      <c r="DW60" s="148">
        <f>IF(AND(DW55&gt;GRACE_M,DW55&lt;=GRACE_M+N_PAY*FREQ_M,MOD(DW55-GRACE_M,FREQ_M)=0),1,0)</f>
        <v>1</v>
      </c>
      <c r="DX60" s="148">
        <f>IF(AND(DX55&gt;GRACE_M,DX55&lt;=GRACE_M+N_PAY*FREQ_M,MOD(DX55-GRACE_M,FREQ_M)=0),1,0)</f>
        <v>0</v>
      </c>
      <c r="DY60" s="148">
        <f>IF(AND(DY55&gt;GRACE_M,DY55&lt;=GRACE_M+N_PAY*FREQ_M,MOD(DY55-GRACE_M,FREQ_M)=0),1,0)</f>
        <v>0</v>
      </c>
      <c r="DZ60" s="148">
        <f>IF(AND(DZ55&gt;GRACE_M,DZ55&lt;=GRACE_M+N_PAY*FREQ_M,MOD(DZ55-GRACE_M,FREQ_M)=0),1,0)</f>
        <v>1</v>
      </c>
      <c r="EA60" s="148">
        <f>IF(AND(EA55&gt;GRACE_M,EA55&lt;=GRACE_M+N_PAY*FREQ_M,MOD(EA55-GRACE_M,FREQ_M)=0),1,0)</f>
        <v>0</v>
      </c>
      <c r="EB60" s="148">
        <f>IF(AND(EB55&gt;GRACE_M,EB55&lt;=GRACE_M+N_PAY*FREQ_M,MOD(EB55-GRACE_M,FREQ_M)=0),1,0)</f>
        <v>0</v>
      </c>
      <c r="EC60" s="148">
        <f>IF(AND(EC55&gt;GRACE_M,EC55&lt;=GRACE_M+N_PAY*FREQ_M,MOD(EC55-GRACE_M,FREQ_M)=0),1,0)</f>
        <v>1</v>
      </c>
      <c r="ED60" s="148">
        <f>IF(AND(ED55&gt;GRACE_M,ED55&lt;=GRACE_M+N_PAY*FREQ_M,MOD(ED55-GRACE_M,FREQ_M)=0),1,0)</f>
        <v>0</v>
      </c>
      <c r="EE60" s="148">
        <f>IF(AND(EE55&gt;GRACE_M,EE55&lt;=GRACE_M+N_PAY*FREQ_M,MOD(EE55-GRACE_M,FREQ_M)=0),1,0)</f>
        <v>0</v>
      </c>
      <c r="EF60" s="148">
        <f>IF(AND(EF55&gt;GRACE_M,EF55&lt;=GRACE_M+N_PAY*FREQ_M,MOD(EF55-GRACE_M,FREQ_M)=0),1,0)</f>
        <v>1</v>
      </c>
      <c r="EG60" s="148">
        <f>IF(AND(EG55&gt;GRACE_M,EG55&lt;=GRACE_M+N_PAY*FREQ_M,MOD(EG55-GRACE_M,FREQ_M)=0),1,0)</f>
        <v>0</v>
      </c>
      <c r="EH60" s="148">
        <f>IF(AND(EH55&gt;GRACE_M,EH55&lt;=GRACE_M+N_PAY*FREQ_M,MOD(EH55-GRACE_M,FREQ_M)=0),1,0)</f>
        <v>0</v>
      </c>
      <c r="EI60" s="148">
        <f>IF(AND(EI55&gt;GRACE_M,EI55&lt;=GRACE_M+N_PAY*FREQ_M,MOD(EI55-GRACE_M,FREQ_M)=0),1,0)</f>
        <v>1</v>
      </c>
      <c r="EJ60" s="148">
        <f>IF(AND(EJ55&gt;GRACE_M,EJ55&lt;=GRACE_M+N_PAY*FREQ_M,MOD(EJ55-GRACE_M,FREQ_M)=0),1,0)</f>
        <v>0</v>
      </c>
      <c r="EK60" s="148">
        <f>IF(AND(EK55&gt;GRACE_M,EK55&lt;=GRACE_M+N_PAY*FREQ_M,MOD(EK55-GRACE_M,FREQ_M)=0),1,0)</f>
        <v>0</v>
      </c>
      <c r="EL60" s="148">
        <f>IF(AND(EL55&gt;GRACE_M,EL55&lt;=GRACE_M+N_PAY*FREQ_M,MOD(EL55-GRACE_M,FREQ_M)=0),1,0)</f>
        <v>1</v>
      </c>
      <c r="EM60" s="148">
        <f>IF(AND(EM55&gt;GRACE_M,EM55&lt;=GRACE_M+N_PAY*FREQ_M,MOD(EM55-GRACE_M,FREQ_M)=0),1,0)</f>
        <v>0</v>
      </c>
      <c r="EN60" s="148">
        <f>IF(AND(EN55&gt;GRACE_M,EN55&lt;=GRACE_M+N_PAY*FREQ_M,MOD(EN55-GRACE_M,FREQ_M)=0),1,0)</f>
        <v>0</v>
      </c>
      <c r="EO60" s="148">
        <f>IF(AND(EO55&gt;GRACE_M,EO55&lt;=GRACE_M+N_PAY*FREQ_M,MOD(EO55-GRACE_M,FREQ_M)=0),1,0)</f>
        <v>1</v>
      </c>
      <c r="EP60" s="148">
        <f>IF(AND(EP55&gt;GRACE_M,EP55&lt;=GRACE_M+N_PAY*FREQ_M,MOD(EP55-GRACE_M,FREQ_M)=0),1,0)</f>
        <v>0</v>
      </c>
      <c r="EQ60" s="148">
        <f>IF(AND(EQ55&gt;GRACE_M,EQ55&lt;=GRACE_M+N_PAY*FREQ_M,MOD(EQ55-GRACE_M,FREQ_M)=0),1,0)</f>
        <v>0</v>
      </c>
      <c r="ER60" s="148">
        <f>IF(AND(ER55&gt;GRACE_M,ER55&lt;=GRACE_M+N_PAY*FREQ_M,MOD(ER55-GRACE_M,FREQ_M)=0),1,0)</f>
        <v>1</v>
      </c>
      <c r="ES60" s="148">
        <f>IF(AND(ES55&gt;GRACE_M,ES55&lt;=GRACE_M+N_PAY*FREQ_M,MOD(ES55-GRACE_M,FREQ_M)=0),1,0)</f>
        <v>0</v>
      </c>
      <c r="ET60" s="148">
        <f>IF(AND(ET55&gt;GRACE_M,ET55&lt;=GRACE_M+N_PAY*FREQ_M,MOD(ET55-GRACE_M,FREQ_M)=0),1,0)</f>
        <v>0</v>
      </c>
      <c r="EU60" s="148">
        <f>IF(AND(EU55&gt;GRACE_M,EU55&lt;=GRACE_M+N_PAY*FREQ_M,MOD(EU55-GRACE_M,FREQ_M)=0),1,0)</f>
        <v>1</v>
      </c>
      <c r="EV60" s="148">
        <f>IF(AND(EV55&gt;GRACE_M,EV55&lt;=GRACE_M+N_PAY*FREQ_M,MOD(EV55-GRACE_M,FREQ_M)=0),1,0)</f>
        <v>0</v>
      </c>
      <c r="EW60" s="148">
        <f>IF(AND(EW55&gt;GRACE_M,EW55&lt;=GRACE_M+N_PAY*FREQ_M,MOD(EW55-GRACE_M,FREQ_M)=0),1,0)</f>
        <v>0</v>
      </c>
      <c r="EX60" s="148">
        <f>IF(AND(EX55&gt;GRACE_M,EX55&lt;=GRACE_M+N_PAY*FREQ_M,MOD(EX55-GRACE_M,FREQ_M)=0),1,0)</f>
        <v>1</v>
      </c>
      <c r="EY60" s="148">
        <f>IF(AND(EY55&gt;GRACE_M,EY55&lt;=GRACE_M+N_PAY*FREQ_M,MOD(EY55-GRACE_M,FREQ_M)=0),1,0)</f>
        <v>0</v>
      </c>
      <c r="EZ60" s="148">
        <f>IF(AND(EZ55&gt;GRACE_M,EZ55&lt;=GRACE_M+N_PAY*FREQ_M,MOD(EZ55-GRACE_M,FREQ_M)=0),1,0)</f>
        <v>0</v>
      </c>
      <c r="FA60" s="148">
        <f>IF(AND(FA55&gt;GRACE_M,FA55&lt;=GRACE_M+N_PAY*FREQ_M,MOD(FA55-GRACE_M,FREQ_M)=0),1,0)</f>
        <v>0</v>
      </c>
      <c r="FB60" s="148">
        <f>IF(AND(FB55&gt;GRACE_M,FB55&lt;=GRACE_M+N_PAY*FREQ_M,MOD(FB55-GRACE_M,FREQ_M)=0),1,0)</f>
        <v>0</v>
      </c>
      <c r="FC60" s="148">
        <f>IF(AND(FC55&gt;GRACE_M,FC55&lt;=GRACE_M+N_PAY*FREQ_M,MOD(FC55-GRACE_M,FREQ_M)=0),1,0)</f>
        <v>0</v>
      </c>
      <c r="FD60" s="148">
        <f>IF(AND(FD55&gt;GRACE_M,FD55&lt;=GRACE_M+N_PAY*FREQ_M,MOD(FD55-GRACE_M,FREQ_M)=0),1,0)</f>
        <v>0</v>
      </c>
      <c r="FE60" s="148">
        <f>IF(AND(FE55&gt;GRACE_M,FE55&lt;=GRACE_M+N_PAY*FREQ_M,MOD(FE55-GRACE_M,FREQ_M)=0),1,0)</f>
        <v>0</v>
      </c>
      <c r="FF60" s="148">
        <f>IF(AND(FF55&gt;GRACE_M,FF55&lt;=GRACE_M+N_PAY*FREQ_M,MOD(FF55-GRACE_M,FREQ_M)=0),1,0)</f>
        <v>0</v>
      </c>
      <c r="FG60" s="148">
        <f>IF(AND(FG55&gt;GRACE_M,FG55&lt;=GRACE_M+N_PAY*FREQ_M,MOD(FG55-GRACE_M,FREQ_M)=0),1,0)</f>
        <v>0</v>
      </c>
      <c r="FH60" s="148">
        <f>IF(AND(FH55&gt;GRACE_M,FH55&lt;=GRACE_M+N_PAY*FREQ_M,MOD(FH55-GRACE_M,FREQ_M)=0),1,0)</f>
        <v>0</v>
      </c>
      <c r="FI60" s="148">
        <f>IF(AND(FI55&gt;GRACE_M,FI55&lt;=GRACE_M+N_PAY*FREQ_M,MOD(FI55-GRACE_M,FREQ_M)=0),1,0)</f>
        <v>0</v>
      </c>
      <c r="FJ60" s="148">
        <f>IF(AND(FJ55&gt;GRACE_M,FJ55&lt;=GRACE_M+N_PAY*FREQ_M,MOD(FJ55-GRACE_M,FREQ_M)=0),1,0)</f>
        <v>0</v>
      </c>
      <c r="FK60" s="148">
        <f>IF(AND(FK55&gt;GRACE_M,FK55&lt;=GRACE_M+N_PAY*FREQ_M,MOD(FK55-GRACE_M,FREQ_M)=0),1,0)</f>
        <v>0</v>
      </c>
      <c r="FL60" s="148">
        <f>IF(AND(FL55&gt;GRACE_M,FL55&lt;=GRACE_M+N_PAY*FREQ_M,MOD(FL55-GRACE_M,FREQ_M)=0),1,0)</f>
        <v>0</v>
      </c>
      <c r="FM60" s="148">
        <f>IF(AND(FM55&gt;GRACE_M,FM55&lt;=GRACE_M+N_PAY*FREQ_M,MOD(FM55-GRACE_M,FREQ_M)=0),1,0)</f>
        <v>0</v>
      </c>
      <c r="FN60" s="148">
        <f>IF(AND(FN55&gt;GRACE_M,FN55&lt;=GRACE_M+N_PAY*FREQ_M,MOD(FN55-GRACE_M,FREQ_M)=0),1,0)</f>
        <v>0</v>
      </c>
      <c r="FO60" s="148">
        <f>IF(AND(FO55&gt;GRACE_M,FO55&lt;=GRACE_M+N_PAY*FREQ_M,MOD(FO55-GRACE_M,FREQ_M)=0),1,0)</f>
        <v>0</v>
      </c>
      <c r="FP60" s="148">
        <f>IF(AND(FP55&gt;GRACE_M,FP55&lt;=GRACE_M+N_PAY*FREQ_M,MOD(FP55-GRACE_M,FREQ_M)=0),1,0)</f>
        <v>0</v>
      </c>
      <c r="FQ60" s="148">
        <f>IF(AND(FQ55&gt;GRACE_M,FQ55&lt;=GRACE_M+N_PAY*FREQ_M,MOD(FQ55-GRACE_M,FREQ_M)=0),1,0)</f>
        <v>0</v>
      </c>
      <c r="FR60" s="148">
        <f>IF(AND(FR55&gt;GRACE_M,FR55&lt;=GRACE_M+N_PAY*FREQ_M,MOD(FR55-GRACE_M,FREQ_M)=0),1,0)</f>
        <v>0</v>
      </c>
      <c r="FS60" s="148">
        <f>IF(AND(FS55&gt;GRACE_M,FS55&lt;=GRACE_M+N_PAY*FREQ_M,MOD(FS55-GRACE_M,FREQ_M)=0),1,0)</f>
        <v>0</v>
      </c>
      <c r="FT60" s="148">
        <f>IF(AND(FT55&gt;GRACE_M,FT55&lt;=GRACE_M+N_PAY*FREQ_M,MOD(FT55-GRACE_M,FREQ_M)=0),1,0)</f>
        <v>0</v>
      </c>
      <c r="FU60" s="148">
        <f>IF(AND(FU55&gt;GRACE_M,FU55&lt;=GRACE_M+N_PAY*FREQ_M,MOD(FU55-GRACE_M,FREQ_M)=0),1,0)</f>
        <v>0</v>
      </c>
      <c r="FV60" s="148">
        <f>IF(AND(FV55&gt;GRACE_M,FV55&lt;=GRACE_M+N_PAY*FREQ_M,MOD(FV55-GRACE_M,FREQ_M)=0),1,0)</f>
        <v>0</v>
      </c>
      <c r="FW60" s="148">
        <f>IF(AND(FW55&gt;GRACE_M,FW55&lt;=GRACE_M+N_PAY*FREQ_M,MOD(FW55-GRACE_M,FREQ_M)=0),1,0)</f>
        <v>0</v>
      </c>
      <c r="FX60" s="148">
        <f>IF(AND(FX55&gt;GRACE_M,FX55&lt;=GRACE_M+N_PAY*FREQ_M,MOD(FX55-GRACE_M,FREQ_M)=0),1,0)</f>
        <v>0</v>
      </c>
      <c r="FY60" s="148">
        <f>IF(AND(FY55&gt;GRACE_M,FY55&lt;=GRACE_M+N_PAY*FREQ_M,MOD(FY55-GRACE_M,FREQ_M)=0),1,0)</f>
        <v>0</v>
      </c>
      <c r="FZ60" s="148">
        <f>IF(AND(FZ55&gt;GRACE_M,FZ55&lt;=GRACE_M+N_PAY*FREQ_M,MOD(FZ55-GRACE_M,FREQ_M)=0),1,0)</f>
        <v>0</v>
      </c>
      <c r="GA60" s="148">
        <f>IF(AND(GA55&gt;GRACE_M,GA55&lt;=GRACE_M+N_PAY*FREQ_M,MOD(GA55-GRACE_M,FREQ_M)=0),1,0)</f>
        <v>0</v>
      </c>
      <c r="GB60" s="148">
        <f>IF(AND(GB55&gt;GRACE_M,GB55&lt;=GRACE_M+N_PAY*FREQ_M,MOD(GB55-GRACE_M,FREQ_M)=0),1,0)</f>
        <v>0</v>
      </c>
      <c r="GC60" s="148">
        <f>IF(AND(GC55&gt;GRACE_M,GC55&lt;=GRACE_M+N_PAY*FREQ_M,MOD(GC55-GRACE_M,FREQ_M)=0),1,0)</f>
        <v>0</v>
      </c>
      <c r="GD60" s="148">
        <f>IF(AND(GD55&gt;GRACE_M,GD55&lt;=GRACE_M+N_PAY*FREQ_M,MOD(GD55-GRACE_M,FREQ_M)=0),1,0)</f>
        <v>0</v>
      </c>
      <c r="GE60" s="148">
        <f>IF(AND(GE55&gt;GRACE_M,GE55&lt;=GRACE_M+N_PAY*FREQ_M,MOD(GE55-GRACE_M,FREQ_M)=0),1,0)</f>
        <v>0</v>
      </c>
      <c r="GF60" s="148">
        <f>IF(AND(GF55&gt;GRACE_M,GF55&lt;=GRACE_M+N_PAY*FREQ_M,MOD(GF55-GRACE_M,FREQ_M)=0),1,0)</f>
        <v>0</v>
      </c>
      <c r="GG60" s="148">
        <f>IF(AND(GG55&gt;GRACE_M,GG55&lt;=GRACE_M+N_PAY*FREQ_M,MOD(GG55-GRACE_M,FREQ_M)=0),1,0)</f>
        <v>0</v>
      </c>
      <c r="GH60" s="148">
        <f>IF(AND(GH55&gt;GRACE_M,GH55&lt;=GRACE_M+N_PAY*FREQ_M,MOD(GH55-GRACE_M,FREQ_M)=0),1,0)</f>
        <v>0</v>
      </c>
      <c r="GI60" s="148">
        <f>IF(AND(GI55&gt;GRACE_M,GI55&lt;=GRACE_M+N_PAY*FREQ_M,MOD(GI55-GRACE_M,FREQ_M)=0),1,0)</f>
        <v>0</v>
      </c>
      <c r="GJ60" s="148">
        <f>IF(AND(GJ55&gt;GRACE_M,GJ55&lt;=GRACE_M+N_PAY*FREQ_M,MOD(GJ55-GRACE_M,FREQ_M)=0),1,0)</f>
        <v>0</v>
      </c>
      <c r="GK60" s="148">
        <f>IF(AND(GK55&gt;GRACE_M,GK55&lt;=GRACE_M+N_PAY*FREQ_M,MOD(GK55-GRACE_M,FREQ_M)=0),1,0)</f>
        <v>0</v>
      </c>
      <c r="GL60" s="148">
        <f>IF(AND(GL55&gt;GRACE_M,GL55&lt;=GRACE_M+N_PAY*FREQ_M,MOD(GL55-GRACE_M,FREQ_M)=0),1,0)</f>
        <v>0</v>
      </c>
      <c r="GM60" s="148">
        <f>IF(AND(GM55&gt;GRACE_M,GM55&lt;=GRACE_M+N_PAY*FREQ_M,MOD(GM55-GRACE_M,FREQ_M)=0),1,0)</f>
        <v>0</v>
      </c>
      <c r="GN60" s="148">
        <f>IF(AND(GN55&gt;GRACE_M,GN55&lt;=GRACE_M+N_PAY*FREQ_M,MOD(GN55-GRACE_M,FREQ_M)=0),1,0)</f>
        <v>0</v>
      </c>
      <c r="GO60" s="148">
        <f>IF(AND(GO55&gt;GRACE_M,GO55&lt;=GRACE_M+N_PAY*FREQ_M,MOD(GO55-GRACE_M,FREQ_M)=0),1,0)</f>
        <v>0</v>
      </c>
      <c r="GP60" s="148">
        <f>IF(AND(GP55&gt;GRACE_M,GP55&lt;=GRACE_M+N_PAY*FREQ_M,MOD(GP55-GRACE_M,FREQ_M)=0),1,0)</f>
        <v>0</v>
      </c>
      <c r="GQ60" s="148">
        <f>IF(AND(GQ55&gt;GRACE_M,GQ55&lt;=GRACE_M+N_PAY*FREQ_M,MOD(GQ55-GRACE_M,FREQ_M)=0),1,0)</f>
        <v>0</v>
      </c>
      <c r="GR60" s="148">
        <f>IF(AND(GR55&gt;GRACE_M,GR55&lt;=GRACE_M+N_PAY*FREQ_M,MOD(GR55-GRACE_M,FREQ_M)=0),1,0)</f>
        <v>0</v>
      </c>
      <c r="GS60" s="148">
        <f>IF(AND(GS55&gt;GRACE_M,GS55&lt;=GRACE_M+N_PAY*FREQ_M,MOD(GS55-GRACE_M,FREQ_M)=0),1,0)</f>
        <v>0</v>
      </c>
      <c r="GT60" s="148">
        <f>IF(AND(GT55&gt;GRACE_M,GT55&lt;=GRACE_M+N_PAY*FREQ_M,MOD(GT55-GRACE_M,FREQ_M)=0),1,0)</f>
        <v>0</v>
      </c>
      <c r="GU60" s="148">
        <f>IF(AND(GU55&gt;GRACE_M,GU55&lt;=GRACE_M+N_PAY*FREQ_M,MOD(GU55-GRACE_M,FREQ_M)=0),1,0)</f>
        <v>0</v>
      </c>
      <c r="GV60" s="148">
        <f>IF(AND(GV55&gt;GRACE_M,GV55&lt;=GRACE_M+N_PAY*FREQ_M,MOD(GV55-GRACE_M,FREQ_M)=0),1,0)</f>
        <v>0</v>
      </c>
      <c r="GW60" s="148">
        <f>IF(AND(GW55&gt;GRACE_M,GW55&lt;=GRACE_M+N_PAY*FREQ_M,MOD(GW55-GRACE_M,FREQ_M)=0),1,0)</f>
        <v>0</v>
      </c>
      <c r="GX60" s="148">
        <f>IF(AND(GX55&gt;GRACE_M,GX55&lt;=GRACE_M+N_PAY*FREQ_M,MOD(GX55-GRACE_M,FREQ_M)=0),1,0)</f>
        <v>0</v>
      </c>
      <c r="GY60" s="148">
        <f>IF(AND(GY55&gt;GRACE_M,GY55&lt;=GRACE_M+N_PAY*FREQ_M,MOD(GY55-GRACE_M,FREQ_M)=0),1,0)</f>
        <v>0</v>
      </c>
      <c r="GZ60" s="148">
        <f>IF(AND(GZ55&gt;GRACE_M,GZ55&lt;=GRACE_M+N_PAY*FREQ_M,MOD(GZ55-GRACE_M,FREQ_M)=0),1,0)</f>
        <v>0</v>
      </c>
      <c r="HA60" s="148">
        <f>IF(AND(HA55&gt;GRACE_M,HA55&lt;=GRACE_M+N_PAY*FREQ_M,MOD(HA55-GRACE_M,FREQ_M)=0),1,0)</f>
        <v>0</v>
      </c>
      <c r="HB60" s="148">
        <f>IF(AND(HB55&gt;GRACE_M,HB55&lt;=GRACE_M+N_PAY*FREQ_M,MOD(HB55-GRACE_M,FREQ_M)=0),1,0)</f>
        <v>0</v>
      </c>
      <c r="HC60" s="148">
        <f>IF(AND(HC55&gt;GRACE_M,HC55&lt;=GRACE_M+N_PAY*FREQ_M,MOD(HC55-GRACE_M,FREQ_M)=0),1,0)</f>
        <v>0</v>
      </c>
      <c r="HD60" s="148">
        <f>IF(AND(HD55&gt;GRACE_M,HD55&lt;=GRACE_M+N_PAY*FREQ_M,MOD(HD55-GRACE_M,FREQ_M)=0),1,0)</f>
        <v>0</v>
      </c>
      <c r="HE60" s="148">
        <f>IF(AND(HE55&gt;GRACE_M,HE55&lt;=GRACE_M+N_PAY*FREQ_M,MOD(HE55-GRACE_M,FREQ_M)=0),1,0)</f>
        <v>0</v>
      </c>
      <c r="HF60" s="148">
        <f>IF(AND(HF55&gt;GRACE_M,HF55&lt;=GRACE_M+N_PAY*FREQ_M,MOD(HF55-GRACE_M,FREQ_M)=0),1,0)</f>
        <v>0</v>
      </c>
      <c r="HG60" s="148">
        <f>IF(AND(HG55&gt;GRACE_M,HG55&lt;=GRACE_M+N_PAY*FREQ_M,MOD(HG55-GRACE_M,FREQ_M)=0),1,0)</f>
        <v>0</v>
      </c>
      <c r="HH60" s="148">
        <f>IF(AND(HH55&gt;GRACE_M,HH55&lt;=GRACE_M+N_PAY*FREQ_M,MOD(HH55-GRACE_M,FREQ_M)=0),1,0)</f>
        <v>0</v>
      </c>
      <c r="HI60" s="148">
        <f>IF(AND(HI55&gt;GRACE_M,HI55&lt;=GRACE_M+N_PAY*FREQ_M,MOD(HI55-GRACE_M,FREQ_M)=0),1,0)</f>
        <v>0</v>
      </c>
      <c r="HJ60" s="148">
        <f>IF(AND(HJ55&gt;GRACE_M,HJ55&lt;=GRACE_M+N_PAY*FREQ_M,MOD(HJ55-GRACE_M,FREQ_M)=0),1,0)</f>
        <v>0</v>
      </c>
      <c r="HK60" s="148">
        <f>IF(AND(HK55&gt;GRACE_M,HK55&lt;=GRACE_M+N_PAY*FREQ_M,MOD(HK55-GRACE_M,FREQ_M)=0),1,0)</f>
        <v>0</v>
      </c>
      <c r="HL60" s="148">
        <f>IF(AND(HL55&gt;GRACE_M,HL55&lt;=GRACE_M+N_PAY*FREQ_M,MOD(HL55-GRACE_M,FREQ_M)=0),1,0)</f>
        <v>0</v>
      </c>
      <c r="HM60" s="148">
        <f>IF(AND(HM55&gt;GRACE_M,HM55&lt;=GRACE_M+N_PAY*FREQ_M,MOD(HM55-GRACE_M,FREQ_M)=0),1,0)</f>
        <v>0</v>
      </c>
      <c r="HN60" s="148">
        <f>IF(AND(HN55&gt;GRACE_M,HN55&lt;=GRACE_M+N_PAY*FREQ_M,MOD(HN55-GRACE_M,FREQ_M)=0),1,0)</f>
        <v>0</v>
      </c>
      <c r="HO60" s="148">
        <f>IF(AND(HO55&gt;GRACE_M,HO55&lt;=GRACE_M+N_PAY*FREQ_M,MOD(HO55-GRACE_M,FREQ_M)=0),1,0)</f>
        <v>0</v>
      </c>
      <c r="HP60" s="148">
        <f>IF(AND(HP55&gt;GRACE_M,HP55&lt;=GRACE_M+N_PAY*FREQ_M,MOD(HP55-GRACE_M,FREQ_M)=0),1,0)</f>
        <v>0</v>
      </c>
      <c r="HQ60" s="148">
        <f>IF(AND(HQ55&gt;GRACE_M,HQ55&lt;=GRACE_M+N_PAY*FREQ_M,MOD(HQ55-GRACE_M,FREQ_M)=0),1,0)</f>
        <v>0</v>
      </c>
      <c r="HR60" s="148">
        <f>IF(AND(HR55&gt;GRACE_M,HR55&lt;=GRACE_M+N_PAY*FREQ_M,MOD(HR55-GRACE_M,FREQ_M)=0),1,0)</f>
        <v>0</v>
      </c>
      <c r="HS60" s="148">
        <f>IF(AND(HS55&gt;GRACE_M,HS55&lt;=GRACE_M+N_PAY*FREQ_M,MOD(HS55-GRACE_M,FREQ_M)=0),1,0)</f>
        <v>0</v>
      </c>
      <c r="HT60" s="148">
        <f>IF(AND(HT55&gt;GRACE_M,HT55&lt;=GRACE_M+N_PAY*FREQ_M,MOD(HT55-GRACE_M,FREQ_M)=0),1,0)</f>
        <v>0</v>
      </c>
      <c r="HU60" s="148">
        <f>IF(AND(HU55&gt;GRACE_M,HU55&lt;=GRACE_M+N_PAY*FREQ_M,MOD(HU55-GRACE_M,FREQ_M)=0),1,0)</f>
        <v>0</v>
      </c>
      <c r="HV60" s="148">
        <f>IF(AND(HV55&gt;GRACE_M,HV55&lt;=GRACE_M+N_PAY*FREQ_M,MOD(HV55-GRACE_M,FREQ_M)=0),1,0)</f>
        <v>0</v>
      </c>
      <c r="HW60" s="148">
        <f>IF(AND(HW55&gt;GRACE_M,HW55&lt;=GRACE_M+N_PAY*FREQ_M,MOD(HW55-GRACE_M,FREQ_M)=0),1,0)</f>
        <v>0</v>
      </c>
      <c r="HX60" s="148">
        <f>IF(AND(HX55&gt;GRACE_M,HX55&lt;=GRACE_M+N_PAY*FREQ_M,MOD(HX55-GRACE_M,FREQ_M)=0),1,0)</f>
        <v>0</v>
      </c>
      <c r="HY60" s="148">
        <f>IF(AND(HY55&gt;GRACE_M,HY55&lt;=GRACE_M+N_PAY*FREQ_M,MOD(HY55-GRACE_M,FREQ_M)=0),1,0)</f>
        <v>0</v>
      </c>
      <c r="HZ60" s="148">
        <f>IF(AND(HZ55&gt;GRACE_M,HZ55&lt;=GRACE_M+N_PAY*FREQ_M,MOD(HZ55-GRACE_M,FREQ_M)=0),1,0)</f>
        <v>0</v>
      </c>
      <c r="IA60" s="148">
        <f>IF(AND(IA55&gt;GRACE_M,IA55&lt;=GRACE_M+N_PAY*FREQ_M,MOD(IA55-GRACE_M,FREQ_M)=0),1,0)</f>
        <v>0</v>
      </c>
      <c r="IB60" s="148">
        <f>IF(AND(IB55&gt;GRACE_M,IB55&lt;=GRACE_M+N_PAY*FREQ_M,MOD(IB55-GRACE_M,FREQ_M)=0),1,0)</f>
        <v>0</v>
      </c>
      <c r="IC60" s="148">
        <f>IF(AND(IC55&gt;GRACE_M,IC55&lt;=GRACE_M+N_PAY*FREQ_M,MOD(IC55-GRACE_M,FREQ_M)=0),1,0)</f>
        <v>0</v>
      </c>
      <c r="ID60" s="148">
        <f>IF(AND(ID55&gt;GRACE_M,ID55&lt;=GRACE_M+N_PAY*FREQ_M,MOD(ID55-GRACE_M,FREQ_M)=0),1,0)</f>
        <v>0</v>
      </c>
      <c r="IE60" s="148">
        <f>IF(AND(IE55&gt;GRACE_M,IE55&lt;=GRACE_M+N_PAY*FREQ_M,MOD(IE55-GRACE_M,FREQ_M)=0),1,0)</f>
        <v>0</v>
      </c>
      <c r="IF60" s="148">
        <f>IF(AND(IF55&gt;GRACE_M,IF55&lt;=GRACE_M+N_PAY*FREQ_M,MOD(IF55-GRACE_M,FREQ_M)=0),1,0)</f>
        <v>0</v>
      </c>
      <c r="IG60" s="148">
        <f>IF(AND(IG55&gt;GRACE_M,IG55&lt;=GRACE_M+N_PAY*FREQ_M,MOD(IG55-GRACE_M,FREQ_M)=0),1,0)</f>
        <v>0</v>
      </c>
      <c r="IH60" s="148">
        <f>IF(AND(IH55&gt;GRACE_M,IH55&lt;=GRACE_M+N_PAY*FREQ_M,MOD(IH55-GRACE_M,FREQ_M)=0),1,0)</f>
        <v>0</v>
      </c>
      <c r="II60" s="148">
        <f>IF(AND(II55&gt;GRACE_M,II55&lt;=GRACE_M+N_PAY*FREQ_M,MOD(II55-GRACE_M,FREQ_M)=0),1,0)</f>
        <v>0</v>
      </c>
      <c r="IJ60" s="148">
        <f>IF(AND(IJ55&gt;GRACE_M,IJ55&lt;=GRACE_M+N_PAY*FREQ_M,MOD(IJ55-GRACE_M,FREQ_M)=0),1,0)</f>
        <v>0</v>
      </c>
      <c r="IK60" s="148">
        <f>IF(AND(IK55&gt;GRACE_M,IK55&lt;=GRACE_M+N_PAY*FREQ_M,MOD(IK55-GRACE_M,FREQ_M)=0),1,0)</f>
        <v>0</v>
      </c>
      <c r="IL60" s="148">
        <f>IF(AND(IL55&gt;GRACE_M,IL55&lt;=GRACE_M+N_PAY*FREQ_M,MOD(IL55-GRACE_M,FREQ_M)=0),1,0)</f>
        <v>0</v>
      </c>
      <c r="IM60" s="148">
        <f>IF(AND(IM55&gt;GRACE_M,IM55&lt;=GRACE_M+N_PAY*FREQ_M,MOD(IM55-GRACE_M,FREQ_M)=0),1,0)</f>
        <v>0</v>
      </c>
      <c r="IN60" s="148">
        <f>IF(AND(IN55&gt;GRACE_M,IN55&lt;=GRACE_M+N_PAY*FREQ_M,MOD(IN55-GRACE_M,FREQ_M)=0),1,0)</f>
        <v>0</v>
      </c>
      <c r="IO60" s="148">
        <f>IF(AND(IO55&gt;GRACE_M,IO55&lt;=GRACE_M+N_PAY*FREQ_M,MOD(IO55-GRACE_M,FREQ_M)=0),1,0)</f>
        <v>0</v>
      </c>
      <c r="IP60" s="148">
        <f>IF(AND(IP55&gt;GRACE_M,IP55&lt;=GRACE_M+N_PAY*FREQ_M,MOD(IP55-GRACE_M,FREQ_M)=0),1,0)</f>
        <v>0</v>
      </c>
      <c r="IQ60" s="148">
        <f>IF(AND(IQ55&gt;GRACE_M,IQ55&lt;=GRACE_M+N_PAY*FREQ_M,MOD(IQ55-GRACE_M,FREQ_M)=0),1,0)</f>
        <v>0</v>
      </c>
      <c r="IR60" s="148">
        <f>IF(AND(IR55&gt;GRACE_M,IR55&lt;=GRACE_M+N_PAY*FREQ_M,MOD(IR55-GRACE_M,FREQ_M)=0),1,0)</f>
        <v>0</v>
      </c>
      <c r="IS60" s="148">
        <f>IF(AND(IS55&gt;GRACE_M,IS55&lt;=GRACE_M+N_PAY*FREQ_M,MOD(IS55-GRACE_M,FREQ_M)=0),1,0)</f>
        <v>0</v>
      </c>
      <c r="IT60" s="148">
        <f>IF(AND(IT55&gt;GRACE_M,IT55&lt;=GRACE_M+N_PAY*FREQ_M,MOD(IT55-GRACE_M,FREQ_M)=0),1,0)</f>
        <v>0</v>
      </c>
      <c r="IU60" s="148">
        <f>IF(AND(IU55&gt;GRACE_M,IU55&lt;=GRACE_M+N_PAY*FREQ_M,MOD(IU55-GRACE_M,FREQ_M)=0),1,0)</f>
        <v>0</v>
      </c>
      <c r="IV60" s="148">
        <f>IF(AND(IV55&gt;GRACE_M,IV55&lt;=GRACE_M+N_PAY*FREQ_M,MOD(IV55-GRACE_M,FREQ_M)=0),1,0)</f>
        <v>0</v>
      </c>
      <c r="IW60" s="148">
        <f>IF(AND(IW55&gt;GRACE_M,IW55&lt;=GRACE_M+N_PAY*FREQ_M,MOD(IW55-GRACE_M,FREQ_M)=0),1,0)</f>
        <v>0</v>
      </c>
      <c r="IX60" s="148">
        <f>IF(AND(IX55&gt;GRACE_M,IX55&lt;=GRACE_M+N_PAY*FREQ_M,MOD(IX55-GRACE_M,FREQ_M)=0),1,0)</f>
        <v>0</v>
      </c>
      <c r="IY60" s="148">
        <f>IF(AND(IY55&gt;GRACE_M,IY55&lt;=GRACE_M+N_PAY*FREQ_M,MOD(IY55-GRACE_M,FREQ_M)=0),1,0)</f>
        <v>0</v>
      </c>
      <c r="IZ60" s="148">
        <f>IF(AND(IZ55&gt;GRACE_M,IZ55&lt;=GRACE_M+N_PAY*FREQ_M,MOD(IZ55-GRACE_M,FREQ_M)=0),1,0)</f>
        <v>0</v>
      </c>
      <c r="JA60" s="148">
        <f>IF(AND(JA55&gt;GRACE_M,JA55&lt;=GRACE_M+N_PAY*FREQ_M,MOD(JA55-GRACE_M,FREQ_M)=0),1,0)</f>
        <v>0</v>
      </c>
      <c r="JB60" s="148">
        <f>IF(AND(JB55&gt;GRACE_M,JB55&lt;=GRACE_M+N_PAY*FREQ_M,MOD(JB55-GRACE_M,FREQ_M)=0),1,0)</f>
        <v>0</v>
      </c>
      <c r="JC60" s="148">
        <f>IF(AND(JC55&gt;GRACE_M,JC55&lt;=GRACE_M+N_PAY*FREQ_M,MOD(JC55-GRACE_M,FREQ_M)=0),1,0)</f>
        <v>0</v>
      </c>
      <c r="JD60" s="148">
        <f>IF(AND(JD55&gt;GRACE_M,JD55&lt;=GRACE_M+N_PAY*FREQ_M,MOD(JD55-GRACE_M,FREQ_M)=0),1,0)</f>
        <v>0</v>
      </c>
      <c r="JE60" s="148">
        <f>IF(AND(JE55&gt;GRACE_M,JE55&lt;=GRACE_M+N_PAY*FREQ_M,MOD(JE55-GRACE_M,FREQ_M)=0),1,0)</f>
        <v>0</v>
      </c>
      <c r="JF60" s="148">
        <f>IF(AND(JF55&gt;GRACE_M,JF55&lt;=GRACE_M+N_PAY*FREQ_M,MOD(JF55-GRACE_M,FREQ_M)=0),1,0)</f>
        <v>0</v>
      </c>
      <c r="JG60" s="148">
        <f>IF(AND(JG55&gt;GRACE_M,JG55&lt;=GRACE_M+N_PAY*FREQ_M,MOD(JG55-GRACE_M,FREQ_M)=0),1,0)</f>
        <v>0</v>
      </c>
      <c r="JH60" s="148">
        <f>IF(AND(JH55&gt;GRACE_M,JH55&lt;=GRACE_M+N_PAY*FREQ_M,MOD(JH55-GRACE_M,FREQ_M)=0),1,0)</f>
        <v>0</v>
      </c>
      <c r="JI60" s="148">
        <f>IF(AND(JI55&gt;GRACE_M,JI55&lt;=GRACE_M+N_PAY*FREQ_M,MOD(JI55-GRACE_M,FREQ_M)=0),1,0)</f>
        <v>0</v>
      </c>
      <c r="JJ60" s="148">
        <f>IF(AND(JJ55&gt;GRACE_M,JJ55&lt;=GRACE_M+N_PAY*FREQ_M,MOD(JJ55-GRACE_M,FREQ_M)=0),1,0)</f>
        <v>0</v>
      </c>
      <c r="JK60" s="148">
        <f>IF(AND(JK55&gt;GRACE_M,JK55&lt;=GRACE_M+N_PAY*FREQ_M,MOD(JK55-GRACE_M,FREQ_M)=0),1,0)</f>
        <v>0</v>
      </c>
      <c r="JL60" s="148">
        <f>IF(AND(JL55&gt;GRACE_M,JL55&lt;=GRACE_M+N_PAY*FREQ_M,MOD(JL55-GRACE_M,FREQ_M)=0),1,0)</f>
        <v>0</v>
      </c>
      <c r="JM60" s="148">
        <f>IF(AND(JM55&gt;GRACE_M,JM55&lt;=GRACE_M+N_PAY*FREQ_M,MOD(JM55-GRACE_M,FREQ_M)=0),1,0)</f>
        <v>0</v>
      </c>
      <c r="JN60" s="148">
        <f>IF(AND(JN55&gt;GRACE_M,JN55&lt;=GRACE_M+N_PAY*FREQ_M,MOD(JN55-GRACE_M,FREQ_M)=0),1,0)</f>
        <v>0</v>
      </c>
      <c r="JO60" s="148">
        <f>IF(AND(JO55&gt;GRACE_M,JO55&lt;=GRACE_M+N_PAY*FREQ_M,MOD(JO55-GRACE_M,FREQ_M)=0),1,0)</f>
        <v>0</v>
      </c>
      <c r="JP60" s="148">
        <f>IF(AND(JP55&gt;GRACE_M,JP55&lt;=GRACE_M+N_PAY*FREQ_M,MOD(JP55-GRACE_M,FREQ_M)=0),1,0)</f>
        <v>0</v>
      </c>
      <c r="JQ60" s="148">
        <f>IF(AND(JQ55&gt;GRACE_M,JQ55&lt;=GRACE_M+N_PAY*FREQ_M,MOD(JQ55-GRACE_M,FREQ_M)=0),1,0)</f>
        <v>0</v>
      </c>
      <c r="JR60" s="148">
        <f>IF(AND(JR55&gt;GRACE_M,JR55&lt;=GRACE_M+N_PAY*FREQ_M,MOD(JR55-GRACE_M,FREQ_M)=0),1,0)</f>
        <v>0</v>
      </c>
      <c r="JS60" s="148">
        <f>IF(AND(JS55&gt;GRACE_M,JS55&lt;=GRACE_M+N_PAY*FREQ_M,MOD(JS55-GRACE_M,FREQ_M)=0),1,0)</f>
        <v>0</v>
      </c>
      <c r="JT60" s="148">
        <f>IF(AND(JT55&gt;GRACE_M,JT55&lt;=GRACE_M+N_PAY*FREQ_M,MOD(JT55-GRACE_M,FREQ_M)=0),1,0)</f>
        <v>0</v>
      </c>
      <c r="JU60" s="148">
        <f>IF(AND(JU55&gt;GRACE_M,JU55&lt;=GRACE_M+N_PAY*FREQ_M,MOD(JU55-GRACE_M,FREQ_M)=0),1,0)</f>
        <v>0</v>
      </c>
      <c r="JV60" s="148">
        <f>IF(AND(JV55&gt;GRACE_M,JV55&lt;=GRACE_M+N_PAY*FREQ_M,MOD(JV55-GRACE_M,FREQ_M)=0),1,0)</f>
        <v>0</v>
      </c>
      <c r="JW60" s="148">
        <f>IF(AND(JW55&gt;GRACE_M,JW55&lt;=GRACE_M+N_PAY*FREQ_M,MOD(JW55-GRACE_M,FREQ_M)=0),1,0)</f>
        <v>0</v>
      </c>
      <c r="JX60" s="148">
        <f>IF(AND(JX55&gt;GRACE_M,JX55&lt;=GRACE_M+N_PAY*FREQ_M,MOD(JX55-GRACE_M,FREQ_M)=0),1,0)</f>
        <v>0</v>
      </c>
      <c r="JY60" s="148">
        <f>IF(AND(JY55&gt;GRACE_M,JY55&lt;=GRACE_M+N_PAY*FREQ_M,MOD(JY55-GRACE_M,FREQ_M)=0),1,0)</f>
        <v>0</v>
      </c>
      <c r="JZ60" s="148">
        <f>IF(AND(JZ55&gt;GRACE_M,JZ55&lt;=GRACE_M+N_PAY*FREQ_M,MOD(JZ55-GRACE_M,FREQ_M)=0),1,0)</f>
        <v>0</v>
      </c>
      <c r="KA60" s="148">
        <f>IF(AND(KA55&gt;GRACE_M,KA55&lt;=GRACE_M+N_PAY*FREQ_M,MOD(KA55-GRACE_M,FREQ_M)=0),1,0)</f>
        <v>0</v>
      </c>
      <c r="KB60" s="148">
        <f>IF(AND(KB55&gt;GRACE_M,KB55&lt;=GRACE_M+N_PAY*FREQ_M,MOD(KB55-GRACE_M,FREQ_M)=0),1,0)</f>
        <v>0</v>
      </c>
      <c r="KC60" s="148">
        <f>IF(AND(KC55&gt;GRACE_M,KC55&lt;=GRACE_M+N_PAY*FREQ_M,MOD(KC55-GRACE_M,FREQ_M)=0),1,0)</f>
        <v>0</v>
      </c>
      <c r="KD60" s="148">
        <f>IF(AND(KD55&gt;GRACE_M,KD55&lt;=GRACE_M+N_PAY*FREQ_M,MOD(KD55-GRACE_M,FREQ_M)=0),1,0)</f>
        <v>0</v>
      </c>
      <c r="KE60" s="148">
        <f>IF(AND(KE55&gt;GRACE_M,KE55&lt;=GRACE_M+N_PAY*FREQ_M,MOD(KE55-GRACE_M,FREQ_M)=0),1,0)</f>
        <v>0</v>
      </c>
      <c r="KF60" s="148">
        <f>IF(AND(KF55&gt;GRACE_M,KF55&lt;=GRACE_M+N_PAY*FREQ_M,MOD(KF55-GRACE_M,FREQ_M)=0),1,0)</f>
        <v>0</v>
      </c>
    </row>
    <row r="61">
      <c r="B61" s="36" t="inlineStr">
        <is>
          <t>Remaining payments incl. this one</t>
        </is>
      </c>
      <c r="C61" s="117" t="inlineStr">
        <is>
          <t>no.</t>
        </is>
      </c>
      <c r="E61" s="148">
        <f>IF(E60=1,N_PAY-(E55-GRACE_M)/FREQ_M+1,0)</f>
        <v>0</v>
      </c>
      <c r="F61" s="148">
        <f>IF(F60=1,N_PAY-(F55-GRACE_M)/FREQ_M+1,0)</f>
        <v>0</v>
      </c>
      <c r="G61" s="148">
        <f>IF(G60=1,N_PAY-(G55-GRACE_M)/FREQ_M+1,0)</f>
        <v>0</v>
      </c>
      <c r="H61" s="148">
        <f>IF(H60=1,N_PAY-(H55-GRACE_M)/FREQ_M+1,0)</f>
        <v>0</v>
      </c>
      <c r="I61" s="148">
        <f>IF(I60=1,N_PAY-(I55-GRACE_M)/FREQ_M+1,0)</f>
        <v>0</v>
      </c>
      <c r="J61" s="148">
        <f>IF(J60=1,N_PAY-(J55-GRACE_M)/FREQ_M+1,0)</f>
        <v>0</v>
      </c>
      <c r="K61" s="148">
        <f>IF(K60=1,N_PAY-(K55-GRACE_M)/FREQ_M+1,0)</f>
        <v>0</v>
      </c>
      <c r="L61" s="148">
        <f>IF(L60=1,N_PAY-(L55-GRACE_M)/FREQ_M+1,0)</f>
        <v>0</v>
      </c>
      <c r="M61" s="148">
        <f>IF(M60=1,N_PAY-(M55-GRACE_M)/FREQ_M+1,0)</f>
        <v>0</v>
      </c>
      <c r="N61" s="148">
        <f>IF(N60=1,N_PAY-(N55-GRACE_M)/FREQ_M+1,0)</f>
        <v>0</v>
      </c>
      <c r="O61" s="148">
        <f>IF(O60=1,N_PAY-(O55-GRACE_M)/FREQ_M+1,0)</f>
        <v>0</v>
      </c>
      <c r="P61" s="148">
        <f>IF(P60=1,N_PAY-(P55-GRACE_M)/FREQ_M+1,0)</f>
        <v>0</v>
      </c>
      <c r="Q61" s="148">
        <f>IF(Q60=1,N_PAY-(Q55-GRACE_M)/FREQ_M+1,0)</f>
        <v>0</v>
      </c>
      <c r="R61" s="148">
        <f>IF(R60=1,N_PAY-(R55-GRACE_M)/FREQ_M+1,0)</f>
        <v>0</v>
      </c>
      <c r="S61" s="148">
        <f>IF(S60=1,N_PAY-(S55-GRACE_M)/FREQ_M+1,0)</f>
        <v>0</v>
      </c>
      <c r="T61" s="148">
        <f>IF(T60=1,N_PAY-(T55-GRACE_M)/FREQ_M+1,0)</f>
        <v>0</v>
      </c>
      <c r="U61" s="148">
        <f>IF(U60=1,N_PAY-(U55-GRACE_M)/FREQ_M+1,0)</f>
        <v>0</v>
      </c>
      <c r="V61" s="148">
        <f>IF(V60=1,N_PAY-(V55-GRACE_M)/FREQ_M+1,0)</f>
        <v>0</v>
      </c>
      <c r="W61" s="148">
        <f>IF(W60=1,N_PAY-(W55-GRACE_M)/FREQ_M+1,0)</f>
        <v>0</v>
      </c>
      <c r="X61" s="148">
        <f>IF(X60=1,N_PAY-(X55-GRACE_M)/FREQ_M+1,0)</f>
        <v>0</v>
      </c>
      <c r="Y61" s="148">
        <f>IF(Y60=1,N_PAY-(Y55-GRACE_M)/FREQ_M+1,0)</f>
        <v>0</v>
      </c>
      <c r="Z61" s="148">
        <f>IF(Z60=1,N_PAY-(Z55-GRACE_M)/FREQ_M+1,0)</f>
        <v>0</v>
      </c>
      <c r="AA61" s="148">
        <f>IF(AA60=1,N_PAY-(AA55-GRACE_M)/FREQ_M+1,0)</f>
        <v>0</v>
      </c>
      <c r="AB61" s="148">
        <f>IF(AB60=1,N_PAY-(AB55-GRACE_M)/FREQ_M+1,0)</f>
        <v>0</v>
      </c>
      <c r="AC61" s="148">
        <f>IF(AC60=1,N_PAY-(AC55-GRACE_M)/FREQ_M+1,0)</f>
        <v>0</v>
      </c>
      <c r="AD61" s="148">
        <f>IF(AD60=1,N_PAY-(AD55-GRACE_M)/FREQ_M+1,0)</f>
        <v>0</v>
      </c>
      <c r="AE61" s="148">
        <f>IF(AE60=1,N_PAY-(AE55-GRACE_M)/FREQ_M+1,0)</f>
        <v>0</v>
      </c>
      <c r="AF61" s="148">
        <f>IF(AF60=1,N_PAY-(AF55-GRACE_M)/FREQ_M+1,0)</f>
        <v>0</v>
      </c>
      <c r="AG61" s="148">
        <f>IF(AG60=1,N_PAY-(AG55-GRACE_M)/FREQ_M+1,0)</f>
        <v>0</v>
      </c>
      <c r="AH61" s="148">
        <f>IF(AH60=1,N_PAY-(AH55-GRACE_M)/FREQ_M+1,0)</f>
        <v>0</v>
      </c>
      <c r="AI61" s="148">
        <f>IF(AI60=1,N_PAY-(AI55-GRACE_M)/FREQ_M+1,0)</f>
        <v>0</v>
      </c>
      <c r="AJ61" s="148">
        <f>IF(AJ60=1,N_PAY-(AJ55-GRACE_M)/FREQ_M+1,0)</f>
        <v>0</v>
      </c>
      <c r="AK61" s="148">
        <f>IF(AK60=1,N_PAY-(AK55-GRACE_M)/FREQ_M+1,0)</f>
        <v>0</v>
      </c>
      <c r="AL61" s="148">
        <f>IF(AL60=1,N_PAY-(AL55-GRACE_M)/FREQ_M+1,0)</f>
        <v>0</v>
      </c>
      <c r="AM61" s="148">
        <f>IF(AM60=1,N_PAY-(AM55-GRACE_M)/FREQ_M+1,0)</f>
        <v>0</v>
      </c>
      <c r="AN61" s="148">
        <f>IF(AN60=1,N_PAY-(AN55-GRACE_M)/FREQ_M+1,0)</f>
        <v>0</v>
      </c>
      <c r="AO61" s="148">
        <f>IF(AO60=1,N_PAY-(AO55-GRACE_M)/FREQ_M+1,0)</f>
        <v>0</v>
      </c>
      <c r="AP61" s="148">
        <f>IF(AP60=1,N_PAY-(AP55-GRACE_M)/FREQ_M+1,0)</f>
        <v>0</v>
      </c>
      <c r="AQ61" s="148">
        <f>IF(AQ60=1,N_PAY-(AQ55-GRACE_M)/FREQ_M+1,0)</f>
        <v>0</v>
      </c>
      <c r="AR61" s="148">
        <f>IF(AR60=1,N_PAY-(AR55-GRACE_M)/FREQ_M+1,0)</f>
        <v>0</v>
      </c>
      <c r="AS61" s="148">
        <f>IF(AS60=1,N_PAY-(AS55-GRACE_M)/FREQ_M+1,0)</f>
        <v>0</v>
      </c>
      <c r="AT61" s="148">
        <f>IF(AT60=1,N_PAY-(AT55-GRACE_M)/FREQ_M+1,0)</f>
        <v>0</v>
      </c>
      <c r="AU61" s="148">
        <f>IF(AU60=1,N_PAY-(AU55-GRACE_M)/FREQ_M+1,0)</f>
        <v>0</v>
      </c>
      <c r="AV61" s="148">
        <f>IF(AV60=1,N_PAY-(AV55-GRACE_M)/FREQ_M+1,0)</f>
        <v>0</v>
      </c>
      <c r="AW61" s="148">
        <f>IF(AW60=1,N_PAY-(AW55-GRACE_M)/FREQ_M+1,0)</f>
        <v>36</v>
      </c>
      <c r="AX61" s="148">
        <f>IF(AX60=1,N_PAY-(AX55-GRACE_M)/FREQ_M+1,0)</f>
        <v>0</v>
      </c>
      <c r="AY61" s="148">
        <f>IF(AY60=1,N_PAY-(AY55-GRACE_M)/FREQ_M+1,0)</f>
        <v>0</v>
      </c>
      <c r="AZ61" s="148">
        <f>IF(AZ60=1,N_PAY-(AZ55-GRACE_M)/FREQ_M+1,0)</f>
        <v>35</v>
      </c>
      <c r="BA61" s="148">
        <f>IF(BA60=1,N_PAY-(BA55-GRACE_M)/FREQ_M+1,0)</f>
        <v>0</v>
      </c>
      <c r="BB61" s="148">
        <f>IF(BB60=1,N_PAY-(BB55-GRACE_M)/FREQ_M+1,0)</f>
        <v>0</v>
      </c>
      <c r="BC61" s="148">
        <f>IF(BC60=1,N_PAY-(BC55-GRACE_M)/FREQ_M+1,0)</f>
        <v>34</v>
      </c>
      <c r="BD61" s="148">
        <f>IF(BD60=1,N_PAY-(BD55-GRACE_M)/FREQ_M+1,0)</f>
        <v>0</v>
      </c>
      <c r="BE61" s="148">
        <f>IF(BE60=1,N_PAY-(BE55-GRACE_M)/FREQ_M+1,0)</f>
        <v>0</v>
      </c>
      <c r="BF61" s="148">
        <f>IF(BF60=1,N_PAY-(BF55-GRACE_M)/FREQ_M+1,0)</f>
        <v>33</v>
      </c>
      <c r="BG61" s="148">
        <f>IF(BG60=1,N_PAY-(BG55-GRACE_M)/FREQ_M+1,0)</f>
        <v>0</v>
      </c>
      <c r="BH61" s="148">
        <f>IF(BH60=1,N_PAY-(BH55-GRACE_M)/FREQ_M+1,0)</f>
        <v>0</v>
      </c>
      <c r="BI61" s="148">
        <f>IF(BI60=1,N_PAY-(BI55-GRACE_M)/FREQ_M+1,0)</f>
        <v>32</v>
      </c>
      <c r="BJ61" s="148">
        <f>IF(BJ60=1,N_PAY-(BJ55-GRACE_M)/FREQ_M+1,0)</f>
        <v>0</v>
      </c>
      <c r="BK61" s="148">
        <f>IF(BK60=1,N_PAY-(BK55-GRACE_M)/FREQ_M+1,0)</f>
        <v>0</v>
      </c>
      <c r="BL61" s="148">
        <f>IF(BL60=1,N_PAY-(BL55-GRACE_M)/FREQ_M+1,0)</f>
        <v>31</v>
      </c>
      <c r="BM61" s="148">
        <f>IF(BM60=1,N_PAY-(BM55-GRACE_M)/FREQ_M+1,0)</f>
        <v>0</v>
      </c>
      <c r="BN61" s="148">
        <f>IF(BN60=1,N_PAY-(BN55-GRACE_M)/FREQ_M+1,0)</f>
        <v>0</v>
      </c>
      <c r="BO61" s="148">
        <f>IF(BO60=1,N_PAY-(BO55-GRACE_M)/FREQ_M+1,0)</f>
        <v>30</v>
      </c>
      <c r="BP61" s="148">
        <f>IF(BP60=1,N_PAY-(BP55-GRACE_M)/FREQ_M+1,0)</f>
        <v>0</v>
      </c>
      <c r="BQ61" s="148">
        <f>IF(BQ60=1,N_PAY-(BQ55-GRACE_M)/FREQ_M+1,0)</f>
        <v>0</v>
      </c>
      <c r="BR61" s="148">
        <f>IF(BR60=1,N_PAY-(BR55-GRACE_M)/FREQ_M+1,0)</f>
        <v>29</v>
      </c>
      <c r="BS61" s="148">
        <f>IF(BS60=1,N_PAY-(BS55-GRACE_M)/FREQ_M+1,0)</f>
        <v>0</v>
      </c>
      <c r="BT61" s="148">
        <f>IF(BT60=1,N_PAY-(BT55-GRACE_M)/FREQ_M+1,0)</f>
        <v>0</v>
      </c>
      <c r="BU61" s="148">
        <f>IF(BU60=1,N_PAY-(BU55-GRACE_M)/FREQ_M+1,0)</f>
        <v>28</v>
      </c>
      <c r="BV61" s="148">
        <f>IF(BV60=1,N_PAY-(BV55-GRACE_M)/FREQ_M+1,0)</f>
        <v>0</v>
      </c>
      <c r="BW61" s="148">
        <f>IF(BW60=1,N_PAY-(BW55-GRACE_M)/FREQ_M+1,0)</f>
        <v>0</v>
      </c>
      <c r="BX61" s="148">
        <f>IF(BX60=1,N_PAY-(BX55-GRACE_M)/FREQ_M+1,0)</f>
        <v>27</v>
      </c>
      <c r="BY61" s="148">
        <f>IF(BY60=1,N_PAY-(BY55-GRACE_M)/FREQ_M+1,0)</f>
        <v>0</v>
      </c>
      <c r="BZ61" s="148">
        <f>IF(BZ60=1,N_PAY-(BZ55-GRACE_M)/FREQ_M+1,0)</f>
        <v>0</v>
      </c>
      <c r="CA61" s="148">
        <f>IF(CA60=1,N_PAY-(CA55-GRACE_M)/FREQ_M+1,0)</f>
        <v>26</v>
      </c>
      <c r="CB61" s="148">
        <f>IF(CB60=1,N_PAY-(CB55-GRACE_M)/FREQ_M+1,0)</f>
        <v>0</v>
      </c>
      <c r="CC61" s="148">
        <f>IF(CC60=1,N_PAY-(CC55-GRACE_M)/FREQ_M+1,0)</f>
        <v>0</v>
      </c>
      <c r="CD61" s="148">
        <f>IF(CD60=1,N_PAY-(CD55-GRACE_M)/FREQ_M+1,0)</f>
        <v>25</v>
      </c>
      <c r="CE61" s="148">
        <f>IF(CE60=1,N_PAY-(CE55-GRACE_M)/FREQ_M+1,0)</f>
        <v>0</v>
      </c>
      <c r="CF61" s="148">
        <f>IF(CF60=1,N_PAY-(CF55-GRACE_M)/FREQ_M+1,0)</f>
        <v>0</v>
      </c>
      <c r="CG61" s="148">
        <f>IF(CG60=1,N_PAY-(CG55-GRACE_M)/FREQ_M+1,0)</f>
        <v>24</v>
      </c>
      <c r="CH61" s="148">
        <f>IF(CH60=1,N_PAY-(CH55-GRACE_M)/FREQ_M+1,0)</f>
        <v>0</v>
      </c>
      <c r="CI61" s="148">
        <f>IF(CI60=1,N_PAY-(CI55-GRACE_M)/FREQ_M+1,0)</f>
        <v>0</v>
      </c>
      <c r="CJ61" s="148">
        <f>IF(CJ60=1,N_PAY-(CJ55-GRACE_M)/FREQ_M+1,0)</f>
        <v>23</v>
      </c>
      <c r="CK61" s="148">
        <f>IF(CK60=1,N_PAY-(CK55-GRACE_M)/FREQ_M+1,0)</f>
        <v>0</v>
      </c>
      <c r="CL61" s="148">
        <f>IF(CL60=1,N_PAY-(CL55-GRACE_M)/FREQ_M+1,0)</f>
        <v>0</v>
      </c>
      <c r="CM61" s="148">
        <f>IF(CM60=1,N_PAY-(CM55-GRACE_M)/FREQ_M+1,0)</f>
        <v>22</v>
      </c>
      <c r="CN61" s="148">
        <f>IF(CN60=1,N_PAY-(CN55-GRACE_M)/FREQ_M+1,0)</f>
        <v>0</v>
      </c>
      <c r="CO61" s="148">
        <f>IF(CO60=1,N_PAY-(CO55-GRACE_M)/FREQ_M+1,0)</f>
        <v>0</v>
      </c>
      <c r="CP61" s="148">
        <f>IF(CP60=1,N_PAY-(CP55-GRACE_M)/FREQ_M+1,0)</f>
        <v>21</v>
      </c>
      <c r="CQ61" s="148">
        <f>IF(CQ60=1,N_PAY-(CQ55-GRACE_M)/FREQ_M+1,0)</f>
        <v>0</v>
      </c>
      <c r="CR61" s="148">
        <f>IF(CR60=1,N_PAY-(CR55-GRACE_M)/FREQ_M+1,0)</f>
        <v>0</v>
      </c>
      <c r="CS61" s="148">
        <f>IF(CS60=1,N_PAY-(CS55-GRACE_M)/FREQ_M+1,0)</f>
        <v>20</v>
      </c>
      <c r="CT61" s="148">
        <f>IF(CT60=1,N_PAY-(CT55-GRACE_M)/FREQ_M+1,0)</f>
        <v>0</v>
      </c>
      <c r="CU61" s="148">
        <f>IF(CU60=1,N_PAY-(CU55-GRACE_M)/FREQ_M+1,0)</f>
        <v>0</v>
      </c>
      <c r="CV61" s="148">
        <f>IF(CV60=1,N_PAY-(CV55-GRACE_M)/FREQ_M+1,0)</f>
        <v>19</v>
      </c>
      <c r="CW61" s="148">
        <f>IF(CW60=1,N_PAY-(CW55-GRACE_M)/FREQ_M+1,0)</f>
        <v>0</v>
      </c>
      <c r="CX61" s="148">
        <f>IF(CX60=1,N_PAY-(CX55-GRACE_M)/FREQ_M+1,0)</f>
        <v>0</v>
      </c>
      <c r="CY61" s="148">
        <f>IF(CY60=1,N_PAY-(CY55-GRACE_M)/FREQ_M+1,0)</f>
        <v>18</v>
      </c>
      <c r="CZ61" s="148">
        <f>IF(CZ60=1,N_PAY-(CZ55-GRACE_M)/FREQ_M+1,0)</f>
        <v>0</v>
      </c>
      <c r="DA61" s="148">
        <f>IF(DA60=1,N_PAY-(DA55-GRACE_M)/FREQ_M+1,0)</f>
        <v>0</v>
      </c>
      <c r="DB61" s="148">
        <f>IF(DB60=1,N_PAY-(DB55-GRACE_M)/FREQ_M+1,0)</f>
        <v>17</v>
      </c>
      <c r="DC61" s="148">
        <f>IF(DC60=1,N_PAY-(DC55-GRACE_M)/FREQ_M+1,0)</f>
        <v>0</v>
      </c>
      <c r="DD61" s="148">
        <f>IF(DD60=1,N_PAY-(DD55-GRACE_M)/FREQ_M+1,0)</f>
        <v>0</v>
      </c>
      <c r="DE61" s="148">
        <f>IF(DE60=1,N_PAY-(DE55-GRACE_M)/FREQ_M+1,0)</f>
        <v>16</v>
      </c>
      <c r="DF61" s="148">
        <f>IF(DF60=1,N_PAY-(DF55-GRACE_M)/FREQ_M+1,0)</f>
        <v>0</v>
      </c>
      <c r="DG61" s="148">
        <f>IF(DG60=1,N_PAY-(DG55-GRACE_M)/FREQ_M+1,0)</f>
        <v>0</v>
      </c>
      <c r="DH61" s="148">
        <f>IF(DH60=1,N_PAY-(DH55-GRACE_M)/FREQ_M+1,0)</f>
        <v>15</v>
      </c>
      <c r="DI61" s="148">
        <f>IF(DI60=1,N_PAY-(DI55-GRACE_M)/FREQ_M+1,0)</f>
        <v>0</v>
      </c>
      <c r="DJ61" s="148">
        <f>IF(DJ60=1,N_PAY-(DJ55-GRACE_M)/FREQ_M+1,0)</f>
        <v>0</v>
      </c>
      <c r="DK61" s="148">
        <f>IF(DK60=1,N_PAY-(DK55-GRACE_M)/FREQ_M+1,0)</f>
        <v>14</v>
      </c>
      <c r="DL61" s="148">
        <f>IF(DL60=1,N_PAY-(DL55-GRACE_M)/FREQ_M+1,0)</f>
        <v>0</v>
      </c>
      <c r="DM61" s="148">
        <f>IF(DM60=1,N_PAY-(DM55-GRACE_M)/FREQ_M+1,0)</f>
        <v>0</v>
      </c>
      <c r="DN61" s="148">
        <f>IF(DN60=1,N_PAY-(DN55-GRACE_M)/FREQ_M+1,0)</f>
        <v>13</v>
      </c>
      <c r="DO61" s="148">
        <f>IF(DO60=1,N_PAY-(DO55-GRACE_M)/FREQ_M+1,0)</f>
        <v>0</v>
      </c>
      <c r="DP61" s="148">
        <f>IF(DP60=1,N_PAY-(DP55-GRACE_M)/FREQ_M+1,0)</f>
        <v>0</v>
      </c>
      <c r="DQ61" s="148">
        <f>IF(DQ60=1,N_PAY-(DQ55-GRACE_M)/FREQ_M+1,0)</f>
        <v>12</v>
      </c>
      <c r="DR61" s="148">
        <f>IF(DR60=1,N_PAY-(DR55-GRACE_M)/FREQ_M+1,0)</f>
        <v>0</v>
      </c>
      <c r="DS61" s="148">
        <f>IF(DS60=1,N_PAY-(DS55-GRACE_M)/FREQ_M+1,0)</f>
        <v>0</v>
      </c>
      <c r="DT61" s="148">
        <f>IF(DT60=1,N_PAY-(DT55-GRACE_M)/FREQ_M+1,0)</f>
        <v>11</v>
      </c>
      <c r="DU61" s="148">
        <f>IF(DU60=1,N_PAY-(DU55-GRACE_M)/FREQ_M+1,0)</f>
        <v>0</v>
      </c>
      <c r="DV61" s="148">
        <f>IF(DV60=1,N_PAY-(DV55-GRACE_M)/FREQ_M+1,0)</f>
        <v>0</v>
      </c>
      <c r="DW61" s="148">
        <f>IF(DW60=1,N_PAY-(DW55-GRACE_M)/FREQ_M+1,0)</f>
        <v>10</v>
      </c>
      <c r="DX61" s="148">
        <f>IF(DX60=1,N_PAY-(DX55-GRACE_M)/FREQ_M+1,0)</f>
        <v>0</v>
      </c>
      <c r="DY61" s="148">
        <f>IF(DY60=1,N_PAY-(DY55-GRACE_M)/FREQ_M+1,0)</f>
        <v>0</v>
      </c>
      <c r="DZ61" s="148">
        <f>IF(DZ60=1,N_PAY-(DZ55-GRACE_M)/FREQ_M+1,0)</f>
        <v>9</v>
      </c>
      <c r="EA61" s="148">
        <f>IF(EA60=1,N_PAY-(EA55-GRACE_M)/FREQ_M+1,0)</f>
        <v>0</v>
      </c>
      <c r="EB61" s="148">
        <f>IF(EB60=1,N_PAY-(EB55-GRACE_M)/FREQ_M+1,0)</f>
        <v>0</v>
      </c>
      <c r="EC61" s="148">
        <f>IF(EC60=1,N_PAY-(EC55-GRACE_M)/FREQ_M+1,0)</f>
        <v>8</v>
      </c>
      <c r="ED61" s="148">
        <f>IF(ED60=1,N_PAY-(ED55-GRACE_M)/FREQ_M+1,0)</f>
        <v>0</v>
      </c>
      <c r="EE61" s="148">
        <f>IF(EE60=1,N_PAY-(EE55-GRACE_M)/FREQ_M+1,0)</f>
        <v>0</v>
      </c>
      <c r="EF61" s="148">
        <f>IF(EF60=1,N_PAY-(EF55-GRACE_M)/FREQ_M+1,0)</f>
        <v>7</v>
      </c>
      <c r="EG61" s="148">
        <f>IF(EG60=1,N_PAY-(EG55-GRACE_M)/FREQ_M+1,0)</f>
        <v>0</v>
      </c>
      <c r="EH61" s="148">
        <f>IF(EH60=1,N_PAY-(EH55-GRACE_M)/FREQ_M+1,0)</f>
        <v>0</v>
      </c>
      <c r="EI61" s="148">
        <f>IF(EI60=1,N_PAY-(EI55-GRACE_M)/FREQ_M+1,0)</f>
        <v>6</v>
      </c>
      <c r="EJ61" s="148">
        <f>IF(EJ60=1,N_PAY-(EJ55-GRACE_M)/FREQ_M+1,0)</f>
        <v>0</v>
      </c>
      <c r="EK61" s="148">
        <f>IF(EK60=1,N_PAY-(EK55-GRACE_M)/FREQ_M+1,0)</f>
        <v>0</v>
      </c>
      <c r="EL61" s="148">
        <f>IF(EL60=1,N_PAY-(EL55-GRACE_M)/FREQ_M+1,0)</f>
        <v>5</v>
      </c>
      <c r="EM61" s="148">
        <f>IF(EM60=1,N_PAY-(EM55-GRACE_M)/FREQ_M+1,0)</f>
        <v>0</v>
      </c>
      <c r="EN61" s="148">
        <f>IF(EN60=1,N_PAY-(EN55-GRACE_M)/FREQ_M+1,0)</f>
        <v>0</v>
      </c>
      <c r="EO61" s="148">
        <f>IF(EO60=1,N_PAY-(EO55-GRACE_M)/FREQ_M+1,0)</f>
        <v>4</v>
      </c>
      <c r="EP61" s="148">
        <f>IF(EP60=1,N_PAY-(EP55-GRACE_M)/FREQ_M+1,0)</f>
        <v>0</v>
      </c>
      <c r="EQ61" s="148">
        <f>IF(EQ60=1,N_PAY-(EQ55-GRACE_M)/FREQ_M+1,0)</f>
        <v>0</v>
      </c>
      <c r="ER61" s="148">
        <f>IF(ER60=1,N_PAY-(ER55-GRACE_M)/FREQ_M+1,0)</f>
        <v>3</v>
      </c>
      <c r="ES61" s="148">
        <f>IF(ES60=1,N_PAY-(ES55-GRACE_M)/FREQ_M+1,0)</f>
        <v>0</v>
      </c>
      <c r="ET61" s="148">
        <f>IF(ET60=1,N_PAY-(ET55-GRACE_M)/FREQ_M+1,0)</f>
        <v>0</v>
      </c>
      <c r="EU61" s="148">
        <f>IF(EU60=1,N_PAY-(EU55-GRACE_M)/FREQ_M+1,0)</f>
        <v>2</v>
      </c>
      <c r="EV61" s="148">
        <f>IF(EV60=1,N_PAY-(EV55-GRACE_M)/FREQ_M+1,0)</f>
        <v>0</v>
      </c>
      <c r="EW61" s="148">
        <f>IF(EW60=1,N_PAY-(EW55-GRACE_M)/FREQ_M+1,0)</f>
        <v>0</v>
      </c>
      <c r="EX61" s="148">
        <f>IF(EX60=1,N_PAY-(EX55-GRACE_M)/FREQ_M+1,0)</f>
        <v>1</v>
      </c>
      <c r="EY61" s="148">
        <f>IF(EY60=1,N_PAY-(EY55-GRACE_M)/FREQ_M+1,0)</f>
        <v>0</v>
      </c>
      <c r="EZ61" s="148">
        <f>IF(EZ60=1,N_PAY-(EZ55-GRACE_M)/FREQ_M+1,0)</f>
        <v>0</v>
      </c>
      <c r="FA61" s="148">
        <f>IF(FA60=1,N_PAY-(FA55-GRACE_M)/FREQ_M+1,0)</f>
        <v>0</v>
      </c>
      <c r="FB61" s="148">
        <f>IF(FB60=1,N_PAY-(FB55-GRACE_M)/FREQ_M+1,0)</f>
        <v>0</v>
      </c>
      <c r="FC61" s="148">
        <f>IF(FC60=1,N_PAY-(FC55-GRACE_M)/FREQ_M+1,0)</f>
        <v>0</v>
      </c>
      <c r="FD61" s="148">
        <f>IF(FD60=1,N_PAY-(FD55-GRACE_M)/FREQ_M+1,0)</f>
        <v>0</v>
      </c>
      <c r="FE61" s="148">
        <f>IF(FE60=1,N_PAY-(FE55-GRACE_M)/FREQ_M+1,0)</f>
        <v>0</v>
      </c>
      <c r="FF61" s="148">
        <f>IF(FF60=1,N_PAY-(FF55-GRACE_M)/FREQ_M+1,0)</f>
        <v>0</v>
      </c>
      <c r="FG61" s="148">
        <f>IF(FG60=1,N_PAY-(FG55-GRACE_M)/FREQ_M+1,0)</f>
        <v>0</v>
      </c>
      <c r="FH61" s="148">
        <f>IF(FH60=1,N_PAY-(FH55-GRACE_M)/FREQ_M+1,0)</f>
        <v>0</v>
      </c>
      <c r="FI61" s="148">
        <f>IF(FI60=1,N_PAY-(FI55-GRACE_M)/FREQ_M+1,0)</f>
        <v>0</v>
      </c>
      <c r="FJ61" s="148">
        <f>IF(FJ60=1,N_PAY-(FJ55-GRACE_M)/FREQ_M+1,0)</f>
        <v>0</v>
      </c>
      <c r="FK61" s="148">
        <f>IF(FK60=1,N_PAY-(FK55-GRACE_M)/FREQ_M+1,0)</f>
        <v>0</v>
      </c>
      <c r="FL61" s="148">
        <f>IF(FL60=1,N_PAY-(FL55-GRACE_M)/FREQ_M+1,0)</f>
        <v>0</v>
      </c>
      <c r="FM61" s="148">
        <f>IF(FM60=1,N_PAY-(FM55-GRACE_M)/FREQ_M+1,0)</f>
        <v>0</v>
      </c>
      <c r="FN61" s="148">
        <f>IF(FN60=1,N_PAY-(FN55-GRACE_M)/FREQ_M+1,0)</f>
        <v>0</v>
      </c>
      <c r="FO61" s="148">
        <f>IF(FO60=1,N_PAY-(FO55-GRACE_M)/FREQ_M+1,0)</f>
        <v>0</v>
      </c>
      <c r="FP61" s="148">
        <f>IF(FP60=1,N_PAY-(FP55-GRACE_M)/FREQ_M+1,0)</f>
        <v>0</v>
      </c>
      <c r="FQ61" s="148">
        <f>IF(FQ60=1,N_PAY-(FQ55-GRACE_M)/FREQ_M+1,0)</f>
        <v>0</v>
      </c>
      <c r="FR61" s="148">
        <f>IF(FR60=1,N_PAY-(FR55-GRACE_M)/FREQ_M+1,0)</f>
        <v>0</v>
      </c>
      <c r="FS61" s="148">
        <f>IF(FS60=1,N_PAY-(FS55-GRACE_M)/FREQ_M+1,0)</f>
        <v>0</v>
      </c>
      <c r="FT61" s="148">
        <f>IF(FT60=1,N_PAY-(FT55-GRACE_M)/FREQ_M+1,0)</f>
        <v>0</v>
      </c>
      <c r="FU61" s="148">
        <f>IF(FU60=1,N_PAY-(FU55-GRACE_M)/FREQ_M+1,0)</f>
        <v>0</v>
      </c>
      <c r="FV61" s="148">
        <f>IF(FV60=1,N_PAY-(FV55-GRACE_M)/FREQ_M+1,0)</f>
        <v>0</v>
      </c>
      <c r="FW61" s="148">
        <f>IF(FW60=1,N_PAY-(FW55-GRACE_M)/FREQ_M+1,0)</f>
        <v>0</v>
      </c>
      <c r="FX61" s="148">
        <f>IF(FX60=1,N_PAY-(FX55-GRACE_M)/FREQ_M+1,0)</f>
        <v>0</v>
      </c>
      <c r="FY61" s="148">
        <f>IF(FY60=1,N_PAY-(FY55-GRACE_M)/FREQ_M+1,0)</f>
        <v>0</v>
      </c>
      <c r="FZ61" s="148">
        <f>IF(FZ60=1,N_PAY-(FZ55-GRACE_M)/FREQ_M+1,0)</f>
        <v>0</v>
      </c>
      <c r="GA61" s="148">
        <f>IF(GA60=1,N_PAY-(GA55-GRACE_M)/FREQ_M+1,0)</f>
        <v>0</v>
      </c>
      <c r="GB61" s="148">
        <f>IF(GB60=1,N_PAY-(GB55-GRACE_M)/FREQ_M+1,0)</f>
        <v>0</v>
      </c>
      <c r="GC61" s="148">
        <f>IF(GC60=1,N_PAY-(GC55-GRACE_M)/FREQ_M+1,0)</f>
        <v>0</v>
      </c>
      <c r="GD61" s="148">
        <f>IF(GD60=1,N_PAY-(GD55-GRACE_M)/FREQ_M+1,0)</f>
        <v>0</v>
      </c>
      <c r="GE61" s="148">
        <f>IF(GE60=1,N_PAY-(GE55-GRACE_M)/FREQ_M+1,0)</f>
        <v>0</v>
      </c>
      <c r="GF61" s="148">
        <f>IF(GF60=1,N_PAY-(GF55-GRACE_M)/FREQ_M+1,0)</f>
        <v>0</v>
      </c>
      <c r="GG61" s="148">
        <f>IF(GG60=1,N_PAY-(GG55-GRACE_M)/FREQ_M+1,0)</f>
        <v>0</v>
      </c>
      <c r="GH61" s="148">
        <f>IF(GH60=1,N_PAY-(GH55-GRACE_M)/FREQ_M+1,0)</f>
        <v>0</v>
      </c>
      <c r="GI61" s="148">
        <f>IF(GI60=1,N_PAY-(GI55-GRACE_M)/FREQ_M+1,0)</f>
        <v>0</v>
      </c>
      <c r="GJ61" s="148">
        <f>IF(GJ60=1,N_PAY-(GJ55-GRACE_M)/FREQ_M+1,0)</f>
        <v>0</v>
      </c>
      <c r="GK61" s="148">
        <f>IF(GK60=1,N_PAY-(GK55-GRACE_M)/FREQ_M+1,0)</f>
        <v>0</v>
      </c>
      <c r="GL61" s="148">
        <f>IF(GL60=1,N_PAY-(GL55-GRACE_M)/FREQ_M+1,0)</f>
        <v>0</v>
      </c>
      <c r="GM61" s="148">
        <f>IF(GM60=1,N_PAY-(GM55-GRACE_M)/FREQ_M+1,0)</f>
        <v>0</v>
      </c>
      <c r="GN61" s="148">
        <f>IF(GN60=1,N_PAY-(GN55-GRACE_M)/FREQ_M+1,0)</f>
        <v>0</v>
      </c>
      <c r="GO61" s="148">
        <f>IF(GO60=1,N_PAY-(GO55-GRACE_M)/FREQ_M+1,0)</f>
        <v>0</v>
      </c>
      <c r="GP61" s="148">
        <f>IF(GP60=1,N_PAY-(GP55-GRACE_M)/FREQ_M+1,0)</f>
        <v>0</v>
      </c>
      <c r="GQ61" s="148">
        <f>IF(GQ60=1,N_PAY-(GQ55-GRACE_M)/FREQ_M+1,0)</f>
        <v>0</v>
      </c>
      <c r="GR61" s="148">
        <f>IF(GR60=1,N_PAY-(GR55-GRACE_M)/FREQ_M+1,0)</f>
        <v>0</v>
      </c>
      <c r="GS61" s="148">
        <f>IF(GS60=1,N_PAY-(GS55-GRACE_M)/FREQ_M+1,0)</f>
        <v>0</v>
      </c>
      <c r="GT61" s="148">
        <f>IF(GT60=1,N_PAY-(GT55-GRACE_M)/FREQ_M+1,0)</f>
        <v>0</v>
      </c>
      <c r="GU61" s="148">
        <f>IF(GU60=1,N_PAY-(GU55-GRACE_M)/FREQ_M+1,0)</f>
        <v>0</v>
      </c>
      <c r="GV61" s="148">
        <f>IF(GV60=1,N_PAY-(GV55-GRACE_M)/FREQ_M+1,0)</f>
        <v>0</v>
      </c>
      <c r="GW61" s="148">
        <f>IF(GW60=1,N_PAY-(GW55-GRACE_M)/FREQ_M+1,0)</f>
        <v>0</v>
      </c>
      <c r="GX61" s="148">
        <f>IF(GX60=1,N_PAY-(GX55-GRACE_M)/FREQ_M+1,0)</f>
        <v>0</v>
      </c>
      <c r="GY61" s="148">
        <f>IF(GY60=1,N_PAY-(GY55-GRACE_M)/FREQ_M+1,0)</f>
        <v>0</v>
      </c>
      <c r="GZ61" s="148">
        <f>IF(GZ60=1,N_PAY-(GZ55-GRACE_M)/FREQ_M+1,0)</f>
        <v>0</v>
      </c>
      <c r="HA61" s="148">
        <f>IF(HA60=1,N_PAY-(HA55-GRACE_M)/FREQ_M+1,0)</f>
        <v>0</v>
      </c>
      <c r="HB61" s="148">
        <f>IF(HB60=1,N_PAY-(HB55-GRACE_M)/FREQ_M+1,0)</f>
        <v>0</v>
      </c>
      <c r="HC61" s="148">
        <f>IF(HC60=1,N_PAY-(HC55-GRACE_M)/FREQ_M+1,0)</f>
        <v>0</v>
      </c>
      <c r="HD61" s="148">
        <f>IF(HD60=1,N_PAY-(HD55-GRACE_M)/FREQ_M+1,0)</f>
        <v>0</v>
      </c>
      <c r="HE61" s="148">
        <f>IF(HE60=1,N_PAY-(HE55-GRACE_M)/FREQ_M+1,0)</f>
        <v>0</v>
      </c>
      <c r="HF61" s="148">
        <f>IF(HF60=1,N_PAY-(HF55-GRACE_M)/FREQ_M+1,0)</f>
        <v>0</v>
      </c>
      <c r="HG61" s="148">
        <f>IF(HG60=1,N_PAY-(HG55-GRACE_M)/FREQ_M+1,0)</f>
        <v>0</v>
      </c>
      <c r="HH61" s="148">
        <f>IF(HH60=1,N_PAY-(HH55-GRACE_M)/FREQ_M+1,0)</f>
        <v>0</v>
      </c>
      <c r="HI61" s="148">
        <f>IF(HI60=1,N_PAY-(HI55-GRACE_M)/FREQ_M+1,0)</f>
        <v>0</v>
      </c>
      <c r="HJ61" s="148">
        <f>IF(HJ60=1,N_PAY-(HJ55-GRACE_M)/FREQ_M+1,0)</f>
        <v>0</v>
      </c>
      <c r="HK61" s="148">
        <f>IF(HK60=1,N_PAY-(HK55-GRACE_M)/FREQ_M+1,0)</f>
        <v>0</v>
      </c>
      <c r="HL61" s="148">
        <f>IF(HL60=1,N_PAY-(HL55-GRACE_M)/FREQ_M+1,0)</f>
        <v>0</v>
      </c>
      <c r="HM61" s="148">
        <f>IF(HM60=1,N_PAY-(HM55-GRACE_M)/FREQ_M+1,0)</f>
        <v>0</v>
      </c>
      <c r="HN61" s="148">
        <f>IF(HN60=1,N_PAY-(HN55-GRACE_M)/FREQ_M+1,0)</f>
        <v>0</v>
      </c>
      <c r="HO61" s="148">
        <f>IF(HO60=1,N_PAY-(HO55-GRACE_M)/FREQ_M+1,0)</f>
        <v>0</v>
      </c>
      <c r="HP61" s="148">
        <f>IF(HP60=1,N_PAY-(HP55-GRACE_M)/FREQ_M+1,0)</f>
        <v>0</v>
      </c>
      <c r="HQ61" s="148">
        <f>IF(HQ60=1,N_PAY-(HQ55-GRACE_M)/FREQ_M+1,0)</f>
        <v>0</v>
      </c>
      <c r="HR61" s="148">
        <f>IF(HR60=1,N_PAY-(HR55-GRACE_M)/FREQ_M+1,0)</f>
        <v>0</v>
      </c>
      <c r="HS61" s="148">
        <f>IF(HS60=1,N_PAY-(HS55-GRACE_M)/FREQ_M+1,0)</f>
        <v>0</v>
      </c>
      <c r="HT61" s="148">
        <f>IF(HT60=1,N_PAY-(HT55-GRACE_M)/FREQ_M+1,0)</f>
        <v>0</v>
      </c>
      <c r="HU61" s="148">
        <f>IF(HU60=1,N_PAY-(HU55-GRACE_M)/FREQ_M+1,0)</f>
        <v>0</v>
      </c>
      <c r="HV61" s="148">
        <f>IF(HV60=1,N_PAY-(HV55-GRACE_M)/FREQ_M+1,0)</f>
        <v>0</v>
      </c>
      <c r="HW61" s="148">
        <f>IF(HW60=1,N_PAY-(HW55-GRACE_M)/FREQ_M+1,0)</f>
        <v>0</v>
      </c>
      <c r="HX61" s="148">
        <f>IF(HX60=1,N_PAY-(HX55-GRACE_M)/FREQ_M+1,0)</f>
        <v>0</v>
      </c>
      <c r="HY61" s="148">
        <f>IF(HY60=1,N_PAY-(HY55-GRACE_M)/FREQ_M+1,0)</f>
        <v>0</v>
      </c>
      <c r="HZ61" s="148">
        <f>IF(HZ60=1,N_PAY-(HZ55-GRACE_M)/FREQ_M+1,0)</f>
        <v>0</v>
      </c>
      <c r="IA61" s="148">
        <f>IF(IA60=1,N_PAY-(IA55-GRACE_M)/FREQ_M+1,0)</f>
        <v>0</v>
      </c>
      <c r="IB61" s="148">
        <f>IF(IB60=1,N_PAY-(IB55-GRACE_M)/FREQ_M+1,0)</f>
        <v>0</v>
      </c>
      <c r="IC61" s="148">
        <f>IF(IC60=1,N_PAY-(IC55-GRACE_M)/FREQ_M+1,0)</f>
        <v>0</v>
      </c>
      <c r="ID61" s="148">
        <f>IF(ID60=1,N_PAY-(ID55-GRACE_M)/FREQ_M+1,0)</f>
        <v>0</v>
      </c>
      <c r="IE61" s="148">
        <f>IF(IE60=1,N_PAY-(IE55-GRACE_M)/FREQ_M+1,0)</f>
        <v>0</v>
      </c>
      <c r="IF61" s="148">
        <f>IF(IF60=1,N_PAY-(IF55-GRACE_M)/FREQ_M+1,0)</f>
        <v>0</v>
      </c>
      <c r="IG61" s="148">
        <f>IF(IG60=1,N_PAY-(IG55-GRACE_M)/FREQ_M+1,0)</f>
        <v>0</v>
      </c>
      <c r="IH61" s="148">
        <f>IF(IH60=1,N_PAY-(IH55-GRACE_M)/FREQ_M+1,0)</f>
        <v>0</v>
      </c>
      <c r="II61" s="148">
        <f>IF(II60=1,N_PAY-(II55-GRACE_M)/FREQ_M+1,0)</f>
        <v>0</v>
      </c>
      <c r="IJ61" s="148">
        <f>IF(IJ60=1,N_PAY-(IJ55-GRACE_M)/FREQ_M+1,0)</f>
        <v>0</v>
      </c>
      <c r="IK61" s="148">
        <f>IF(IK60=1,N_PAY-(IK55-GRACE_M)/FREQ_M+1,0)</f>
        <v>0</v>
      </c>
      <c r="IL61" s="148">
        <f>IF(IL60=1,N_PAY-(IL55-GRACE_M)/FREQ_M+1,0)</f>
        <v>0</v>
      </c>
      <c r="IM61" s="148">
        <f>IF(IM60=1,N_PAY-(IM55-GRACE_M)/FREQ_M+1,0)</f>
        <v>0</v>
      </c>
      <c r="IN61" s="148">
        <f>IF(IN60=1,N_PAY-(IN55-GRACE_M)/FREQ_M+1,0)</f>
        <v>0</v>
      </c>
      <c r="IO61" s="148">
        <f>IF(IO60=1,N_PAY-(IO55-GRACE_M)/FREQ_M+1,0)</f>
        <v>0</v>
      </c>
      <c r="IP61" s="148">
        <f>IF(IP60=1,N_PAY-(IP55-GRACE_M)/FREQ_M+1,0)</f>
        <v>0</v>
      </c>
      <c r="IQ61" s="148">
        <f>IF(IQ60=1,N_PAY-(IQ55-GRACE_M)/FREQ_M+1,0)</f>
        <v>0</v>
      </c>
      <c r="IR61" s="148">
        <f>IF(IR60=1,N_PAY-(IR55-GRACE_M)/FREQ_M+1,0)</f>
        <v>0</v>
      </c>
      <c r="IS61" s="148">
        <f>IF(IS60=1,N_PAY-(IS55-GRACE_M)/FREQ_M+1,0)</f>
        <v>0</v>
      </c>
      <c r="IT61" s="148">
        <f>IF(IT60=1,N_PAY-(IT55-GRACE_M)/FREQ_M+1,0)</f>
        <v>0</v>
      </c>
      <c r="IU61" s="148">
        <f>IF(IU60=1,N_PAY-(IU55-GRACE_M)/FREQ_M+1,0)</f>
        <v>0</v>
      </c>
      <c r="IV61" s="148">
        <f>IF(IV60=1,N_PAY-(IV55-GRACE_M)/FREQ_M+1,0)</f>
        <v>0</v>
      </c>
      <c r="IW61" s="148">
        <f>IF(IW60=1,N_PAY-(IW55-GRACE_M)/FREQ_M+1,0)</f>
        <v>0</v>
      </c>
      <c r="IX61" s="148">
        <f>IF(IX60=1,N_PAY-(IX55-GRACE_M)/FREQ_M+1,0)</f>
        <v>0</v>
      </c>
      <c r="IY61" s="148">
        <f>IF(IY60=1,N_PAY-(IY55-GRACE_M)/FREQ_M+1,0)</f>
        <v>0</v>
      </c>
      <c r="IZ61" s="148">
        <f>IF(IZ60=1,N_PAY-(IZ55-GRACE_M)/FREQ_M+1,0)</f>
        <v>0</v>
      </c>
      <c r="JA61" s="148">
        <f>IF(JA60=1,N_PAY-(JA55-GRACE_M)/FREQ_M+1,0)</f>
        <v>0</v>
      </c>
      <c r="JB61" s="148">
        <f>IF(JB60=1,N_PAY-(JB55-GRACE_M)/FREQ_M+1,0)</f>
        <v>0</v>
      </c>
      <c r="JC61" s="148">
        <f>IF(JC60=1,N_PAY-(JC55-GRACE_M)/FREQ_M+1,0)</f>
        <v>0</v>
      </c>
      <c r="JD61" s="148">
        <f>IF(JD60=1,N_PAY-(JD55-GRACE_M)/FREQ_M+1,0)</f>
        <v>0</v>
      </c>
      <c r="JE61" s="148">
        <f>IF(JE60=1,N_PAY-(JE55-GRACE_M)/FREQ_M+1,0)</f>
        <v>0</v>
      </c>
      <c r="JF61" s="148">
        <f>IF(JF60=1,N_PAY-(JF55-GRACE_M)/FREQ_M+1,0)</f>
        <v>0</v>
      </c>
      <c r="JG61" s="148">
        <f>IF(JG60=1,N_PAY-(JG55-GRACE_M)/FREQ_M+1,0)</f>
        <v>0</v>
      </c>
      <c r="JH61" s="148">
        <f>IF(JH60=1,N_PAY-(JH55-GRACE_M)/FREQ_M+1,0)</f>
        <v>0</v>
      </c>
      <c r="JI61" s="148">
        <f>IF(JI60=1,N_PAY-(JI55-GRACE_M)/FREQ_M+1,0)</f>
        <v>0</v>
      </c>
      <c r="JJ61" s="148">
        <f>IF(JJ60=1,N_PAY-(JJ55-GRACE_M)/FREQ_M+1,0)</f>
        <v>0</v>
      </c>
      <c r="JK61" s="148">
        <f>IF(JK60=1,N_PAY-(JK55-GRACE_M)/FREQ_M+1,0)</f>
        <v>0</v>
      </c>
      <c r="JL61" s="148">
        <f>IF(JL60=1,N_PAY-(JL55-GRACE_M)/FREQ_M+1,0)</f>
        <v>0</v>
      </c>
      <c r="JM61" s="148">
        <f>IF(JM60=1,N_PAY-(JM55-GRACE_M)/FREQ_M+1,0)</f>
        <v>0</v>
      </c>
      <c r="JN61" s="148">
        <f>IF(JN60=1,N_PAY-(JN55-GRACE_M)/FREQ_M+1,0)</f>
        <v>0</v>
      </c>
      <c r="JO61" s="148">
        <f>IF(JO60=1,N_PAY-(JO55-GRACE_M)/FREQ_M+1,0)</f>
        <v>0</v>
      </c>
      <c r="JP61" s="148">
        <f>IF(JP60=1,N_PAY-(JP55-GRACE_M)/FREQ_M+1,0)</f>
        <v>0</v>
      </c>
      <c r="JQ61" s="148">
        <f>IF(JQ60=1,N_PAY-(JQ55-GRACE_M)/FREQ_M+1,0)</f>
        <v>0</v>
      </c>
      <c r="JR61" s="148">
        <f>IF(JR60=1,N_PAY-(JR55-GRACE_M)/FREQ_M+1,0)</f>
        <v>0</v>
      </c>
      <c r="JS61" s="148">
        <f>IF(JS60=1,N_PAY-(JS55-GRACE_M)/FREQ_M+1,0)</f>
        <v>0</v>
      </c>
      <c r="JT61" s="148">
        <f>IF(JT60=1,N_PAY-(JT55-GRACE_M)/FREQ_M+1,0)</f>
        <v>0</v>
      </c>
      <c r="JU61" s="148">
        <f>IF(JU60=1,N_PAY-(JU55-GRACE_M)/FREQ_M+1,0)</f>
        <v>0</v>
      </c>
      <c r="JV61" s="148">
        <f>IF(JV60=1,N_PAY-(JV55-GRACE_M)/FREQ_M+1,0)</f>
        <v>0</v>
      </c>
      <c r="JW61" s="148">
        <f>IF(JW60=1,N_PAY-(JW55-GRACE_M)/FREQ_M+1,0)</f>
        <v>0</v>
      </c>
      <c r="JX61" s="148">
        <f>IF(JX60=1,N_PAY-(JX55-GRACE_M)/FREQ_M+1,0)</f>
        <v>0</v>
      </c>
      <c r="JY61" s="148">
        <f>IF(JY60=1,N_PAY-(JY55-GRACE_M)/FREQ_M+1,0)</f>
        <v>0</v>
      </c>
      <c r="JZ61" s="148">
        <f>IF(JZ60=1,N_PAY-(JZ55-GRACE_M)/FREQ_M+1,0)</f>
        <v>0</v>
      </c>
      <c r="KA61" s="148">
        <f>IF(KA60=1,N_PAY-(KA55-GRACE_M)/FREQ_M+1,0)</f>
        <v>0</v>
      </c>
      <c r="KB61" s="148">
        <f>IF(KB60=1,N_PAY-(KB55-GRACE_M)/FREQ_M+1,0)</f>
        <v>0</v>
      </c>
      <c r="KC61" s="148">
        <f>IF(KC60=1,N_PAY-(KC55-GRACE_M)/FREQ_M+1,0)</f>
        <v>0</v>
      </c>
      <c r="KD61" s="148">
        <f>IF(KD60=1,N_PAY-(KD55-GRACE_M)/FREQ_M+1,0)</f>
        <v>0</v>
      </c>
      <c r="KE61" s="148">
        <f>IF(KE60=1,N_PAY-(KE55-GRACE_M)/FREQ_M+1,0)</f>
        <v>0</v>
      </c>
      <c r="KF61" s="148">
        <f>IF(KF60=1,N_PAY-(KF55-GRACE_M)/FREQ_M+1,0)</f>
        <v>0</v>
      </c>
    </row>
    <row r="62" ht="20" customHeight="1">
      <c r="B62" s="113" t="inlineStr">
        <is>
          <t>Loan balance</t>
        </is>
      </c>
      <c r="C62" s="37" t="inlineStr">
        <is>
          <t>የብድር ቀሪ ሂሳብ</t>
        </is>
      </c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115" t="n"/>
    </row>
    <row r="63">
      <c r="B63" s="36" t="inlineStr">
        <is>
          <t>Opening balance</t>
        </is>
      </c>
      <c r="C63" s="117" t="inlineStr">
        <is>
          <t>ETB</t>
        </is>
      </c>
      <c r="E63" s="173">
        <f>0</f>
        <v>0</v>
      </c>
      <c r="F63" s="170">
        <f>E75</f>
        <v>0</v>
      </c>
      <c r="G63" s="170">
        <f>F75</f>
        <v>0</v>
      </c>
      <c r="H63" s="170">
        <f>G75</f>
        <v>0</v>
      </c>
      <c r="I63" s="170">
        <f>H75</f>
        <v>0</v>
      </c>
      <c r="J63" s="170">
        <f>I75</f>
        <v>0</v>
      </c>
      <c r="K63" s="170">
        <f>J75</f>
        <v>0</v>
      </c>
      <c r="L63" s="170">
        <f>K75</f>
        <v>0</v>
      </c>
      <c r="M63" s="170">
        <f>L75</f>
        <v>0</v>
      </c>
      <c r="N63" s="170">
        <f>M75</f>
        <v>0</v>
      </c>
      <c r="O63" s="170">
        <f>N75</f>
        <v>0</v>
      </c>
      <c r="P63" s="170">
        <f>O75</f>
        <v>0</v>
      </c>
      <c r="Q63" s="170">
        <f>P75</f>
        <v>0</v>
      </c>
      <c r="R63" s="170">
        <f>Q75</f>
        <v>0</v>
      </c>
      <c r="S63" s="170">
        <f>R75</f>
        <v>0</v>
      </c>
      <c r="T63" s="170">
        <f>S75</f>
        <v>0</v>
      </c>
      <c r="U63" s="170">
        <f>T75</f>
        <v>13471888.0912247</v>
      </c>
      <c r="V63" s="170">
        <f>U75</f>
        <v>31787138.0289005</v>
      </c>
      <c r="W63" s="170">
        <f>V75</f>
        <v>49024355.0536887</v>
      </c>
      <c r="X63" s="170">
        <f>W75</f>
        <v>64713884.3523171</v>
      </c>
      <c r="Y63" s="170">
        <f>X75</f>
        <v>78500604.8592205</v>
      </c>
      <c r="Z63" s="170">
        <f>Y75</f>
        <v>90155630.8082329</v>
      </c>
      <c r="AA63" s="170">
        <f>Z75</f>
        <v>99572170.2239885</v>
      </c>
      <c r="AB63" s="170">
        <f>AA75</f>
        <v>106749591.718117</v>
      </c>
      <c r="AC63" s="170">
        <f>AB75</f>
        <v>111770848.284784</v>
      </c>
      <c r="AD63" s="170">
        <f>AC75</f>
        <v>125131216.27925</v>
      </c>
      <c r="AE63" s="170">
        <f>AD75</f>
        <v>126695356.482741</v>
      </c>
      <c r="AF63" s="170">
        <f>AE75</f>
        <v>128279048.438775</v>
      </c>
      <c r="AG63" s="170">
        <f>AF75</f>
        <v>129882536.544259</v>
      </c>
      <c r="AH63" s="170">
        <f>AG75</f>
        <v>131506068.251063</v>
      </c>
      <c r="AI63" s="170">
        <f>AH75</f>
        <v>133149894.104201</v>
      </c>
      <c r="AJ63" s="170">
        <f>AI75</f>
        <v>93857351.3125821</v>
      </c>
      <c r="AK63" s="170">
        <f>AJ75</f>
        <v>93857351.3125821</v>
      </c>
      <c r="AL63" s="170">
        <f>AK75</f>
        <v>93857351.3125821</v>
      </c>
      <c r="AM63" s="170">
        <f>AL75</f>
        <v>93857351.3125821</v>
      </c>
      <c r="AN63" s="170">
        <f>AM75</f>
        <v>93857351.3125821</v>
      </c>
      <c r="AO63" s="170">
        <f>AN75</f>
        <v>93857351.3125821</v>
      </c>
      <c r="AP63" s="170">
        <f>AO75</f>
        <v>93857351.3125821</v>
      </c>
      <c r="AQ63" s="170">
        <f>AP75</f>
        <v>93857351.3125821</v>
      </c>
      <c r="AR63" s="170">
        <f>AQ75</f>
        <v>93857351.3125821</v>
      </c>
      <c r="AS63" s="170">
        <f>AR75</f>
        <v>93857351.3125821</v>
      </c>
      <c r="AT63" s="170">
        <f>AS75</f>
        <v>93857351.3125821</v>
      </c>
      <c r="AU63" s="170">
        <f>AT75</f>
        <v>54412900.1125821</v>
      </c>
      <c r="AV63" s="170">
        <f>AU75</f>
        <v>54412900.1125821</v>
      </c>
      <c r="AW63" s="170">
        <f>AV75</f>
        <v>54412900.1125821</v>
      </c>
      <c r="AX63" s="170">
        <f>AW75</f>
        <v>53674484.1400967</v>
      </c>
      <c r="AY63" s="170">
        <f>AX75</f>
        <v>53674484.1400967</v>
      </c>
      <c r="AZ63" s="170">
        <f>AY75</f>
        <v>53674484.1400967</v>
      </c>
      <c r="BA63" s="170">
        <f>AZ75</f>
        <v>52908377.568643</v>
      </c>
      <c r="BB63" s="170">
        <f>BA75</f>
        <v>52908377.568643</v>
      </c>
      <c r="BC63" s="170">
        <f>BB75</f>
        <v>52908377.568643</v>
      </c>
      <c r="BD63" s="170">
        <f>BC75</f>
        <v>52113542.0007599</v>
      </c>
      <c r="BE63" s="170">
        <f>BD75</f>
        <v>52113542.0007599</v>
      </c>
      <c r="BF63" s="170">
        <f>BE75</f>
        <v>52113542.0007599</v>
      </c>
      <c r="BG63" s="170">
        <f>BF75</f>
        <v>22362969.2190811</v>
      </c>
      <c r="BH63" s="170">
        <f>BG75</f>
        <v>22362969.2190811</v>
      </c>
      <c r="BI63" s="170">
        <f>BH75</f>
        <v>22362969.2190811</v>
      </c>
      <c r="BJ63" s="170">
        <f>BI75</f>
        <v>21989925.6271549</v>
      </c>
      <c r="BK63" s="170">
        <f>BJ75</f>
        <v>21989925.6271549</v>
      </c>
      <c r="BL63" s="170">
        <f>BK75</f>
        <v>21989925.6271549</v>
      </c>
      <c r="BM63" s="170">
        <f>BL75</f>
        <v>21602892.9005314</v>
      </c>
      <c r="BN63" s="170">
        <f>BM75</f>
        <v>21602892.9005314</v>
      </c>
      <c r="BO63" s="170">
        <f>BN75</f>
        <v>21602892.9005314</v>
      </c>
      <c r="BP63" s="170">
        <f>BO75</f>
        <v>21201346.4466596</v>
      </c>
      <c r="BQ63" s="170">
        <f>BP75</f>
        <v>21201346.4466596</v>
      </c>
      <c r="BR63" s="170">
        <f>BQ75</f>
        <v>21201346.4466596</v>
      </c>
      <c r="BS63" s="170">
        <f>BR75</f>
        <v>20784742.0007675</v>
      </c>
      <c r="BT63" s="170">
        <f>BS75</f>
        <v>20784742.0007675</v>
      </c>
      <c r="BU63" s="170">
        <f>BT75</f>
        <v>20784742.0007675</v>
      </c>
      <c r="BV63" s="170">
        <f>BU75</f>
        <v>20352514.8881545</v>
      </c>
      <c r="BW63" s="170">
        <f>BV75</f>
        <v>20352514.8881545</v>
      </c>
      <c r="BX63" s="170">
        <f>BW75</f>
        <v>20352514.8881545</v>
      </c>
      <c r="BY63" s="170">
        <f>BX75</f>
        <v>19904079.2588186</v>
      </c>
      <c r="BZ63" s="170">
        <f>BY75</f>
        <v>19904079.2588186</v>
      </c>
      <c r="CA63" s="170">
        <f>BZ75</f>
        <v>19904079.2588186</v>
      </c>
      <c r="CB63" s="170">
        <f>CA75</f>
        <v>19438827.2933825</v>
      </c>
      <c r="CC63" s="170">
        <f>CB75</f>
        <v>19438827.2933825</v>
      </c>
      <c r="CD63" s="170">
        <f>CC75</f>
        <v>19438827.2933825</v>
      </c>
      <c r="CE63" s="170">
        <f>CD75</f>
        <v>18956128.3792425</v>
      </c>
      <c r="CF63" s="170">
        <f>CE75</f>
        <v>18956128.3792425</v>
      </c>
      <c r="CG63" s="170">
        <f>CF75</f>
        <v>18956128.3792425</v>
      </c>
      <c r="CH63" s="170">
        <f>CG75</f>
        <v>18455328.2558224</v>
      </c>
      <c r="CI63" s="170">
        <f>CH75</f>
        <v>18455328.2558224</v>
      </c>
      <c r="CJ63" s="170">
        <f>CI75</f>
        <v>18455328.2558224</v>
      </c>
      <c r="CK63" s="170">
        <f>CJ75</f>
        <v>17935748.1277739</v>
      </c>
      <c r="CL63" s="170">
        <f>CK75</f>
        <v>17935748.1277739</v>
      </c>
      <c r="CM63" s="170">
        <f>CL75</f>
        <v>17935748.1277739</v>
      </c>
      <c r="CN63" s="170">
        <f>CM75</f>
        <v>17396683.7449237</v>
      </c>
      <c r="CO63" s="170">
        <f>CN75</f>
        <v>17396683.7449237</v>
      </c>
      <c r="CP63" s="170">
        <f>CO75</f>
        <v>17396683.7449237</v>
      </c>
      <c r="CQ63" s="170">
        <f>CP75</f>
        <v>16837404.4477165</v>
      </c>
      <c r="CR63" s="170">
        <f>CQ75</f>
        <v>16837404.4477165</v>
      </c>
      <c r="CS63" s="170">
        <f>CR75</f>
        <v>16837404.4477165</v>
      </c>
      <c r="CT63" s="170">
        <f>CS75</f>
        <v>16257152.1768641</v>
      </c>
      <c r="CU63" s="170">
        <f>CT75</f>
        <v>16257152.1768641</v>
      </c>
      <c r="CV63" s="170">
        <f>CU75</f>
        <v>16257152.1768641</v>
      </c>
      <c r="CW63" s="170">
        <f>CV75</f>
        <v>15655140.4458548</v>
      </c>
      <c r="CX63" s="170">
        <f>CW75</f>
        <v>15655140.4458548</v>
      </c>
      <c r="CY63" s="170">
        <f>CX75</f>
        <v>15655140.4458548</v>
      </c>
      <c r="CZ63" s="170">
        <f>CY75</f>
        <v>15030553.2749326</v>
      </c>
      <c r="DA63" s="170">
        <f>CZ75</f>
        <v>15030553.2749326</v>
      </c>
      <c r="DB63" s="170">
        <f>DA75</f>
        <v>15030553.2749326</v>
      </c>
      <c r="DC63" s="170">
        <f>DB75</f>
        <v>14382544.0851008</v>
      </c>
      <c r="DD63" s="170">
        <f>DC75</f>
        <v>14382544.0851008</v>
      </c>
      <c r="DE63" s="170">
        <f>DD75</f>
        <v>14382544.0851008</v>
      </c>
      <c r="DF63" s="170">
        <f>DE75</f>
        <v>13710234.5506503</v>
      </c>
      <c r="DG63" s="170">
        <f>DF75</f>
        <v>13710234.5506503</v>
      </c>
      <c r="DH63" s="170">
        <f>DG75</f>
        <v>13710234.5506503</v>
      </c>
      <c r="DI63" s="170">
        <f>DH75</f>
        <v>13012713.4086579</v>
      </c>
      <c r="DJ63" s="170">
        <f>DI75</f>
        <v>13012713.4086579</v>
      </c>
      <c r="DK63" s="170">
        <f>DJ75</f>
        <v>13012713.4086579</v>
      </c>
      <c r="DL63" s="170">
        <f>DK75</f>
        <v>12289035.2238408</v>
      </c>
      <c r="DM63" s="170">
        <f>DL75</f>
        <v>12289035.2238408</v>
      </c>
      <c r="DN63" s="170">
        <f>DM75</f>
        <v>12289035.2238408</v>
      </c>
      <c r="DO63" s="170">
        <f>DN75</f>
        <v>11538219.107093</v>
      </c>
      <c r="DP63" s="170">
        <f>DO75</f>
        <v>11538219.107093</v>
      </c>
      <c r="DQ63" s="170">
        <f>DP75</f>
        <v>11538219.107093</v>
      </c>
      <c r="DR63" s="170">
        <f>DQ75</f>
        <v>10759247.3859672</v>
      </c>
      <c r="DS63" s="170">
        <f>DR75</f>
        <v>10759247.3859672</v>
      </c>
      <c r="DT63" s="170">
        <f>DS75</f>
        <v>10759247.3859672</v>
      </c>
      <c r="DU63" s="170">
        <f>DT75</f>
        <v>9951064.22529923</v>
      </c>
      <c r="DV63" s="170">
        <f>DU75</f>
        <v>9951064.22529923</v>
      </c>
      <c r="DW63" s="170">
        <f>DV75</f>
        <v>9951064.22529923</v>
      </c>
      <c r="DX63" s="170">
        <f>DW75</f>
        <v>9112574.19610618</v>
      </c>
      <c r="DY63" s="170">
        <f>DX75</f>
        <v>9112574.19610618</v>
      </c>
      <c r="DZ63" s="170">
        <f>DY75</f>
        <v>9112574.19610618</v>
      </c>
      <c r="EA63" s="170">
        <f>DZ75</f>
        <v>8242640.79081838</v>
      </c>
      <c r="EB63" s="170">
        <f>EA75</f>
        <v>8242640.79081838</v>
      </c>
      <c r="EC63" s="170">
        <f>EB75</f>
        <v>8242640.79081838</v>
      </c>
      <c r="ED63" s="170">
        <f>EC75</f>
        <v>7340084.8828323</v>
      </c>
      <c r="EE63" s="170">
        <f>ED75</f>
        <v>7340084.8828323</v>
      </c>
      <c r="EF63" s="170">
        <f>EE75</f>
        <v>7340084.8828323</v>
      </c>
      <c r="EG63" s="170">
        <f>EF75</f>
        <v>6403683.12829674</v>
      </c>
      <c r="EH63" s="170">
        <f>EG75</f>
        <v>6403683.12829674</v>
      </c>
      <c r="EI63" s="170">
        <f>EH75</f>
        <v>6403683.12829674</v>
      </c>
      <c r="EJ63" s="170">
        <f>EI75</f>
        <v>5432166.30796609</v>
      </c>
      <c r="EK63" s="170">
        <f>EJ75</f>
        <v>5432166.30796609</v>
      </c>
      <c r="EL63" s="170">
        <f>EK75</f>
        <v>5432166.30796609</v>
      </c>
      <c r="EM63" s="170">
        <f>EL75</f>
        <v>4424217.60687305</v>
      </c>
      <c r="EN63" s="170">
        <f>EM75</f>
        <v>4424217.60687305</v>
      </c>
      <c r="EO63" s="170">
        <f>EN75</f>
        <v>4424217.60687305</v>
      </c>
      <c r="EP63" s="170">
        <f>EO75</f>
        <v>3378470.82948901</v>
      </c>
      <c r="EQ63" s="170">
        <f>EP75</f>
        <v>3378470.82948901</v>
      </c>
      <c r="ER63" s="170">
        <f>EQ75</f>
        <v>3378470.82948901</v>
      </c>
      <c r="ES63" s="170">
        <f>ER75</f>
        <v>2293508.54795308</v>
      </c>
      <c r="ET63" s="170">
        <f>ES75</f>
        <v>2293508.54795308</v>
      </c>
      <c r="EU63" s="170">
        <f>ET75</f>
        <v>2293508.54795308</v>
      </c>
      <c r="EV63" s="170">
        <f>EU75</f>
        <v>1167860.18085954</v>
      </c>
      <c r="EW63" s="170">
        <f>EV75</f>
        <v>1167860.18085954</v>
      </c>
      <c r="EX63" s="170">
        <f>EW75</f>
        <v>1167860.18085954</v>
      </c>
      <c r="EY63" s="170">
        <f>EX75</f>
        <v>0</v>
      </c>
      <c r="EZ63" s="170">
        <f>EY75</f>
        <v>0</v>
      </c>
      <c r="FA63" s="170">
        <f>EZ75</f>
        <v>0</v>
      </c>
      <c r="FB63" s="170">
        <f>FA75</f>
        <v>0</v>
      </c>
      <c r="FC63" s="170">
        <f>FB75</f>
        <v>0</v>
      </c>
      <c r="FD63" s="170">
        <f>FC75</f>
        <v>0</v>
      </c>
      <c r="FE63" s="170">
        <f>FD75</f>
        <v>0</v>
      </c>
      <c r="FF63" s="170">
        <f>FE75</f>
        <v>0</v>
      </c>
      <c r="FG63" s="170">
        <f>FF75</f>
        <v>0</v>
      </c>
      <c r="FH63" s="170">
        <f>FG75</f>
        <v>0</v>
      </c>
      <c r="FI63" s="170">
        <f>FH75</f>
        <v>0</v>
      </c>
      <c r="FJ63" s="170">
        <f>FI75</f>
        <v>0</v>
      </c>
      <c r="FK63" s="170">
        <f>FJ75</f>
        <v>0</v>
      </c>
      <c r="FL63" s="170">
        <f>FK75</f>
        <v>0</v>
      </c>
      <c r="FM63" s="170">
        <f>FL75</f>
        <v>0</v>
      </c>
      <c r="FN63" s="170">
        <f>FM75</f>
        <v>0</v>
      </c>
      <c r="FO63" s="170">
        <f>FN75</f>
        <v>0</v>
      </c>
      <c r="FP63" s="170">
        <f>FO75</f>
        <v>0</v>
      </c>
      <c r="FQ63" s="170">
        <f>FP75</f>
        <v>0</v>
      </c>
      <c r="FR63" s="170">
        <f>FQ75</f>
        <v>0</v>
      </c>
      <c r="FS63" s="170">
        <f>FR75</f>
        <v>0</v>
      </c>
      <c r="FT63" s="170">
        <f>FS75</f>
        <v>0</v>
      </c>
      <c r="FU63" s="170">
        <f>FT75</f>
        <v>0</v>
      </c>
      <c r="FV63" s="170">
        <f>FU75</f>
        <v>0</v>
      </c>
      <c r="FW63" s="170">
        <f>FV75</f>
        <v>0</v>
      </c>
      <c r="FX63" s="170">
        <f>FW75</f>
        <v>0</v>
      </c>
      <c r="FY63" s="170">
        <f>FX75</f>
        <v>0</v>
      </c>
      <c r="FZ63" s="170">
        <f>FY75</f>
        <v>0</v>
      </c>
      <c r="GA63" s="170">
        <f>FZ75</f>
        <v>0</v>
      </c>
      <c r="GB63" s="170">
        <f>GA75</f>
        <v>0</v>
      </c>
      <c r="GC63" s="170">
        <f>GB75</f>
        <v>0</v>
      </c>
      <c r="GD63" s="170">
        <f>GC75</f>
        <v>0</v>
      </c>
      <c r="GE63" s="170">
        <f>GD75</f>
        <v>0</v>
      </c>
      <c r="GF63" s="170">
        <f>GE75</f>
        <v>0</v>
      </c>
      <c r="GG63" s="170">
        <f>GF75</f>
        <v>0</v>
      </c>
      <c r="GH63" s="170">
        <f>GG75</f>
        <v>0</v>
      </c>
      <c r="GI63" s="170">
        <f>GH75</f>
        <v>0</v>
      </c>
      <c r="GJ63" s="170">
        <f>GI75</f>
        <v>0</v>
      </c>
      <c r="GK63" s="170">
        <f>GJ75</f>
        <v>0</v>
      </c>
      <c r="GL63" s="170">
        <f>GK75</f>
        <v>0</v>
      </c>
      <c r="GM63" s="170">
        <f>GL75</f>
        <v>0</v>
      </c>
      <c r="GN63" s="170">
        <f>GM75</f>
        <v>0</v>
      </c>
      <c r="GO63" s="170">
        <f>GN75</f>
        <v>0</v>
      </c>
      <c r="GP63" s="170">
        <f>GO75</f>
        <v>0</v>
      </c>
      <c r="GQ63" s="170">
        <f>GP75</f>
        <v>0</v>
      </c>
      <c r="GR63" s="170">
        <f>GQ75</f>
        <v>0</v>
      </c>
      <c r="GS63" s="170">
        <f>GR75</f>
        <v>0</v>
      </c>
      <c r="GT63" s="170">
        <f>GS75</f>
        <v>0</v>
      </c>
      <c r="GU63" s="170">
        <f>GT75</f>
        <v>0</v>
      </c>
      <c r="GV63" s="170">
        <f>GU75</f>
        <v>0</v>
      </c>
      <c r="GW63" s="170">
        <f>GV75</f>
        <v>0</v>
      </c>
      <c r="GX63" s="170">
        <f>GW75</f>
        <v>0</v>
      </c>
      <c r="GY63" s="170">
        <f>GX75</f>
        <v>0</v>
      </c>
      <c r="GZ63" s="170">
        <f>GY75</f>
        <v>0</v>
      </c>
      <c r="HA63" s="170">
        <f>GZ75</f>
        <v>0</v>
      </c>
      <c r="HB63" s="170">
        <f>HA75</f>
        <v>0</v>
      </c>
      <c r="HC63" s="170">
        <f>HB75</f>
        <v>0</v>
      </c>
      <c r="HD63" s="170">
        <f>HC75</f>
        <v>0</v>
      </c>
      <c r="HE63" s="170">
        <f>HD75</f>
        <v>0</v>
      </c>
      <c r="HF63" s="170">
        <f>HE75</f>
        <v>0</v>
      </c>
      <c r="HG63" s="170">
        <f>HF75</f>
        <v>0</v>
      </c>
      <c r="HH63" s="170">
        <f>HG75</f>
        <v>0</v>
      </c>
      <c r="HI63" s="170">
        <f>HH75</f>
        <v>0</v>
      </c>
      <c r="HJ63" s="170">
        <f>HI75</f>
        <v>0</v>
      </c>
      <c r="HK63" s="170">
        <f>HJ75</f>
        <v>0</v>
      </c>
      <c r="HL63" s="170">
        <f>HK75</f>
        <v>0</v>
      </c>
      <c r="HM63" s="170">
        <f>HL75</f>
        <v>0</v>
      </c>
      <c r="HN63" s="170">
        <f>HM75</f>
        <v>0</v>
      </c>
      <c r="HO63" s="170">
        <f>HN75</f>
        <v>0</v>
      </c>
      <c r="HP63" s="170">
        <f>HO75</f>
        <v>0</v>
      </c>
      <c r="HQ63" s="170">
        <f>HP75</f>
        <v>0</v>
      </c>
      <c r="HR63" s="170">
        <f>HQ75</f>
        <v>0</v>
      </c>
      <c r="HS63" s="170">
        <f>HR75</f>
        <v>0</v>
      </c>
      <c r="HT63" s="170">
        <f>HS75</f>
        <v>0</v>
      </c>
      <c r="HU63" s="170">
        <f>HT75</f>
        <v>0</v>
      </c>
      <c r="HV63" s="170">
        <f>HU75</f>
        <v>0</v>
      </c>
      <c r="HW63" s="170">
        <f>HV75</f>
        <v>0</v>
      </c>
      <c r="HX63" s="170">
        <f>HW75</f>
        <v>0</v>
      </c>
      <c r="HY63" s="170">
        <f>HX75</f>
        <v>0</v>
      </c>
      <c r="HZ63" s="170">
        <f>HY75</f>
        <v>0</v>
      </c>
      <c r="IA63" s="170">
        <f>HZ75</f>
        <v>0</v>
      </c>
      <c r="IB63" s="170">
        <f>IA75</f>
        <v>0</v>
      </c>
      <c r="IC63" s="170">
        <f>IB75</f>
        <v>0</v>
      </c>
      <c r="ID63" s="170">
        <f>IC75</f>
        <v>0</v>
      </c>
      <c r="IE63" s="170">
        <f>ID75</f>
        <v>0</v>
      </c>
      <c r="IF63" s="170">
        <f>IE75</f>
        <v>0</v>
      </c>
      <c r="IG63" s="170">
        <f>IF75</f>
        <v>0</v>
      </c>
      <c r="IH63" s="170">
        <f>IG75</f>
        <v>0</v>
      </c>
      <c r="II63" s="170">
        <f>IH75</f>
        <v>0</v>
      </c>
      <c r="IJ63" s="170">
        <f>II75</f>
        <v>0</v>
      </c>
      <c r="IK63" s="170">
        <f>IJ75</f>
        <v>0</v>
      </c>
      <c r="IL63" s="170">
        <f>IK75</f>
        <v>0</v>
      </c>
      <c r="IM63" s="170">
        <f>IL75</f>
        <v>0</v>
      </c>
      <c r="IN63" s="170">
        <f>IM75</f>
        <v>0</v>
      </c>
      <c r="IO63" s="170">
        <f>IN75</f>
        <v>0</v>
      </c>
      <c r="IP63" s="170">
        <f>IO75</f>
        <v>0</v>
      </c>
      <c r="IQ63" s="170">
        <f>IP75</f>
        <v>0</v>
      </c>
      <c r="IR63" s="170">
        <f>IQ75</f>
        <v>0</v>
      </c>
      <c r="IS63" s="170">
        <f>IR75</f>
        <v>0</v>
      </c>
      <c r="IT63" s="170">
        <f>IS75</f>
        <v>0</v>
      </c>
      <c r="IU63" s="170">
        <f>IT75</f>
        <v>0</v>
      </c>
      <c r="IV63" s="170">
        <f>IU75</f>
        <v>0</v>
      </c>
      <c r="IW63" s="170">
        <f>IV75</f>
        <v>0</v>
      </c>
      <c r="IX63" s="170">
        <f>IW75</f>
        <v>0</v>
      </c>
      <c r="IY63" s="170">
        <f>IX75</f>
        <v>0</v>
      </c>
      <c r="IZ63" s="170">
        <f>IY75</f>
        <v>0</v>
      </c>
      <c r="JA63" s="170">
        <f>IZ75</f>
        <v>0</v>
      </c>
      <c r="JB63" s="170">
        <f>JA75</f>
        <v>0</v>
      </c>
      <c r="JC63" s="170">
        <f>JB75</f>
        <v>0</v>
      </c>
      <c r="JD63" s="170">
        <f>JC75</f>
        <v>0</v>
      </c>
      <c r="JE63" s="170">
        <f>JD75</f>
        <v>0</v>
      </c>
      <c r="JF63" s="170">
        <f>JE75</f>
        <v>0</v>
      </c>
      <c r="JG63" s="170">
        <f>JF75</f>
        <v>0</v>
      </c>
      <c r="JH63" s="170">
        <f>JG75</f>
        <v>0</v>
      </c>
      <c r="JI63" s="170">
        <f>JH75</f>
        <v>0</v>
      </c>
      <c r="JJ63" s="170">
        <f>JI75</f>
        <v>0</v>
      </c>
      <c r="JK63" s="170">
        <f>JJ75</f>
        <v>0</v>
      </c>
      <c r="JL63" s="170">
        <f>JK75</f>
        <v>0</v>
      </c>
      <c r="JM63" s="170">
        <f>JL75</f>
        <v>0</v>
      </c>
      <c r="JN63" s="170">
        <f>JM75</f>
        <v>0</v>
      </c>
      <c r="JO63" s="170">
        <f>JN75</f>
        <v>0</v>
      </c>
      <c r="JP63" s="170">
        <f>JO75</f>
        <v>0</v>
      </c>
      <c r="JQ63" s="170">
        <f>JP75</f>
        <v>0</v>
      </c>
      <c r="JR63" s="170">
        <f>JQ75</f>
        <v>0</v>
      </c>
      <c r="JS63" s="170">
        <f>JR75</f>
        <v>0</v>
      </c>
      <c r="JT63" s="170">
        <f>JS75</f>
        <v>0</v>
      </c>
      <c r="JU63" s="170">
        <f>JT75</f>
        <v>0</v>
      </c>
      <c r="JV63" s="170">
        <f>JU75</f>
        <v>0</v>
      </c>
      <c r="JW63" s="170">
        <f>JV75</f>
        <v>0</v>
      </c>
      <c r="JX63" s="170">
        <f>JW75</f>
        <v>0</v>
      </c>
      <c r="JY63" s="170">
        <f>JX75</f>
        <v>0</v>
      </c>
      <c r="JZ63" s="170">
        <f>JY75</f>
        <v>0</v>
      </c>
      <c r="KA63" s="170">
        <f>JZ75</f>
        <v>0</v>
      </c>
      <c r="KB63" s="170">
        <f>KA75</f>
        <v>0</v>
      </c>
      <c r="KC63" s="170">
        <f>KB75</f>
        <v>0</v>
      </c>
      <c r="KD63" s="170">
        <f>KC75</f>
        <v>0</v>
      </c>
      <c r="KE63" s="170">
        <f>KD75</f>
        <v>0</v>
      </c>
      <c r="KF63" s="170">
        <f>KE75</f>
        <v>0</v>
      </c>
    </row>
    <row r="64">
      <c r="B64" s="36" t="inlineStr">
        <is>
          <t>Drawdowns</t>
        </is>
      </c>
      <c r="C64" s="117" t="inlineStr">
        <is>
          <t>ETB</t>
        </is>
      </c>
      <c r="D64" s="169">
        <f>SUM(E64:KF64)</f>
        <v>115614212.233574</v>
      </c>
      <c r="E64" s="170">
        <f>'23_Construction'!E67</f>
        <v>0</v>
      </c>
      <c r="F64" s="170">
        <f>'23_Construction'!F67</f>
        <v>0</v>
      </c>
      <c r="G64" s="170">
        <f>'23_Construction'!G67</f>
        <v>0</v>
      </c>
      <c r="H64" s="170">
        <f>'23_Construction'!H67</f>
        <v>0</v>
      </c>
      <c r="I64" s="170">
        <f>'23_Construction'!I67</f>
        <v>0</v>
      </c>
      <c r="J64" s="170">
        <f>'23_Construction'!J67</f>
        <v>0</v>
      </c>
      <c r="K64" s="170">
        <f>'23_Construction'!K67</f>
        <v>0</v>
      </c>
      <c r="L64" s="170">
        <f>'23_Construction'!L67</f>
        <v>0</v>
      </c>
      <c r="M64" s="170">
        <f>'23_Construction'!M67</f>
        <v>0</v>
      </c>
      <c r="N64" s="170">
        <f>'23_Construction'!N67</f>
        <v>0</v>
      </c>
      <c r="O64" s="170">
        <f>'23_Construction'!O67</f>
        <v>0</v>
      </c>
      <c r="P64" s="170">
        <f>'23_Construction'!P67</f>
        <v>0</v>
      </c>
      <c r="Q64" s="170">
        <f>'23_Construction'!Q67</f>
        <v>0</v>
      </c>
      <c r="R64" s="170">
        <f>'23_Construction'!R67</f>
        <v>0</v>
      </c>
      <c r="S64" s="170">
        <f>'23_Construction'!S67</f>
        <v>0</v>
      </c>
      <c r="T64" s="170">
        <f>'23_Construction'!T67</f>
        <v>13305568.4851602</v>
      </c>
      <c r="U64" s="170">
        <f>'23_Construction'!U67</f>
        <v>17922816.1348499</v>
      </c>
      <c r="V64" s="170">
        <f>'23_Construction'!V67</f>
        <v>16631978.073508</v>
      </c>
      <c r="W64" s="170">
        <f>'23_Construction'!W67</f>
        <v>14890592.4547727</v>
      </c>
      <c r="X64" s="170">
        <f>'23_Construction'!X67</f>
        <v>12817577.2370365</v>
      </c>
      <c r="Y64" s="170">
        <f>'23_Construction'!Y67</f>
        <v>10541993.4698985</v>
      </c>
      <c r="Z64" s="170">
        <f>'23_Construction'!Z67</f>
        <v>8187253.36360757</v>
      </c>
      <c r="AA64" s="170">
        <f>'23_Construction'!AA67</f>
        <v>5859525.30007807</v>
      </c>
      <c r="AB64" s="170">
        <f>'23_Construction'!AB67</f>
        <v>3641369.55080535</v>
      </c>
      <c r="AC64" s="170">
        <f>'23_Construction'!AC67</f>
        <v>11815538.1638576</v>
      </c>
      <c r="AD64" s="170">
        <f>'23_Construction'!AD67</f>
        <v>0</v>
      </c>
      <c r="AE64" s="170">
        <f>'23_Construction'!AE67</f>
        <v>0</v>
      </c>
      <c r="AF64" s="170">
        <f>'23_Construction'!AF67</f>
        <v>0</v>
      </c>
      <c r="AG64" s="170">
        <f>'23_Construction'!AG67</f>
        <v>0</v>
      </c>
      <c r="AH64" s="170">
        <f>'23_Construction'!AH67</f>
        <v>0</v>
      </c>
      <c r="AI64" s="170">
        <f>'23_Construction'!AI67</f>
        <v>0</v>
      </c>
      <c r="AJ64" s="170">
        <f>'23_Construction'!AJ67</f>
        <v>0</v>
      </c>
      <c r="AK64" s="170">
        <f>'23_Construction'!AK67</f>
        <v>0</v>
      </c>
      <c r="AL64" s="170">
        <f>'23_Construction'!AL67</f>
        <v>0</v>
      </c>
      <c r="AM64" s="170">
        <f>'23_Construction'!AM67</f>
        <v>0</v>
      </c>
      <c r="AN64" s="170">
        <f>'23_Construction'!AN67</f>
        <v>0</v>
      </c>
      <c r="AO64" s="170">
        <f>'23_Construction'!AO67</f>
        <v>0</v>
      </c>
      <c r="AP64" s="170">
        <f>'23_Construction'!AP67</f>
        <v>0</v>
      </c>
      <c r="AQ64" s="170">
        <f>'23_Construction'!AQ67</f>
        <v>0</v>
      </c>
      <c r="AR64" s="170">
        <f>'23_Construction'!AR67</f>
        <v>0</v>
      </c>
      <c r="AS64" s="170">
        <f>'23_Construction'!AS67</f>
        <v>0</v>
      </c>
      <c r="AT64" s="170">
        <f>'23_Construction'!AT67</f>
        <v>0</v>
      </c>
      <c r="AU64" s="170">
        <f>'23_Construction'!AU67</f>
        <v>0</v>
      </c>
      <c r="AV64" s="170">
        <f>'23_Construction'!AV67</f>
        <v>0</v>
      </c>
      <c r="AW64" s="170">
        <f>'23_Construction'!AW67</f>
        <v>0</v>
      </c>
      <c r="AX64" s="170">
        <f>'23_Construction'!AX67</f>
        <v>0</v>
      </c>
      <c r="AY64" s="170">
        <f>'23_Construction'!AY67</f>
        <v>0</v>
      </c>
      <c r="AZ64" s="170">
        <f>'23_Construction'!AZ67</f>
        <v>0</v>
      </c>
      <c r="BA64" s="173" t="n">
        <v>0</v>
      </c>
      <c r="BB64" s="173" t="n">
        <v>0</v>
      </c>
      <c r="BC64" s="173" t="n">
        <v>0</v>
      </c>
      <c r="BD64" s="173" t="n">
        <v>0</v>
      </c>
      <c r="BE64" s="173" t="n">
        <v>0</v>
      </c>
      <c r="BF64" s="173" t="n">
        <v>0</v>
      </c>
      <c r="BG64" s="173" t="n">
        <v>0</v>
      </c>
      <c r="BH64" s="173" t="n">
        <v>0</v>
      </c>
      <c r="BI64" s="173" t="n">
        <v>0</v>
      </c>
      <c r="BJ64" s="173" t="n">
        <v>0</v>
      </c>
      <c r="BK64" s="173" t="n">
        <v>0</v>
      </c>
      <c r="BL64" s="173" t="n">
        <v>0</v>
      </c>
      <c r="BM64" s="173" t="n">
        <v>0</v>
      </c>
      <c r="BN64" s="173" t="n">
        <v>0</v>
      </c>
      <c r="BO64" s="173" t="n">
        <v>0</v>
      </c>
      <c r="BP64" s="173" t="n">
        <v>0</v>
      </c>
      <c r="BQ64" s="173" t="n">
        <v>0</v>
      </c>
      <c r="BR64" s="173" t="n">
        <v>0</v>
      </c>
      <c r="BS64" s="173" t="n">
        <v>0</v>
      </c>
      <c r="BT64" s="173" t="n">
        <v>0</v>
      </c>
      <c r="BU64" s="173" t="n">
        <v>0</v>
      </c>
      <c r="BV64" s="173" t="n">
        <v>0</v>
      </c>
      <c r="BW64" s="173" t="n">
        <v>0</v>
      </c>
      <c r="BX64" s="173" t="n">
        <v>0</v>
      </c>
      <c r="BY64" s="173" t="n">
        <v>0</v>
      </c>
      <c r="BZ64" s="173" t="n">
        <v>0</v>
      </c>
      <c r="CA64" s="173" t="n">
        <v>0</v>
      </c>
      <c r="CB64" s="173" t="n">
        <v>0</v>
      </c>
      <c r="CC64" s="173" t="n">
        <v>0</v>
      </c>
      <c r="CD64" s="173" t="n">
        <v>0</v>
      </c>
      <c r="CE64" s="173" t="n">
        <v>0</v>
      </c>
      <c r="CF64" s="173" t="n">
        <v>0</v>
      </c>
      <c r="CG64" s="173" t="n">
        <v>0</v>
      </c>
      <c r="CH64" s="173" t="n">
        <v>0</v>
      </c>
      <c r="CI64" s="173" t="n">
        <v>0</v>
      </c>
      <c r="CJ64" s="173" t="n">
        <v>0</v>
      </c>
      <c r="CK64" s="173" t="n">
        <v>0</v>
      </c>
      <c r="CL64" s="173" t="n">
        <v>0</v>
      </c>
      <c r="CM64" s="173" t="n">
        <v>0</v>
      </c>
      <c r="CN64" s="173" t="n">
        <v>0</v>
      </c>
      <c r="CO64" s="173" t="n">
        <v>0</v>
      </c>
      <c r="CP64" s="173" t="n">
        <v>0</v>
      </c>
      <c r="CQ64" s="173" t="n">
        <v>0</v>
      </c>
      <c r="CR64" s="173" t="n">
        <v>0</v>
      </c>
      <c r="CS64" s="173" t="n">
        <v>0</v>
      </c>
      <c r="CT64" s="173" t="n">
        <v>0</v>
      </c>
      <c r="CU64" s="173" t="n">
        <v>0</v>
      </c>
      <c r="CV64" s="173" t="n">
        <v>0</v>
      </c>
      <c r="CW64" s="173" t="n">
        <v>0</v>
      </c>
      <c r="CX64" s="173" t="n">
        <v>0</v>
      </c>
      <c r="CY64" s="173" t="n">
        <v>0</v>
      </c>
      <c r="CZ64" s="173" t="n">
        <v>0</v>
      </c>
      <c r="DA64" s="173" t="n">
        <v>0</v>
      </c>
      <c r="DB64" s="173" t="n">
        <v>0</v>
      </c>
      <c r="DC64" s="173" t="n">
        <v>0</v>
      </c>
      <c r="DD64" s="173" t="n">
        <v>0</v>
      </c>
      <c r="DE64" s="173" t="n">
        <v>0</v>
      </c>
      <c r="DF64" s="173" t="n">
        <v>0</v>
      </c>
      <c r="DG64" s="173" t="n">
        <v>0</v>
      </c>
      <c r="DH64" s="173" t="n">
        <v>0</v>
      </c>
      <c r="DI64" s="173" t="n">
        <v>0</v>
      </c>
      <c r="DJ64" s="173" t="n">
        <v>0</v>
      </c>
      <c r="DK64" s="173" t="n">
        <v>0</v>
      </c>
      <c r="DL64" s="173" t="n">
        <v>0</v>
      </c>
      <c r="DM64" s="173" t="n">
        <v>0</v>
      </c>
      <c r="DN64" s="173" t="n">
        <v>0</v>
      </c>
      <c r="DO64" s="173" t="n">
        <v>0</v>
      </c>
      <c r="DP64" s="173" t="n">
        <v>0</v>
      </c>
      <c r="DQ64" s="173" t="n">
        <v>0</v>
      </c>
      <c r="DR64" s="173" t="n">
        <v>0</v>
      </c>
      <c r="DS64" s="173" t="n">
        <v>0</v>
      </c>
      <c r="DT64" s="173" t="n">
        <v>0</v>
      </c>
      <c r="DU64" s="173" t="n">
        <v>0</v>
      </c>
      <c r="DV64" s="173" t="n">
        <v>0</v>
      </c>
      <c r="DW64" s="173" t="n">
        <v>0</v>
      </c>
      <c r="DX64" s="173" t="n">
        <v>0</v>
      </c>
      <c r="DY64" s="173" t="n">
        <v>0</v>
      </c>
      <c r="DZ64" s="173" t="n">
        <v>0</v>
      </c>
      <c r="EA64" s="173" t="n">
        <v>0</v>
      </c>
      <c r="EB64" s="173" t="n">
        <v>0</v>
      </c>
      <c r="EC64" s="173" t="n">
        <v>0</v>
      </c>
      <c r="ED64" s="173" t="n">
        <v>0</v>
      </c>
      <c r="EE64" s="173" t="n">
        <v>0</v>
      </c>
      <c r="EF64" s="173" t="n">
        <v>0</v>
      </c>
      <c r="EG64" s="173" t="n">
        <v>0</v>
      </c>
      <c r="EH64" s="173" t="n">
        <v>0</v>
      </c>
      <c r="EI64" s="173" t="n">
        <v>0</v>
      </c>
      <c r="EJ64" s="173" t="n">
        <v>0</v>
      </c>
      <c r="EK64" s="173" t="n">
        <v>0</v>
      </c>
      <c r="EL64" s="173" t="n">
        <v>0</v>
      </c>
      <c r="EM64" s="173" t="n">
        <v>0</v>
      </c>
      <c r="EN64" s="173" t="n">
        <v>0</v>
      </c>
      <c r="EO64" s="173" t="n">
        <v>0</v>
      </c>
      <c r="EP64" s="173" t="n">
        <v>0</v>
      </c>
      <c r="EQ64" s="173" t="n">
        <v>0</v>
      </c>
      <c r="ER64" s="173" t="n">
        <v>0</v>
      </c>
      <c r="ES64" s="173" t="n">
        <v>0</v>
      </c>
      <c r="ET64" s="173" t="n">
        <v>0</v>
      </c>
      <c r="EU64" s="173" t="n">
        <v>0</v>
      </c>
      <c r="EV64" s="173" t="n">
        <v>0</v>
      </c>
      <c r="EW64" s="173" t="n">
        <v>0</v>
      </c>
      <c r="EX64" s="173" t="n">
        <v>0</v>
      </c>
      <c r="EY64" s="173" t="n">
        <v>0</v>
      </c>
      <c r="EZ64" s="173" t="n">
        <v>0</v>
      </c>
      <c r="FA64" s="173" t="n">
        <v>0</v>
      </c>
      <c r="FB64" s="173" t="n">
        <v>0</v>
      </c>
      <c r="FC64" s="173" t="n">
        <v>0</v>
      </c>
      <c r="FD64" s="173" t="n">
        <v>0</v>
      </c>
      <c r="FE64" s="173" t="n">
        <v>0</v>
      </c>
      <c r="FF64" s="173" t="n">
        <v>0</v>
      </c>
      <c r="FG64" s="173" t="n">
        <v>0</v>
      </c>
      <c r="FH64" s="173" t="n">
        <v>0</v>
      </c>
      <c r="FI64" s="173" t="n">
        <v>0</v>
      </c>
      <c r="FJ64" s="173" t="n">
        <v>0</v>
      </c>
      <c r="FK64" s="173" t="n">
        <v>0</v>
      </c>
      <c r="FL64" s="173" t="n">
        <v>0</v>
      </c>
      <c r="FM64" s="173" t="n">
        <v>0</v>
      </c>
      <c r="FN64" s="173" t="n">
        <v>0</v>
      </c>
      <c r="FO64" s="173" t="n">
        <v>0</v>
      </c>
      <c r="FP64" s="173" t="n">
        <v>0</v>
      </c>
      <c r="FQ64" s="173" t="n">
        <v>0</v>
      </c>
      <c r="FR64" s="173" t="n">
        <v>0</v>
      </c>
      <c r="FS64" s="173" t="n">
        <v>0</v>
      </c>
      <c r="FT64" s="173" t="n">
        <v>0</v>
      </c>
      <c r="FU64" s="173" t="n">
        <v>0</v>
      </c>
      <c r="FV64" s="173" t="n">
        <v>0</v>
      </c>
      <c r="FW64" s="173" t="n">
        <v>0</v>
      </c>
      <c r="FX64" s="173" t="n">
        <v>0</v>
      </c>
      <c r="FY64" s="173" t="n">
        <v>0</v>
      </c>
      <c r="FZ64" s="173" t="n">
        <v>0</v>
      </c>
      <c r="GA64" s="173" t="n">
        <v>0</v>
      </c>
      <c r="GB64" s="173" t="n">
        <v>0</v>
      </c>
      <c r="GC64" s="173" t="n">
        <v>0</v>
      </c>
      <c r="GD64" s="173" t="n">
        <v>0</v>
      </c>
      <c r="GE64" s="173" t="n">
        <v>0</v>
      </c>
      <c r="GF64" s="173" t="n">
        <v>0</v>
      </c>
      <c r="GG64" s="173" t="n">
        <v>0</v>
      </c>
      <c r="GH64" s="173" t="n">
        <v>0</v>
      </c>
      <c r="GI64" s="173" t="n">
        <v>0</v>
      </c>
      <c r="GJ64" s="173" t="n">
        <v>0</v>
      </c>
      <c r="GK64" s="173" t="n">
        <v>0</v>
      </c>
      <c r="GL64" s="173" t="n">
        <v>0</v>
      </c>
      <c r="GM64" s="173" t="n">
        <v>0</v>
      </c>
      <c r="GN64" s="173" t="n">
        <v>0</v>
      </c>
      <c r="GO64" s="173" t="n">
        <v>0</v>
      </c>
      <c r="GP64" s="173" t="n">
        <v>0</v>
      </c>
      <c r="GQ64" s="173" t="n">
        <v>0</v>
      </c>
      <c r="GR64" s="173" t="n">
        <v>0</v>
      </c>
      <c r="GS64" s="173" t="n">
        <v>0</v>
      </c>
      <c r="GT64" s="173" t="n">
        <v>0</v>
      </c>
      <c r="GU64" s="173" t="n">
        <v>0</v>
      </c>
      <c r="GV64" s="173" t="n">
        <v>0</v>
      </c>
      <c r="GW64" s="173" t="n">
        <v>0</v>
      </c>
      <c r="GX64" s="173" t="n">
        <v>0</v>
      </c>
      <c r="GY64" s="173" t="n">
        <v>0</v>
      </c>
      <c r="GZ64" s="173" t="n">
        <v>0</v>
      </c>
      <c r="HA64" s="173" t="n">
        <v>0</v>
      </c>
      <c r="HB64" s="173" t="n">
        <v>0</v>
      </c>
      <c r="HC64" s="173" t="n">
        <v>0</v>
      </c>
      <c r="HD64" s="173" t="n">
        <v>0</v>
      </c>
      <c r="HE64" s="173" t="n">
        <v>0</v>
      </c>
      <c r="HF64" s="173" t="n">
        <v>0</v>
      </c>
      <c r="HG64" s="173" t="n">
        <v>0</v>
      </c>
      <c r="HH64" s="173" t="n">
        <v>0</v>
      </c>
      <c r="HI64" s="173" t="n">
        <v>0</v>
      </c>
      <c r="HJ64" s="173" t="n">
        <v>0</v>
      </c>
      <c r="HK64" s="173" t="n">
        <v>0</v>
      </c>
      <c r="HL64" s="173" t="n">
        <v>0</v>
      </c>
      <c r="HM64" s="173" t="n">
        <v>0</v>
      </c>
      <c r="HN64" s="173" t="n">
        <v>0</v>
      </c>
      <c r="HO64" s="173" t="n">
        <v>0</v>
      </c>
      <c r="HP64" s="173" t="n">
        <v>0</v>
      </c>
      <c r="HQ64" s="173" t="n">
        <v>0</v>
      </c>
      <c r="HR64" s="173" t="n">
        <v>0</v>
      </c>
      <c r="HS64" s="173" t="n">
        <v>0</v>
      </c>
      <c r="HT64" s="173" t="n">
        <v>0</v>
      </c>
      <c r="HU64" s="173" t="n">
        <v>0</v>
      </c>
      <c r="HV64" s="173" t="n">
        <v>0</v>
      </c>
      <c r="HW64" s="173" t="n">
        <v>0</v>
      </c>
      <c r="HX64" s="173" t="n">
        <v>0</v>
      </c>
      <c r="HY64" s="173" t="n">
        <v>0</v>
      </c>
      <c r="HZ64" s="173" t="n">
        <v>0</v>
      </c>
      <c r="IA64" s="173" t="n">
        <v>0</v>
      </c>
      <c r="IB64" s="173" t="n">
        <v>0</v>
      </c>
      <c r="IC64" s="173" t="n">
        <v>0</v>
      </c>
      <c r="ID64" s="173" t="n">
        <v>0</v>
      </c>
      <c r="IE64" s="173" t="n">
        <v>0</v>
      </c>
      <c r="IF64" s="173" t="n">
        <v>0</v>
      </c>
      <c r="IG64" s="173" t="n">
        <v>0</v>
      </c>
      <c r="IH64" s="173" t="n">
        <v>0</v>
      </c>
      <c r="II64" s="173" t="n">
        <v>0</v>
      </c>
      <c r="IJ64" s="173" t="n">
        <v>0</v>
      </c>
      <c r="IK64" s="173" t="n">
        <v>0</v>
      </c>
      <c r="IL64" s="173" t="n">
        <v>0</v>
      </c>
      <c r="IM64" s="173" t="n">
        <v>0</v>
      </c>
      <c r="IN64" s="173" t="n">
        <v>0</v>
      </c>
      <c r="IO64" s="173" t="n">
        <v>0</v>
      </c>
      <c r="IP64" s="173" t="n">
        <v>0</v>
      </c>
      <c r="IQ64" s="173" t="n">
        <v>0</v>
      </c>
      <c r="IR64" s="173" t="n">
        <v>0</v>
      </c>
      <c r="IS64" s="173" t="n">
        <v>0</v>
      </c>
      <c r="IT64" s="173" t="n">
        <v>0</v>
      </c>
      <c r="IU64" s="173" t="n">
        <v>0</v>
      </c>
      <c r="IV64" s="173" t="n">
        <v>0</v>
      </c>
      <c r="IW64" s="173" t="n">
        <v>0</v>
      </c>
      <c r="IX64" s="173" t="n">
        <v>0</v>
      </c>
      <c r="IY64" s="173" t="n">
        <v>0</v>
      </c>
      <c r="IZ64" s="173" t="n">
        <v>0</v>
      </c>
      <c r="JA64" s="173" t="n">
        <v>0</v>
      </c>
      <c r="JB64" s="173" t="n">
        <v>0</v>
      </c>
      <c r="JC64" s="173" t="n">
        <v>0</v>
      </c>
      <c r="JD64" s="173" t="n">
        <v>0</v>
      </c>
      <c r="JE64" s="173" t="n">
        <v>0</v>
      </c>
      <c r="JF64" s="173" t="n">
        <v>0</v>
      </c>
      <c r="JG64" s="173" t="n">
        <v>0</v>
      </c>
      <c r="JH64" s="173" t="n">
        <v>0</v>
      </c>
      <c r="JI64" s="173" t="n">
        <v>0</v>
      </c>
      <c r="JJ64" s="173" t="n">
        <v>0</v>
      </c>
      <c r="JK64" s="173" t="n">
        <v>0</v>
      </c>
      <c r="JL64" s="173" t="n">
        <v>0</v>
      </c>
      <c r="JM64" s="173" t="n">
        <v>0</v>
      </c>
      <c r="JN64" s="173" t="n">
        <v>0</v>
      </c>
      <c r="JO64" s="173" t="n">
        <v>0</v>
      </c>
      <c r="JP64" s="173" t="n">
        <v>0</v>
      </c>
      <c r="JQ64" s="173" t="n">
        <v>0</v>
      </c>
      <c r="JR64" s="173" t="n">
        <v>0</v>
      </c>
      <c r="JS64" s="173" t="n">
        <v>0</v>
      </c>
      <c r="JT64" s="173" t="n">
        <v>0</v>
      </c>
      <c r="JU64" s="173" t="n">
        <v>0</v>
      </c>
      <c r="JV64" s="173" t="n">
        <v>0</v>
      </c>
      <c r="JW64" s="173" t="n">
        <v>0</v>
      </c>
      <c r="JX64" s="173" t="n">
        <v>0</v>
      </c>
      <c r="JY64" s="173" t="n">
        <v>0</v>
      </c>
      <c r="JZ64" s="173" t="n">
        <v>0</v>
      </c>
      <c r="KA64" s="173" t="n">
        <v>0</v>
      </c>
      <c r="KB64" s="173" t="n">
        <v>0</v>
      </c>
      <c r="KC64" s="173" t="n">
        <v>0</v>
      </c>
      <c r="KD64" s="173" t="n">
        <v>0</v>
      </c>
      <c r="KE64" s="173" t="n">
        <v>0</v>
      </c>
      <c r="KF64" s="173" t="n">
        <v>0</v>
      </c>
    </row>
    <row r="65">
      <c r="B65" s="36" t="inlineStr">
        <is>
          <t>Interest accrued</t>
        </is>
      </c>
      <c r="C65" s="117" t="inlineStr">
        <is>
          <t>ETB</t>
        </is>
      </c>
      <c r="D65" s="169">
        <f>SUM(E65:KF65)</f>
        <v>56507029.031193</v>
      </c>
      <c r="E65" s="173">
        <f>(E63+E64)*E58/12</f>
        <v>0</v>
      </c>
      <c r="F65" s="173">
        <f>(F63+F64)*F58/12</f>
        <v>0</v>
      </c>
      <c r="G65" s="173">
        <f>(G63+G64)*G58/12</f>
        <v>0</v>
      </c>
      <c r="H65" s="173">
        <f>(H63+H64)*H58/12</f>
        <v>0</v>
      </c>
      <c r="I65" s="173">
        <f>(I63+I64)*I58/12</f>
        <v>0</v>
      </c>
      <c r="J65" s="173">
        <f>(J63+J64)*J58/12</f>
        <v>0</v>
      </c>
      <c r="K65" s="173">
        <f>(K63+K64)*K58/12</f>
        <v>0</v>
      </c>
      <c r="L65" s="173">
        <f>(L63+L64)*L58/12</f>
        <v>0</v>
      </c>
      <c r="M65" s="173">
        <f>(M63+M64)*M58/12</f>
        <v>0</v>
      </c>
      <c r="N65" s="173">
        <f>(N63+N64)*N58/12</f>
        <v>0</v>
      </c>
      <c r="O65" s="173">
        <f>(O63+O64)*O58/12</f>
        <v>0</v>
      </c>
      <c r="P65" s="173">
        <f>(P63+P64)*P58/12</f>
        <v>0</v>
      </c>
      <c r="Q65" s="173">
        <f>(Q63+Q64)*Q58/12</f>
        <v>0</v>
      </c>
      <c r="R65" s="173">
        <f>(R63+R64)*R58/12</f>
        <v>0</v>
      </c>
      <c r="S65" s="173">
        <f>(S63+S64)*S58/12</f>
        <v>0</v>
      </c>
      <c r="T65" s="173">
        <f>(T63+T64)*T58/12</f>
        <v>166319.606064502</v>
      </c>
      <c r="U65" s="173">
        <f>(U63+U64)*U58/12</f>
        <v>392433.802825932</v>
      </c>
      <c r="V65" s="173">
        <f>(V63+V64)*V58/12</f>
        <v>605238.951280107</v>
      </c>
      <c r="W65" s="173">
        <f>(W63+W64)*W58/12</f>
        <v>798936.843855767</v>
      </c>
      <c r="X65" s="173">
        <f>(X63+X64)*X58/12</f>
        <v>969143.269866919</v>
      </c>
      <c r="Y65" s="173">
        <f>(Y63+Y64)*Y58/12</f>
        <v>1113032.47911399</v>
      </c>
      <c r="Z65" s="173">
        <f>(Z63+Z64)*Z58/12</f>
        <v>1229286.05214801</v>
      </c>
      <c r="AA65" s="173">
        <f>(AA63+AA64)*AA58/12</f>
        <v>1317896.19405083</v>
      </c>
      <c r="AB65" s="173">
        <f>(AB63+AB64)*AB58/12</f>
        <v>1379887.01586153</v>
      </c>
      <c r="AC65" s="173">
        <f>(AC63+AC64)*AC58/12</f>
        <v>1544829.83060802</v>
      </c>
      <c r="AD65" s="173">
        <f>(AD63+AD64)*AD58/12</f>
        <v>1564140.20349062</v>
      </c>
      <c r="AE65" s="173">
        <f>(AE63+AE64)*AE58/12</f>
        <v>1583691.95603426</v>
      </c>
      <c r="AF65" s="173">
        <f>(AF63+AF64)*AF58/12</f>
        <v>1603488.10548468</v>
      </c>
      <c r="AG65" s="173">
        <f>(AG63+AG64)*AG58/12</f>
        <v>1623531.70680324</v>
      </c>
      <c r="AH65" s="173">
        <f>(AH63+AH64)*AH58/12</f>
        <v>1643825.85313828</v>
      </c>
      <c r="AI65" s="173">
        <f>(AI63+AI64)*AI58/12</f>
        <v>1664373.67630251</v>
      </c>
      <c r="AJ65" s="173">
        <f>(AJ63+AJ64)*AJ58/12</f>
        <v>1173216.89140728</v>
      </c>
      <c r="AK65" s="173">
        <f>(AK63+AK64)*AK58/12</f>
        <v>1173216.89140728</v>
      </c>
      <c r="AL65" s="173">
        <f>(AL63+AL64)*AL58/12</f>
        <v>1173216.89140728</v>
      </c>
      <c r="AM65" s="173">
        <f>(AM63+AM64)*AM58/12</f>
        <v>1173216.89140728</v>
      </c>
      <c r="AN65" s="173">
        <f>(AN63+AN64)*AN58/12</f>
        <v>1173216.89140728</v>
      </c>
      <c r="AO65" s="173">
        <f>(AO63+AO64)*AO58/12</f>
        <v>1173216.89140728</v>
      </c>
      <c r="AP65" s="173">
        <f>(AP63+AP64)*AP58/12</f>
        <v>1173216.89140728</v>
      </c>
      <c r="AQ65" s="173">
        <f>(AQ63+AQ64)*AQ58/12</f>
        <v>1173216.89140728</v>
      </c>
      <c r="AR65" s="173">
        <f>(AR63+AR64)*AR58/12</f>
        <v>1173216.89140728</v>
      </c>
      <c r="AS65" s="173">
        <f>(AS63+AS64)*AS58/12</f>
        <v>1173216.89140728</v>
      </c>
      <c r="AT65" s="173">
        <f>(AT63+AT64)*AT58/12</f>
        <v>1173216.89140728</v>
      </c>
      <c r="AU65" s="173">
        <f>(AU63+AU64)*AU58/12</f>
        <v>680161.251407276</v>
      </c>
      <c r="AV65" s="173">
        <f>(AV63+AV64)*AV58/12</f>
        <v>680161.251407276</v>
      </c>
      <c r="AW65" s="173">
        <f>(AW63+AW64)*AW58/12</f>
        <v>680161.251407276</v>
      </c>
      <c r="AX65" s="173">
        <f>(AX63+AX64)*AX58/12</f>
        <v>670931.051751208</v>
      </c>
      <c r="AY65" s="173">
        <f>(AY63+AY64)*AY58/12</f>
        <v>670931.051751208</v>
      </c>
      <c r="AZ65" s="173">
        <f>(AZ63+AZ64)*AZ58/12</f>
        <v>670931.051751208</v>
      </c>
      <c r="BA65" s="173">
        <f>(BA63+BA64)*BA58/12</f>
        <v>661354.719608038</v>
      </c>
      <c r="BB65" s="173">
        <f>(BB63+BB64)*BB58/12</f>
        <v>661354.719608038</v>
      </c>
      <c r="BC65" s="173">
        <f>(BC63+BC64)*BC58/12</f>
        <v>661354.719608038</v>
      </c>
      <c r="BD65" s="173">
        <f>(BD63+BD64)*BD58/12</f>
        <v>651419.275009499</v>
      </c>
      <c r="BE65" s="173">
        <f>(BE63+BE64)*BE58/12</f>
        <v>651419.275009499</v>
      </c>
      <c r="BF65" s="173">
        <f>(BF63+BF64)*BF58/12</f>
        <v>651419.275009499</v>
      </c>
      <c r="BG65" s="173">
        <f>(BG63+BG64)*BG58/12</f>
        <v>279537.115238514</v>
      </c>
      <c r="BH65" s="173">
        <f>(BH63+BH64)*BH58/12</f>
        <v>279537.115238514</v>
      </c>
      <c r="BI65" s="173">
        <f>(BI63+BI64)*BI58/12</f>
        <v>279537.115238514</v>
      </c>
      <c r="BJ65" s="173">
        <f>(BJ63+BJ64)*BJ58/12</f>
        <v>274874.070339436</v>
      </c>
      <c r="BK65" s="173">
        <f>(BK63+BK64)*BK58/12</f>
        <v>274874.070339436</v>
      </c>
      <c r="BL65" s="173">
        <f>(BL63+BL64)*BL58/12</f>
        <v>274874.070339436</v>
      </c>
      <c r="BM65" s="173">
        <f>(BM63+BM64)*BM58/12</f>
        <v>270036.161256643</v>
      </c>
      <c r="BN65" s="173">
        <f>(BN63+BN64)*BN58/12</f>
        <v>270036.161256643</v>
      </c>
      <c r="BO65" s="173">
        <f>(BO63+BO64)*BO58/12</f>
        <v>270036.161256643</v>
      </c>
      <c r="BP65" s="173">
        <f>(BP63+BP64)*BP58/12</f>
        <v>265016.830583245</v>
      </c>
      <c r="BQ65" s="173">
        <f>(BQ63+BQ64)*BQ58/12</f>
        <v>265016.830583245</v>
      </c>
      <c r="BR65" s="173">
        <f>(BR63+BR64)*BR58/12</f>
        <v>265016.830583245</v>
      </c>
      <c r="BS65" s="173">
        <f>(BS63+BS64)*BS58/12</f>
        <v>259809.275009594</v>
      </c>
      <c r="BT65" s="173">
        <f>(BT63+BT64)*BT58/12</f>
        <v>259809.275009594</v>
      </c>
      <c r="BU65" s="173">
        <f>(BU63+BU64)*BU58/12</f>
        <v>259809.275009594</v>
      </c>
      <c r="BV65" s="173">
        <f>(BV63+BV64)*BV58/12</f>
        <v>254406.436101932</v>
      </c>
      <c r="BW65" s="173">
        <f>(BW63+BW64)*BW58/12</f>
        <v>254406.436101932</v>
      </c>
      <c r="BX65" s="173">
        <f>(BX63+BX64)*BX58/12</f>
        <v>254406.436101932</v>
      </c>
      <c r="BY65" s="173">
        <f>(BY63+BY64)*BY58/12</f>
        <v>248800.990735232</v>
      </c>
      <c r="BZ65" s="173">
        <f>(BZ63+BZ64)*BZ58/12</f>
        <v>248800.990735232</v>
      </c>
      <c r="CA65" s="173">
        <f>(CA63+CA64)*CA58/12</f>
        <v>248800.990735232</v>
      </c>
      <c r="CB65" s="173">
        <f>(CB63+CB64)*CB58/12</f>
        <v>242985.341167281</v>
      </c>
      <c r="CC65" s="173">
        <f>(CC63+CC64)*CC58/12</f>
        <v>242985.341167281</v>
      </c>
      <c r="CD65" s="173">
        <f>(CD63+CD64)*CD58/12</f>
        <v>242985.341167281</v>
      </c>
      <c r="CE65" s="173">
        <f>(CE63+CE64)*CE58/12</f>
        <v>236951.604740532</v>
      </c>
      <c r="CF65" s="173">
        <f>(CF63+CF64)*CF58/12</f>
        <v>236951.604740532</v>
      </c>
      <c r="CG65" s="173">
        <f>(CG63+CG64)*CG58/12</f>
        <v>236951.604740532</v>
      </c>
      <c r="CH65" s="173">
        <f>(CH63+CH64)*CH58/12</f>
        <v>230691.60319778</v>
      </c>
      <c r="CI65" s="173">
        <f>(CI63+CI64)*CI58/12</f>
        <v>230691.60319778</v>
      </c>
      <c r="CJ65" s="173">
        <f>(CJ63+CJ64)*CJ58/12</f>
        <v>230691.60319778</v>
      </c>
      <c r="CK65" s="173">
        <f>(CK63+CK64)*CK58/12</f>
        <v>224196.851597174</v>
      </c>
      <c r="CL65" s="173">
        <f>(CL63+CL64)*CL58/12</f>
        <v>224196.851597174</v>
      </c>
      <c r="CM65" s="173">
        <f>(CM63+CM64)*CM58/12</f>
        <v>224196.851597174</v>
      </c>
      <c r="CN65" s="173">
        <f>(CN63+CN64)*CN58/12</f>
        <v>217458.546811546</v>
      </c>
      <c r="CO65" s="173">
        <f>(CO63+CO64)*CO58/12</f>
        <v>217458.546811546</v>
      </c>
      <c r="CP65" s="173">
        <f>(CP63+CP64)*CP58/12</f>
        <v>217458.546811546</v>
      </c>
      <c r="CQ65" s="173">
        <f>(CQ63+CQ64)*CQ58/12</f>
        <v>210467.555596457</v>
      </c>
      <c r="CR65" s="173">
        <f>(CR63+CR64)*CR58/12</f>
        <v>210467.555596457</v>
      </c>
      <c r="CS65" s="173">
        <f>(CS63+CS64)*CS58/12</f>
        <v>210467.555596457</v>
      </c>
      <c r="CT65" s="173">
        <f>(CT63+CT64)*CT58/12</f>
        <v>203214.402210802</v>
      </c>
      <c r="CU65" s="173">
        <f>(CU63+CU64)*CU58/12</f>
        <v>203214.402210802</v>
      </c>
      <c r="CV65" s="173">
        <f>(CV63+CV64)*CV58/12</f>
        <v>203214.402210802</v>
      </c>
      <c r="CW65" s="173">
        <f>(CW63+CW64)*CW58/12</f>
        <v>195689.255573185</v>
      </c>
      <c r="CX65" s="173">
        <f>(CX63+CX64)*CX58/12</f>
        <v>195689.255573185</v>
      </c>
      <c r="CY65" s="173">
        <f>(CY63+CY64)*CY58/12</f>
        <v>195689.255573185</v>
      </c>
      <c r="CZ65" s="173">
        <f>(CZ63+CZ64)*CZ58/12</f>
        <v>187881.915936657</v>
      </c>
      <c r="DA65" s="173">
        <f>(DA63+DA64)*DA58/12</f>
        <v>187881.915936657</v>
      </c>
      <c r="DB65" s="173">
        <f>(DB63+DB64)*DB58/12</f>
        <v>187881.915936657</v>
      </c>
      <c r="DC65" s="173">
        <f>(DC63+DC64)*DC58/12</f>
        <v>179781.801063759</v>
      </c>
      <c r="DD65" s="173">
        <f>(DD63+DD64)*DD58/12</f>
        <v>179781.801063759</v>
      </c>
      <c r="DE65" s="173">
        <f>(DE63+DE64)*DE58/12</f>
        <v>179781.801063759</v>
      </c>
      <c r="DF65" s="173">
        <f>(DF63+DF64)*DF58/12</f>
        <v>171377.931883128</v>
      </c>
      <c r="DG65" s="173">
        <f>(DG63+DG64)*DG58/12</f>
        <v>171377.931883128</v>
      </c>
      <c r="DH65" s="173">
        <f>(DH63+DH64)*DH58/12</f>
        <v>171377.931883128</v>
      </c>
      <c r="DI65" s="173">
        <f>(DI63+DI64)*DI58/12</f>
        <v>162658.917608223</v>
      </c>
      <c r="DJ65" s="173">
        <f>(DJ63+DJ64)*DJ58/12</f>
        <v>162658.917608223</v>
      </c>
      <c r="DK65" s="173">
        <f>(DK63+DK64)*DK58/12</f>
        <v>162658.917608223</v>
      </c>
      <c r="DL65" s="173">
        <f>(DL63+DL64)*DL58/12</f>
        <v>153612.94029801</v>
      </c>
      <c r="DM65" s="173">
        <f>(DM63+DM64)*DM58/12</f>
        <v>153612.94029801</v>
      </c>
      <c r="DN65" s="173">
        <f>(DN63+DN64)*DN58/12</f>
        <v>153612.94029801</v>
      </c>
      <c r="DO65" s="173">
        <f>(DO63+DO64)*DO58/12</f>
        <v>144227.738838663</v>
      </c>
      <c r="DP65" s="173">
        <f>(DP63+DP64)*DP58/12</f>
        <v>144227.738838663</v>
      </c>
      <c r="DQ65" s="173">
        <f>(DQ63+DQ64)*DQ58/12</f>
        <v>144227.738838663</v>
      </c>
      <c r="DR65" s="173">
        <f>(DR63+DR64)*DR58/12</f>
        <v>134490.59232459</v>
      </c>
      <c r="DS65" s="173">
        <f>(DS63+DS64)*DS58/12</f>
        <v>134490.59232459</v>
      </c>
      <c r="DT65" s="173">
        <f>(DT63+DT64)*DT58/12</f>
        <v>134490.59232459</v>
      </c>
      <c r="DU65" s="173">
        <f>(DU63+DU64)*DU58/12</f>
        <v>124388.30281624</v>
      </c>
      <c r="DV65" s="173">
        <f>(DV63+DV64)*DV58/12</f>
        <v>124388.30281624</v>
      </c>
      <c r="DW65" s="173">
        <f>(DW63+DW64)*DW58/12</f>
        <v>124388.30281624</v>
      </c>
      <c r="DX65" s="173">
        <f>(DX63+DX64)*DX58/12</f>
        <v>113907.177451327</v>
      </c>
      <c r="DY65" s="173">
        <f>(DY63+DY64)*DY58/12</f>
        <v>113907.177451327</v>
      </c>
      <c r="DZ65" s="173">
        <f>(DZ63+DZ64)*DZ58/12</f>
        <v>113907.177451327</v>
      </c>
      <c r="EA65" s="173">
        <f>(EA63+EA64)*EA58/12</f>
        <v>103033.00988523</v>
      </c>
      <c r="EB65" s="173">
        <f>(EB63+EB64)*EB58/12</f>
        <v>103033.00988523</v>
      </c>
      <c r="EC65" s="173">
        <f>(EC63+EC64)*EC58/12</f>
        <v>103033.00988523</v>
      </c>
      <c r="ED65" s="173">
        <f>(ED63+ED64)*ED58/12</f>
        <v>91751.0610354038</v>
      </c>
      <c r="EE65" s="173">
        <f>(EE63+EE64)*EE58/12</f>
        <v>91751.0610354038</v>
      </c>
      <c r="EF65" s="173">
        <f>(EF63+EF64)*EF58/12</f>
        <v>91751.0610354038</v>
      </c>
      <c r="EG65" s="173">
        <f>(EG63+EG64)*EG58/12</f>
        <v>80046.0391037092</v>
      </c>
      <c r="EH65" s="173">
        <f>(EH63+EH64)*EH58/12</f>
        <v>80046.0391037092</v>
      </c>
      <c r="EI65" s="173">
        <f>(EI63+EI64)*EI58/12</f>
        <v>80046.0391037092</v>
      </c>
      <c r="EJ65" s="173">
        <f>(EJ63+EJ64)*EJ58/12</f>
        <v>67902.0788495761</v>
      </c>
      <c r="EK65" s="173">
        <f>(EK63+EK64)*EK58/12</f>
        <v>67902.0788495761</v>
      </c>
      <c r="EL65" s="173">
        <f>(EL63+EL64)*EL58/12</f>
        <v>67902.0788495761</v>
      </c>
      <c r="EM65" s="173">
        <f>(EM63+EM64)*EM58/12</f>
        <v>55302.7200859131</v>
      </c>
      <c r="EN65" s="173">
        <f>(EN63+EN64)*EN58/12</f>
        <v>55302.7200859131</v>
      </c>
      <c r="EO65" s="173">
        <f>(EO63+EO64)*EO58/12</f>
        <v>55302.7200859131</v>
      </c>
      <c r="EP65" s="173">
        <f>(EP63+EP64)*EP58/12</f>
        <v>42230.8853686126</v>
      </c>
      <c r="EQ65" s="173">
        <f>(EQ63+EQ64)*EQ58/12</f>
        <v>42230.8853686126</v>
      </c>
      <c r="ER65" s="173">
        <f>(ER63+ER64)*ER58/12</f>
        <v>42230.8853686126</v>
      </c>
      <c r="ES65" s="173">
        <f>(ES63+ES64)*ES58/12</f>
        <v>28668.8568494134</v>
      </c>
      <c r="ET65" s="173">
        <f>(ET63+ET64)*ET58/12</f>
        <v>28668.8568494134</v>
      </c>
      <c r="EU65" s="173">
        <f>(EU63+EU64)*EU58/12</f>
        <v>28668.8568494134</v>
      </c>
      <c r="EV65" s="173">
        <f>(EV63+EV64)*EV58/12</f>
        <v>14598.2522607443</v>
      </c>
      <c r="EW65" s="173">
        <f>(EW63+EW64)*EW58/12</f>
        <v>14598.2522607443</v>
      </c>
      <c r="EX65" s="173">
        <f>(EX63+EX64)*EX58/12</f>
        <v>14598.2522607443</v>
      </c>
      <c r="EY65" s="173">
        <f>(EY63+EY64)*EY58/12</f>
        <v>0</v>
      </c>
      <c r="EZ65" s="173">
        <f>(EZ63+EZ64)*EZ58/12</f>
        <v>0</v>
      </c>
      <c r="FA65" s="173">
        <f>(FA63+FA64)*FA58/12</f>
        <v>0</v>
      </c>
      <c r="FB65" s="173">
        <f>(FB63+FB64)*FB58/12</f>
        <v>0</v>
      </c>
      <c r="FC65" s="173">
        <f>(FC63+FC64)*FC58/12</f>
        <v>0</v>
      </c>
      <c r="FD65" s="173">
        <f>(FD63+FD64)*FD58/12</f>
        <v>0</v>
      </c>
      <c r="FE65" s="173">
        <f>(FE63+FE64)*FE58/12</f>
        <v>0</v>
      </c>
      <c r="FF65" s="173">
        <f>(FF63+FF64)*FF58/12</f>
        <v>0</v>
      </c>
      <c r="FG65" s="173">
        <f>(FG63+FG64)*FG58/12</f>
        <v>0</v>
      </c>
      <c r="FH65" s="173">
        <f>(FH63+FH64)*FH58/12</f>
        <v>0</v>
      </c>
      <c r="FI65" s="173">
        <f>(FI63+FI64)*FI58/12</f>
        <v>0</v>
      </c>
      <c r="FJ65" s="173">
        <f>(FJ63+FJ64)*FJ58/12</f>
        <v>0</v>
      </c>
      <c r="FK65" s="173">
        <f>(FK63+FK64)*FK58/12</f>
        <v>0</v>
      </c>
      <c r="FL65" s="173">
        <f>(FL63+FL64)*FL58/12</f>
        <v>0</v>
      </c>
      <c r="FM65" s="173">
        <f>(FM63+FM64)*FM58/12</f>
        <v>0</v>
      </c>
      <c r="FN65" s="173">
        <f>(FN63+FN64)*FN58/12</f>
        <v>0</v>
      </c>
      <c r="FO65" s="173">
        <f>(FO63+FO64)*FO58/12</f>
        <v>0</v>
      </c>
      <c r="FP65" s="173">
        <f>(FP63+FP64)*FP58/12</f>
        <v>0</v>
      </c>
      <c r="FQ65" s="173">
        <f>(FQ63+FQ64)*FQ58/12</f>
        <v>0</v>
      </c>
      <c r="FR65" s="173">
        <f>(FR63+FR64)*FR58/12</f>
        <v>0</v>
      </c>
      <c r="FS65" s="173">
        <f>(FS63+FS64)*FS58/12</f>
        <v>0</v>
      </c>
      <c r="FT65" s="173">
        <f>(FT63+FT64)*FT58/12</f>
        <v>0</v>
      </c>
      <c r="FU65" s="173">
        <f>(FU63+FU64)*FU58/12</f>
        <v>0</v>
      </c>
      <c r="FV65" s="173">
        <f>(FV63+FV64)*FV58/12</f>
        <v>0</v>
      </c>
      <c r="FW65" s="173">
        <f>(FW63+FW64)*FW58/12</f>
        <v>0</v>
      </c>
      <c r="FX65" s="173">
        <f>(FX63+FX64)*FX58/12</f>
        <v>0</v>
      </c>
      <c r="FY65" s="173">
        <f>(FY63+FY64)*FY58/12</f>
        <v>0</v>
      </c>
      <c r="FZ65" s="173">
        <f>(FZ63+FZ64)*FZ58/12</f>
        <v>0</v>
      </c>
      <c r="GA65" s="173">
        <f>(GA63+GA64)*GA58/12</f>
        <v>0</v>
      </c>
      <c r="GB65" s="173">
        <f>(GB63+GB64)*GB58/12</f>
        <v>0</v>
      </c>
      <c r="GC65" s="173">
        <f>(GC63+GC64)*GC58/12</f>
        <v>0</v>
      </c>
      <c r="GD65" s="173">
        <f>(GD63+GD64)*GD58/12</f>
        <v>0</v>
      </c>
      <c r="GE65" s="173">
        <f>(GE63+GE64)*GE58/12</f>
        <v>0</v>
      </c>
      <c r="GF65" s="173">
        <f>(GF63+GF64)*GF58/12</f>
        <v>0</v>
      </c>
      <c r="GG65" s="173">
        <f>(GG63+GG64)*GG58/12</f>
        <v>0</v>
      </c>
      <c r="GH65" s="173">
        <f>(GH63+GH64)*GH58/12</f>
        <v>0</v>
      </c>
      <c r="GI65" s="173">
        <f>(GI63+GI64)*GI58/12</f>
        <v>0</v>
      </c>
      <c r="GJ65" s="173">
        <f>(GJ63+GJ64)*GJ58/12</f>
        <v>0</v>
      </c>
      <c r="GK65" s="173">
        <f>(GK63+GK64)*GK58/12</f>
        <v>0</v>
      </c>
      <c r="GL65" s="173">
        <f>(GL63+GL64)*GL58/12</f>
        <v>0</v>
      </c>
      <c r="GM65" s="173">
        <f>(GM63+GM64)*GM58/12</f>
        <v>0</v>
      </c>
      <c r="GN65" s="173">
        <f>(GN63+GN64)*GN58/12</f>
        <v>0</v>
      </c>
      <c r="GO65" s="173">
        <f>(GO63+GO64)*GO58/12</f>
        <v>0</v>
      </c>
      <c r="GP65" s="173">
        <f>(GP63+GP64)*GP58/12</f>
        <v>0</v>
      </c>
      <c r="GQ65" s="173">
        <f>(GQ63+GQ64)*GQ58/12</f>
        <v>0</v>
      </c>
      <c r="GR65" s="173">
        <f>(GR63+GR64)*GR58/12</f>
        <v>0</v>
      </c>
      <c r="GS65" s="173">
        <f>(GS63+GS64)*GS58/12</f>
        <v>0</v>
      </c>
      <c r="GT65" s="173">
        <f>(GT63+GT64)*GT58/12</f>
        <v>0</v>
      </c>
      <c r="GU65" s="173">
        <f>(GU63+GU64)*GU58/12</f>
        <v>0</v>
      </c>
      <c r="GV65" s="173">
        <f>(GV63+GV64)*GV58/12</f>
        <v>0</v>
      </c>
      <c r="GW65" s="173">
        <f>(GW63+GW64)*GW58/12</f>
        <v>0</v>
      </c>
      <c r="GX65" s="173">
        <f>(GX63+GX64)*GX58/12</f>
        <v>0</v>
      </c>
      <c r="GY65" s="173">
        <f>(GY63+GY64)*GY58/12</f>
        <v>0</v>
      </c>
      <c r="GZ65" s="173">
        <f>(GZ63+GZ64)*GZ58/12</f>
        <v>0</v>
      </c>
      <c r="HA65" s="173">
        <f>(HA63+HA64)*HA58/12</f>
        <v>0</v>
      </c>
      <c r="HB65" s="173">
        <f>(HB63+HB64)*HB58/12</f>
        <v>0</v>
      </c>
      <c r="HC65" s="173">
        <f>(HC63+HC64)*HC58/12</f>
        <v>0</v>
      </c>
      <c r="HD65" s="173">
        <f>(HD63+HD64)*HD58/12</f>
        <v>0</v>
      </c>
      <c r="HE65" s="173">
        <f>(HE63+HE64)*HE58/12</f>
        <v>0</v>
      </c>
      <c r="HF65" s="173">
        <f>(HF63+HF64)*HF58/12</f>
        <v>0</v>
      </c>
      <c r="HG65" s="173">
        <f>(HG63+HG64)*HG58/12</f>
        <v>0</v>
      </c>
      <c r="HH65" s="173">
        <f>(HH63+HH64)*HH58/12</f>
        <v>0</v>
      </c>
      <c r="HI65" s="173">
        <f>(HI63+HI64)*HI58/12</f>
        <v>0</v>
      </c>
      <c r="HJ65" s="173">
        <f>(HJ63+HJ64)*HJ58/12</f>
        <v>0</v>
      </c>
      <c r="HK65" s="173">
        <f>(HK63+HK64)*HK58/12</f>
        <v>0</v>
      </c>
      <c r="HL65" s="173">
        <f>(HL63+HL64)*HL58/12</f>
        <v>0</v>
      </c>
      <c r="HM65" s="173">
        <f>(HM63+HM64)*HM58/12</f>
        <v>0</v>
      </c>
      <c r="HN65" s="173">
        <f>(HN63+HN64)*HN58/12</f>
        <v>0</v>
      </c>
      <c r="HO65" s="173">
        <f>(HO63+HO64)*HO58/12</f>
        <v>0</v>
      </c>
      <c r="HP65" s="173">
        <f>(HP63+HP64)*HP58/12</f>
        <v>0</v>
      </c>
      <c r="HQ65" s="173">
        <f>(HQ63+HQ64)*HQ58/12</f>
        <v>0</v>
      </c>
      <c r="HR65" s="173">
        <f>(HR63+HR64)*HR58/12</f>
        <v>0</v>
      </c>
      <c r="HS65" s="173">
        <f>(HS63+HS64)*HS58/12</f>
        <v>0</v>
      </c>
      <c r="HT65" s="173">
        <f>(HT63+HT64)*HT58/12</f>
        <v>0</v>
      </c>
      <c r="HU65" s="173">
        <f>(HU63+HU64)*HU58/12</f>
        <v>0</v>
      </c>
      <c r="HV65" s="173">
        <f>(HV63+HV64)*HV58/12</f>
        <v>0</v>
      </c>
      <c r="HW65" s="173">
        <f>(HW63+HW64)*HW58/12</f>
        <v>0</v>
      </c>
      <c r="HX65" s="173">
        <f>(HX63+HX64)*HX58/12</f>
        <v>0</v>
      </c>
      <c r="HY65" s="173">
        <f>(HY63+HY64)*HY58/12</f>
        <v>0</v>
      </c>
      <c r="HZ65" s="173">
        <f>(HZ63+HZ64)*HZ58/12</f>
        <v>0</v>
      </c>
      <c r="IA65" s="173">
        <f>(IA63+IA64)*IA58/12</f>
        <v>0</v>
      </c>
      <c r="IB65" s="173">
        <f>(IB63+IB64)*IB58/12</f>
        <v>0</v>
      </c>
      <c r="IC65" s="173">
        <f>(IC63+IC64)*IC58/12</f>
        <v>0</v>
      </c>
      <c r="ID65" s="173">
        <f>(ID63+ID64)*ID58/12</f>
        <v>0</v>
      </c>
      <c r="IE65" s="173">
        <f>(IE63+IE64)*IE58/12</f>
        <v>0</v>
      </c>
      <c r="IF65" s="173">
        <f>(IF63+IF64)*IF58/12</f>
        <v>0</v>
      </c>
      <c r="IG65" s="173">
        <f>(IG63+IG64)*IG58/12</f>
        <v>0</v>
      </c>
      <c r="IH65" s="173">
        <f>(IH63+IH64)*IH58/12</f>
        <v>0</v>
      </c>
      <c r="II65" s="173">
        <f>(II63+II64)*II58/12</f>
        <v>0</v>
      </c>
      <c r="IJ65" s="173">
        <f>(IJ63+IJ64)*IJ58/12</f>
        <v>0</v>
      </c>
      <c r="IK65" s="173">
        <f>(IK63+IK64)*IK58/12</f>
        <v>0</v>
      </c>
      <c r="IL65" s="173">
        <f>(IL63+IL64)*IL58/12</f>
        <v>0</v>
      </c>
      <c r="IM65" s="173">
        <f>(IM63+IM64)*IM58/12</f>
        <v>0</v>
      </c>
      <c r="IN65" s="173">
        <f>(IN63+IN64)*IN58/12</f>
        <v>0</v>
      </c>
      <c r="IO65" s="173">
        <f>(IO63+IO64)*IO58/12</f>
        <v>0</v>
      </c>
      <c r="IP65" s="173">
        <f>(IP63+IP64)*IP58/12</f>
        <v>0</v>
      </c>
      <c r="IQ65" s="173">
        <f>(IQ63+IQ64)*IQ58/12</f>
        <v>0</v>
      </c>
      <c r="IR65" s="173">
        <f>(IR63+IR64)*IR58/12</f>
        <v>0</v>
      </c>
      <c r="IS65" s="173">
        <f>(IS63+IS64)*IS58/12</f>
        <v>0</v>
      </c>
      <c r="IT65" s="173">
        <f>(IT63+IT64)*IT58/12</f>
        <v>0</v>
      </c>
      <c r="IU65" s="173">
        <f>(IU63+IU64)*IU58/12</f>
        <v>0</v>
      </c>
      <c r="IV65" s="173">
        <f>(IV63+IV64)*IV58/12</f>
        <v>0</v>
      </c>
      <c r="IW65" s="173">
        <f>(IW63+IW64)*IW58/12</f>
        <v>0</v>
      </c>
      <c r="IX65" s="173">
        <f>(IX63+IX64)*IX58/12</f>
        <v>0</v>
      </c>
      <c r="IY65" s="173">
        <f>(IY63+IY64)*IY58/12</f>
        <v>0</v>
      </c>
      <c r="IZ65" s="173">
        <f>(IZ63+IZ64)*IZ58/12</f>
        <v>0</v>
      </c>
      <c r="JA65" s="173">
        <f>(JA63+JA64)*JA58/12</f>
        <v>0</v>
      </c>
      <c r="JB65" s="173">
        <f>(JB63+JB64)*JB58/12</f>
        <v>0</v>
      </c>
      <c r="JC65" s="173">
        <f>(JC63+JC64)*JC58/12</f>
        <v>0</v>
      </c>
      <c r="JD65" s="173">
        <f>(JD63+JD64)*JD58/12</f>
        <v>0</v>
      </c>
      <c r="JE65" s="173">
        <f>(JE63+JE64)*JE58/12</f>
        <v>0</v>
      </c>
      <c r="JF65" s="173">
        <f>(JF63+JF64)*JF58/12</f>
        <v>0</v>
      </c>
      <c r="JG65" s="173">
        <f>(JG63+JG64)*JG58/12</f>
        <v>0</v>
      </c>
      <c r="JH65" s="173">
        <f>(JH63+JH64)*JH58/12</f>
        <v>0</v>
      </c>
      <c r="JI65" s="173">
        <f>(JI63+JI64)*JI58/12</f>
        <v>0</v>
      </c>
      <c r="JJ65" s="173">
        <f>(JJ63+JJ64)*JJ58/12</f>
        <v>0</v>
      </c>
      <c r="JK65" s="173">
        <f>(JK63+JK64)*JK58/12</f>
        <v>0</v>
      </c>
      <c r="JL65" s="173">
        <f>(JL63+JL64)*JL58/12</f>
        <v>0</v>
      </c>
      <c r="JM65" s="173">
        <f>(JM63+JM64)*JM58/12</f>
        <v>0</v>
      </c>
      <c r="JN65" s="173">
        <f>(JN63+JN64)*JN58/12</f>
        <v>0</v>
      </c>
      <c r="JO65" s="173">
        <f>(JO63+JO64)*JO58/12</f>
        <v>0</v>
      </c>
      <c r="JP65" s="173">
        <f>(JP63+JP64)*JP58/12</f>
        <v>0</v>
      </c>
      <c r="JQ65" s="173">
        <f>(JQ63+JQ64)*JQ58/12</f>
        <v>0</v>
      </c>
      <c r="JR65" s="173">
        <f>(JR63+JR64)*JR58/12</f>
        <v>0</v>
      </c>
      <c r="JS65" s="173">
        <f>(JS63+JS64)*JS58/12</f>
        <v>0</v>
      </c>
      <c r="JT65" s="173">
        <f>(JT63+JT64)*JT58/12</f>
        <v>0</v>
      </c>
      <c r="JU65" s="173">
        <f>(JU63+JU64)*JU58/12</f>
        <v>0</v>
      </c>
      <c r="JV65" s="173">
        <f>(JV63+JV64)*JV58/12</f>
        <v>0</v>
      </c>
      <c r="JW65" s="173">
        <f>(JW63+JW64)*JW58/12</f>
        <v>0</v>
      </c>
      <c r="JX65" s="173">
        <f>(JX63+JX64)*JX58/12</f>
        <v>0</v>
      </c>
      <c r="JY65" s="173">
        <f>(JY63+JY64)*JY58/12</f>
        <v>0</v>
      </c>
      <c r="JZ65" s="173">
        <f>(JZ63+JZ64)*JZ58/12</f>
        <v>0</v>
      </c>
      <c r="KA65" s="173">
        <f>(KA63+KA64)*KA58/12</f>
        <v>0</v>
      </c>
      <c r="KB65" s="173">
        <f>(KB63+KB64)*KB58/12</f>
        <v>0</v>
      </c>
      <c r="KC65" s="173">
        <f>(KC63+KC64)*KC58/12</f>
        <v>0</v>
      </c>
      <c r="KD65" s="173">
        <f>(KD63+KD64)*KD58/12</f>
        <v>0</v>
      </c>
      <c r="KE65" s="173">
        <f>(KE63+KE64)*KE58/12</f>
        <v>0</v>
      </c>
      <c r="KF65" s="173">
        <f>(KF63+KF64)*KF58/12</f>
        <v>0</v>
      </c>
    </row>
    <row r="66">
      <c r="B66" s="36" t="inlineStr">
        <is>
          <t>Interest capitalised – construction (IDC)</t>
        </is>
      </c>
      <c r="C66" s="117" t="inlineStr">
        <is>
          <t>ETB</t>
        </is>
      </c>
      <c r="D66" s="169">
        <f>SUM(E66:KF66)</f>
        <v>17535681.8706267</v>
      </c>
      <c r="E66" s="173">
        <f>IF(E54=1,E65,0)</f>
        <v>0</v>
      </c>
      <c r="F66" s="173">
        <f>IF(F54=1,F65,0)</f>
        <v>0</v>
      </c>
      <c r="G66" s="173">
        <f>IF(G54=1,G65,0)</f>
        <v>0</v>
      </c>
      <c r="H66" s="173">
        <f>IF(H54=1,H65,0)</f>
        <v>0</v>
      </c>
      <c r="I66" s="173">
        <f>IF(I54=1,I65,0)</f>
        <v>0</v>
      </c>
      <c r="J66" s="173">
        <f>IF(J54=1,J65,0)</f>
        <v>0</v>
      </c>
      <c r="K66" s="173">
        <f>IF(K54=1,K65,0)</f>
        <v>0</v>
      </c>
      <c r="L66" s="173">
        <f>IF(L54=1,L65,0)</f>
        <v>0</v>
      </c>
      <c r="M66" s="173">
        <f>IF(M54=1,M65,0)</f>
        <v>0</v>
      </c>
      <c r="N66" s="173">
        <f>IF(N54=1,N65,0)</f>
        <v>0</v>
      </c>
      <c r="O66" s="173">
        <f>IF(O54=1,O65,0)</f>
        <v>0</v>
      </c>
      <c r="P66" s="173">
        <f>IF(P54=1,P65,0)</f>
        <v>0</v>
      </c>
      <c r="Q66" s="173">
        <f>IF(Q54=1,Q65,0)</f>
        <v>0</v>
      </c>
      <c r="R66" s="173">
        <f>IF(R54=1,R65,0)</f>
        <v>0</v>
      </c>
      <c r="S66" s="173">
        <f>IF(S54=1,S65,0)</f>
        <v>0</v>
      </c>
      <c r="T66" s="173">
        <f>IF(T54=1,T65,0)</f>
        <v>166319.606064502</v>
      </c>
      <c r="U66" s="173">
        <f>IF(U54=1,U65,0)</f>
        <v>392433.802825932</v>
      </c>
      <c r="V66" s="173">
        <f>IF(V54=1,V65,0)</f>
        <v>605238.951280107</v>
      </c>
      <c r="W66" s="173">
        <f>IF(W54=1,W65,0)</f>
        <v>798936.843855767</v>
      </c>
      <c r="X66" s="173">
        <f>IF(X54=1,X65,0)</f>
        <v>969143.269866919</v>
      </c>
      <c r="Y66" s="173">
        <f>IF(Y54=1,Y65,0)</f>
        <v>1113032.47911399</v>
      </c>
      <c r="Z66" s="173">
        <f>IF(Z54=1,Z65,0)</f>
        <v>1229286.05214801</v>
      </c>
      <c r="AA66" s="173">
        <f>IF(AA54=1,AA65,0)</f>
        <v>1317896.19405083</v>
      </c>
      <c r="AB66" s="173">
        <f>IF(AB54=1,AB65,0)</f>
        <v>1379887.01586153</v>
      </c>
      <c r="AC66" s="173">
        <f>IF(AC54=1,AC65,0)</f>
        <v>1544829.83060802</v>
      </c>
      <c r="AD66" s="173">
        <f>IF(AD54=1,AD65,0)</f>
        <v>1564140.20349062</v>
      </c>
      <c r="AE66" s="173">
        <f>IF(AE54=1,AE65,0)</f>
        <v>1583691.95603426</v>
      </c>
      <c r="AF66" s="173">
        <f>IF(AF54=1,AF65,0)</f>
        <v>1603488.10548468</v>
      </c>
      <c r="AG66" s="173">
        <f>IF(AG54=1,AG65,0)</f>
        <v>1623531.70680324</v>
      </c>
      <c r="AH66" s="173">
        <f>IF(AH54=1,AH65,0)</f>
        <v>1643825.85313828</v>
      </c>
      <c r="AI66" s="173">
        <f>IF(AI54=1,AI65,0)</f>
        <v>0</v>
      </c>
      <c r="AJ66" s="173">
        <f>IF(AJ54=1,AJ65,0)</f>
        <v>0</v>
      </c>
      <c r="AK66" s="173">
        <f>IF(AK54=1,AK65,0)</f>
        <v>0</v>
      </c>
      <c r="AL66" s="173">
        <f>IF(AL54=1,AL65,0)</f>
        <v>0</v>
      </c>
      <c r="AM66" s="173">
        <f>IF(AM54=1,AM65,0)</f>
        <v>0</v>
      </c>
      <c r="AN66" s="173">
        <f>IF(AN54=1,AN65,0)</f>
        <v>0</v>
      </c>
      <c r="AO66" s="173">
        <f>IF(AO54=1,AO65,0)</f>
        <v>0</v>
      </c>
      <c r="AP66" s="173">
        <f>IF(AP54=1,AP65,0)</f>
        <v>0</v>
      </c>
      <c r="AQ66" s="173">
        <f>IF(AQ54=1,AQ65,0)</f>
        <v>0</v>
      </c>
      <c r="AR66" s="173">
        <f>IF(AR54=1,AR65,0)</f>
        <v>0</v>
      </c>
      <c r="AS66" s="173">
        <f>IF(AS54=1,AS65,0)</f>
        <v>0</v>
      </c>
      <c r="AT66" s="173">
        <f>IF(AT54=1,AT65,0)</f>
        <v>0</v>
      </c>
      <c r="AU66" s="173">
        <f>IF(AU54=1,AU65,0)</f>
        <v>0</v>
      </c>
      <c r="AV66" s="173">
        <f>IF(AV54=1,AV65,0)</f>
        <v>0</v>
      </c>
      <c r="AW66" s="173">
        <f>IF(AW54=1,AW65,0)</f>
        <v>0</v>
      </c>
      <c r="AX66" s="173">
        <f>IF(AX54=1,AX65,0)</f>
        <v>0</v>
      </c>
      <c r="AY66" s="173">
        <f>IF(AY54=1,AY65,0)</f>
        <v>0</v>
      </c>
      <c r="AZ66" s="173">
        <f>IF(AZ54=1,AZ65,0)</f>
        <v>0</v>
      </c>
      <c r="BA66" s="173">
        <f>IF(BA54=1,BA65,0)</f>
        <v>0</v>
      </c>
      <c r="BB66" s="173">
        <f>IF(BB54=1,BB65,0)</f>
        <v>0</v>
      </c>
      <c r="BC66" s="173">
        <f>IF(BC54=1,BC65,0)</f>
        <v>0</v>
      </c>
      <c r="BD66" s="173">
        <f>IF(BD54=1,BD65,0)</f>
        <v>0</v>
      </c>
      <c r="BE66" s="173">
        <f>IF(BE54=1,BE65,0)</f>
        <v>0</v>
      </c>
      <c r="BF66" s="173">
        <f>IF(BF54=1,BF65,0)</f>
        <v>0</v>
      </c>
      <c r="BG66" s="173">
        <f>IF(BG54=1,BG65,0)</f>
        <v>0</v>
      </c>
      <c r="BH66" s="173">
        <f>IF(BH54=1,BH65,0)</f>
        <v>0</v>
      </c>
      <c r="BI66" s="173">
        <f>IF(BI54=1,BI65,0)</f>
        <v>0</v>
      </c>
      <c r="BJ66" s="173">
        <f>IF(BJ54=1,BJ65,0)</f>
        <v>0</v>
      </c>
      <c r="BK66" s="173">
        <f>IF(BK54=1,BK65,0)</f>
        <v>0</v>
      </c>
      <c r="BL66" s="173">
        <f>IF(BL54=1,BL65,0)</f>
        <v>0</v>
      </c>
      <c r="BM66" s="173">
        <f>IF(BM54=1,BM65,0)</f>
        <v>0</v>
      </c>
      <c r="BN66" s="173">
        <f>IF(BN54=1,BN65,0)</f>
        <v>0</v>
      </c>
      <c r="BO66" s="173">
        <f>IF(BO54=1,BO65,0)</f>
        <v>0</v>
      </c>
      <c r="BP66" s="173">
        <f>IF(BP54=1,BP65,0)</f>
        <v>0</v>
      </c>
      <c r="BQ66" s="173">
        <f>IF(BQ54=1,BQ65,0)</f>
        <v>0</v>
      </c>
      <c r="BR66" s="173">
        <f>IF(BR54=1,BR65,0)</f>
        <v>0</v>
      </c>
      <c r="BS66" s="173">
        <f>IF(BS54=1,BS65,0)</f>
        <v>0</v>
      </c>
      <c r="BT66" s="173">
        <f>IF(BT54=1,BT65,0)</f>
        <v>0</v>
      </c>
      <c r="BU66" s="173">
        <f>IF(BU54=1,BU65,0)</f>
        <v>0</v>
      </c>
      <c r="BV66" s="173">
        <f>IF(BV54=1,BV65,0)</f>
        <v>0</v>
      </c>
      <c r="BW66" s="173">
        <f>IF(BW54=1,BW65,0)</f>
        <v>0</v>
      </c>
      <c r="BX66" s="173">
        <f>IF(BX54=1,BX65,0)</f>
        <v>0</v>
      </c>
      <c r="BY66" s="173">
        <f>IF(BY54=1,BY65,0)</f>
        <v>0</v>
      </c>
      <c r="BZ66" s="173">
        <f>IF(BZ54=1,BZ65,0)</f>
        <v>0</v>
      </c>
      <c r="CA66" s="173">
        <f>IF(CA54=1,CA65,0)</f>
        <v>0</v>
      </c>
      <c r="CB66" s="173">
        <f>IF(CB54=1,CB65,0)</f>
        <v>0</v>
      </c>
      <c r="CC66" s="173">
        <f>IF(CC54=1,CC65,0)</f>
        <v>0</v>
      </c>
      <c r="CD66" s="173">
        <f>IF(CD54=1,CD65,0)</f>
        <v>0</v>
      </c>
      <c r="CE66" s="173">
        <f>IF(CE54=1,CE65,0)</f>
        <v>0</v>
      </c>
      <c r="CF66" s="173">
        <f>IF(CF54=1,CF65,0)</f>
        <v>0</v>
      </c>
      <c r="CG66" s="173">
        <f>IF(CG54=1,CG65,0)</f>
        <v>0</v>
      </c>
      <c r="CH66" s="173">
        <f>IF(CH54=1,CH65,0)</f>
        <v>0</v>
      </c>
      <c r="CI66" s="173">
        <f>IF(CI54=1,CI65,0)</f>
        <v>0</v>
      </c>
      <c r="CJ66" s="173">
        <f>IF(CJ54=1,CJ65,0)</f>
        <v>0</v>
      </c>
      <c r="CK66" s="173">
        <f>IF(CK54=1,CK65,0)</f>
        <v>0</v>
      </c>
      <c r="CL66" s="173">
        <f>IF(CL54=1,CL65,0)</f>
        <v>0</v>
      </c>
      <c r="CM66" s="173">
        <f>IF(CM54=1,CM65,0)</f>
        <v>0</v>
      </c>
      <c r="CN66" s="173">
        <f>IF(CN54=1,CN65,0)</f>
        <v>0</v>
      </c>
      <c r="CO66" s="173">
        <f>IF(CO54=1,CO65,0)</f>
        <v>0</v>
      </c>
      <c r="CP66" s="173">
        <f>IF(CP54=1,CP65,0)</f>
        <v>0</v>
      </c>
      <c r="CQ66" s="173">
        <f>IF(CQ54=1,CQ65,0)</f>
        <v>0</v>
      </c>
      <c r="CR66" s="173">
        <f>IF(CR54=1,CR65,0)</f>
        <v>0</v>
      </c>
      <c r="CS66" s="173">
        <f>IF(CS54=1,CS65,0)</f>
        <v>0</v>
      </c>
      <c r="CT66" s="173">
        <f>IF(CT54=1,CT65,0)</f>
        <v>0</v>
      </c>
      <c r="CU66" s="173">
        <f>IF(CU54=1,CU65,0)</f>
        <v>0</v>
      </c>
      <c r="CV66" s="173">
        <f>IF(CV54=1,CV65,0)</f>
        <v>0</v>
      </c>
      <c r="CW66" s="173">
        <f>IF(CW54=1,CW65,0)</f>
        <v>0</v>
      </c>
      <c r="CX66" s="173">
        <f>IF(CX54=1,CX65,0)</f>
        <v>0</v>
      </c>
      <c r="CY66" s="173">
        <f>IF(CY54=1,CY65,0)</f>
        <v>0</v>
      </c>
      <c r="CZ66" s="173">
        <f>IF(CZ54=1,CZ65,0)</f>
        <v>0</v>
      </c>
      <c r="DA66" s="173">
        <f>IF(DA54=1,DA65,0)</f>
        <v>0</v>
      </c>
      <c r="DB66" s="173">
        <f>IF(DB54=1,DB65,0)</f>
        <v>0</v>
      </c>
      <c r="DC66" s="173">
        <f>IF(DC54=1,DC65,0)</f>
        <v>0</v>
      </c>
      <c r="DD66" s="173">
        <f>IF(DD54=1,DD65,0)</f>
        <v>0</v>
      </c>
      <c r="DE66" s="173">
        <f>IF(DE54=1,DE65,0)</f>
        <v>0</v>
      </c>
      <c r="DF66" s="173">
        <f>IF(DF54=1,DF65,0)</f>
        <v>0</v>
      </c>
      <c r="DG66" s="173">
        <f>IF(DG54=1,DG65,0)</f>
        <v>0</v>
      </c>
      <c r="DH66" s="173">
        <f>IF(DH54=1,DH65,0)</f>
        <v>0</v>
      </c>
      <c r="DI66" s="173">
        <f>IF(DI54=1,DI65,0)</f>
        <v>0</v>
      </c>
      <c r="DJ66" s="173">
        <f>IF(DJ54=1,DJ65,0)</f>
        <v>0</v>
      </c>
      <c r="DK66" s="173">
        <f>IF(DK54=1,DK65,0)</f>
        <v>0</v>
      </c>
      <c r="DL66" s="173">
        <f>IF(DL54=1,DL65,0)</f>
        <v>0</v>
      </c>
      <c r="DM66" s="173">
        <f>IF(DM54=1,DM65,0)</f>
        <v>0</v>
      </c>
      <c r="DN66" s="173">
        <f>IF(DN54=1,DN65,0)</f>
        <v>0</v>
      </c>
      <c r="DO66" s="173">
        <f>IF(DO54=1,DO65,0)</f>
        <v>0</v>
      </c>
      <c r="DP66" s="173">
        <f>IF(DP54=1,DP65,0)</f>
        <v>0</v>
      </c>
      <c r="DQ66" s="173">
        <f>IF(DQ54=1,DQ65,0)</f>
        <v>0</v>
      </c>
      <c r="DR66" s="173">
        <f>IF(DR54=1,DR65,0)</f>
        <v>0</v>
      </c>
      <c r="DS66" s="173">
        <f>IF(DS54=1,DS65,0)</f>
        <v>0</v>
      </c>
      <c r="DT66" s="173">
        <f>IF(DT54=1,DT65,0)</f>
        <v>0</v>
      </c>
      <c r="DU66" s="173">
        <f>IF(DU54=1,DU65,0)</f>
        <v>0</v>
      </c>
      <c r="DV66" s="173">
        <f>IF(DV54=1,DV65,0)</f>
        <v>0</v>
      </c>
      <c r="DW66" s="173">
        <f>IF(DW54=1,DW65,0)</f>
        <v>0</v>
      </c>
      <c r="DX66" s="173">
        <f>IF(DX54=1,DX65,0)</f>
        <v>0</v>
      </c>
      <c r="DY66" s="173">
        <f>IF(DY54=1,DY65,0)</f>
        <v>0</v>
      </c>
      <c r="DZ66" s="173">
        <f>IF(DZ54=1,DZ65,0)</f>
        <v>0</v>
      </c>
      <c r="EA66" s="173">
        <f>IF(EA54=1,EA65,0)</f>
        <v>0</v>
      </c>
      <c r="EB66" s="173">
        <f>IF(EB54=1,EB65,0)</f>
        <v>0</v>
      </c>
      <c r="EC66" s="173">
        <f>IF(EC54=1,EC65,0)</f>
        <v>0</v>
      </c>
      <c r="ED66" s="173">
        <f>IF(ED54=1,ED65,0)</f>
        <v>0</v>
      </c>
      <c r="EE66" s="173">
        <f>IF(EE54=1,EE65,0)</f>
        <v>0</v>
      </c>
      <c r="EF66" s="173">
        <f>IF(EF54=1,EF65,0)</f>
        <v>0</v>
      </c>
      <c r="EG66" s="173">
        <f>IF(EG54=1,EG65,0)</f>
        <v>0</v>
      </c>
      <c r="EH66" s="173">
        <f>IF(EH54=1,EH65,0)</f>
        <v>0</v>
      </c>
      <c r="EI66" s="173">
        <f>IF(EI54=1,EI65,0)</f>
        <v>0</v>
      </c>
      <c r="EJ66" s="173">
        <f>IF(EJ54=1,EJ65,0)</f>
        <v>0</v>
      </c>
      <c r="EK66" s="173">
        <f>IF(EK54=1,EK65,0)</f>
        <v>0</v>
      </c>
      <c r="EL66" s="173">
        <f>IF(EL54=1,EL65,0)</f>
        <v>0</v>
      </c>
      <c r="EM66" s="173">
        <f>IF(EM54=1,EM65,0)</f>
        <v>0</v>
      </c>
      <c r="EN66" s="173">
        <f>IF(EN54=1,EN65,0)</f>
        <v>0</v>
      </c>
      <c r="EO66" s="173">
        <f>IF(EO54=1,EO65,0)</f>
        <v>0</v>
      </c>
      <c r="EP66" s="173">
        <f>IF(EP54=1,EP65,0)</f>
        <v>0</v>
      </c>
      <c r="EQ66" s="173">
        <f>IF(EQ54=1,EQ65,0)</f>
        <v>0</v>
      </c>
      <c r="ER66" s="173">
        <f>IF(ER54=1,ER65,0)</f>
        <v>0</v>
      </c>
      <c r="ES66" s="173">
        <f>IF(ES54=1,ES65,0)</f>
        <v>0</v>
      </c>
      <c r="ET66" s="173">
        <f>IF(ET54=1,ET65,0)</f>
        <v>0</v>
      </c>
      <c r="EU66" s="173">
        <f>IF(EU54=1,EU65,0)</f>
        <v>0</v>
      </c>
      <c r="EV66" s="173">
        <f>IF(EV54=1,EV65,0)</f>
        <v>0</v>
      </c>
      <c r="EW66" s="173">
        <f>IF(EW54=1,EW65,0)</f>
        <v>0</v>
      </c>
      <c r="EX66" s="173">
        <f>IF(EX54=1,EX65,0)</f>
        <v>0</v>
      </c>
      <c r="EY66" s="173">
        <f>IF(EY54=1,EY65,0)</f>
        <v>0</v>
      </c>
      <c r="EZ66" s="173">
        <f>IF(EZ54=1,EZ65,0)</f>
        <v>0</v>
      </c>
      <c r="FA66" s="173">
        <f>IF(FA54=1,FA65,0)</f>
        <v>0</v>
      </c>
      <c r="FB66" s="173">
        <f>IF(FB54=1,FB65,0)</f>
        <v>0</v>
      </c>
      <c r="FC66" s="173">
        <f>IF(FC54=1,FC65,0)</f>
        <v>0</v>
      </c>
      <c r="FD66" s="173">
        <f>IF(FD54=1,FD65,0)</f>
        <v>0</v>
      </c>
      <c r="FE66" s="173">
        <f>IF(FE54=1,FE65,0)</f>
        <v>0</v>
      </c>
      <c r="FF66" s="173">
        <f>IF(FF54=1,FF65,0)</f>
        <v>0</v>
      </c>
      <c r="FG66" s="173">
        <f>IF(FG54=1,FG65,0)</f>
        <v>0</v>
      </c>
      <c r="FH66" s="173">
        <f>IF(FH54=1,FH65,0)</f>
        <v>0</v>
      </c>
      <c r="FI66" s="173">
        <f>IF(FI54=1,FI65,0)</f>
        <v>0</v>
      </c>
      <c r="FJ66" s="173">
        <f>IF(FJ54=1,FJ65,0)</f>
        <v>0</v>
      </c>
      <c r="FK66" s="173">
        <f>IF(FK54=1,FK65,0)</f>
        <v>0</v>
      </c>
      <c r="FL66" s="173">
        <f>IF(FL54=1,FL65,0)</f>
        <v>0</v>
      </c>
      <c r="FM66" s="173">
        <f>IF(FM54=1,FM65,0)</f>
        <v>0</v>
      </c>
      <c r="FN66" s="173">
        <f>IF(FN54=1,FN65,0)</f>
        <v>0</v>
      </c>
      <c r="FO66" s="173">
        <f>IF(FO54=1,FO65,0)</f>
        <v>0</v>
      </c>
      <c r="FP66" s="173">
        <f>IF(FP54=1,FP65,0)</f>
        <v>0</v>
      </c>
      <c r="FQ66" s="173">
        <f>IF(FQ54=1,FQ65,0)</f>
        <v>0</v>
      </c>
      <c r="FR66" s="173">
        <f>IF(FR54=1,FR65,0)</f>
        <v>0</v>
      </c>
      <c r="FS66" s="173">
        <f>IF(FS54=1,FS65,0)</f>
        <v>0</v>
      </c>
      <c r="FT66" s="173">
        <f>IF(FT54=1,FT65,0)</f>
        <v>0</v>
      </c>
      <c r="FU66" s="173">
        <f>IF(FU54=1,FU65,0)</f>
        <v>0</v>
      </c>
      <c r="FV66" s="173">
        <f>IF(FV54=1,FV65,0)</f>
        <v>0</v>
      </c>
      <c r="FW66" s="173">
        <f>IF(FW54=1,FW65,0)</f>
        <v>0</v>
      </c>
      <c r="FX66" s="173">
        <f>IF(FX54=1,FX65,0)</f>
        <v>0</v>
      </c>
      <c r="FY66" s="173">
        <f>IF(FY54=1,FY65,0)</f>
        <v>0</v>
      </c>
      <c r="FZ66" s="173">
        <f>IF(FZ54=1,FZ65,0)</f>
        <v>0</v>
      </c>
      <c r="GA66" s="173">
        <f>IF(GA54=1,GA65,0)</f>
        <v>0</v>
      </c>
      <c r="GB66" s="173">
        <f>IF(GB54=1,GB65,0)</f>
        <v>0</v>
      </c>
      <c r="GC66" s="173">
        <f>IF(GC54=1,GC65,0)</f>
        <v>0</v>
      </c>
      <c r="GD66" s="173">
        <f>IF(GD54=1,GD65,0)</f>
        <v>0</v>
      </c>
      <c r="GE66" s="173">
        <f>IF(GE54=1,GE65,0)</f>
        <v>0</v>
      </c>
      <c r="GF66" s="173">
        <f>IF(GF54=1,GF65,0)</f>
        <v>0</v>
      </c>
      <c r="GG66" s="173">
        <f>IF(GG54=1,GG65,0)</f>
        <v>0</v>
      </c>
      <c r="GH66" s="173">
        <f>IF(GH54=1,GH65,0)</f>
        <v>0</v>
      </c>
      <c r="GI66" s="173">
        <f>IF(GI54=1,GI65,0)</f>
        <v>0</v>
      </c>
      <c r="GJ66" s="173">
        <f>IF(GJ54=1,GJ65,0)</f>
        <v>0</v>
      </c>
      <c r="GK66" s="173">
        <f>IF(GK54=1,GK65,0)</f>
        <v>0</v>
      </c>
      <c r="GL66" s="173">
        <f>IF(GL54=1,GL65,0)</f>
        <v>0</v>
      </c>
      <c r="GM66" s="173">
        <f>IF(GM54=1,GM65,0)</f>
        <v>0</v>
      </c>
      <c r="GN66" s="173">
        <f>IF(GN54=1,GN65,0)</f>
        <v>0</v>
      </c>
      <c r="GO66" s="173">
        <f>IF(GO54=1,GO65,0)</f>
        <v>0</v>
      </c>
      <c r="GP66" s="173">
        <f>IF(GP54=1,GP65,0)</f>
        <v>0</v>
      </c>
      <c r="GQ66" s="173">
        <f>IF(GQ54=1,GQ65,0)</f>
        <v>0</v>
      </c>
      <c r="GR66" s="173">
        <f>IF(GR54=1,GR65,0)</f>
        <v>0</v>
      </c>
      <c r="GS66" s="173">
        <f>IF(GS54=1,GS65,0)</f>
        <v>0</v>
      </c>
      <c r="GT66" s="173">
        <f>IF(GT54=1,GT65,0)</f>
        <v>0</v>
      </c>
      <c r="GU66" s="173">
        <f>IF(GU54=1,GU65,0)</f>
        <v>0</v>
      </c>
      <c r="GV66" s="173">
        <f>IF(GV54=1,GV65,0)</f>
        <v>0</v>
      </c>
      <c r="GW66" s="173">
        <f>IF(GW54=1,GW65,0)</f>
        <v>0</v>
      </c>
      <c r="GX66" s="173">
        <f>IF(GX54=1,GX65,0)</f>
        <v>0</v>
      </c>
      <c r="GY66" s="173">
        <f>IF(GY54=1,GY65,0)</f>
        <v>0</v>
      </c>
      <c r="GZ66" s="173">
        <f>IF(GZ54=1,GZ65,0)</f>
        <v>0</v>
      </c>
      <c r="HA66" s="173">
        <f>IF(HA54=1,HA65,0)</f>
        <v>0</v>
      </c>
      <c r="HB66" s="173">
        <f>IF(HB54=1,HB65,0)</f>
        <v>0</v>
      </c>
      <c r="HC66" s="173">
        <f>IF(HC54=1,HC65,0)</f>
        <v>0</v>
      </c>
      <c r="HD66" s="173">
        <f>IF(HD54=1,HD65,0)</f>
        <v>0</v>
      </c>
      <c r="HE66" s="173">
        <f>IF(HE54=1,HE65,0)</f>
        <v>0</v>
      </c>
      <c r="HF66" s="173">
        <f>IF(HF54=1,HF65,0)</f>
        <v>0</v>
      </c>
      <c r="HG66" s="173">
        <f>IF(HG54=1,HG65,0)</f>
        <v>0</v>
      </c>
      <c r="HH66" s="173">
        <f>IF(HH54=1,HH65,0)</f>
        <v>0</v>
      </c>
      <c r="HI66" s="173">
        <f>IF(HI54=1,HI65,0)</f>
        <v>0</v>
      </c>
      <c r="HJ66" s="173">
        <f>IF(HJ54=1,HJ65,0)</f>
        <v>0</v>
      </c>
      <c r="HK66" s="173">
        <f>IF(HK54=1,HK65,0)</f>
        <v>0</v>
      </c>
      <c r="HL66" s="173">
        <f>IF(HL54=1,HL65,0)</f>
        <v>0</v>
      </c>
      <c r="HM66" s="173">
        <f>IF(HM54=1,HM65,0)</f>
        <v>0</v>
      </c>
      <c r="HN66" s="173">
        <f>IF(HN54=1,HN65,0)</f>
        <v>0</v>
      </c>
      <c r="HO66" s="173">
        <f>IF(HO54=1,HO65,0)</f>
        <v>0</v>
      </c>
      <c r="HP66" s="173">
        <f>IF(HP54=1,HP65,0)</f>
        <v>0</v>
      </c>
      <c r="HQ66" s="173">
        <f>IF(HQ54=1,HQ65,0)</f>
        <v>0</v>
      </c>
      <c r="HR66" s="173">
        <f>IF(HR54=1,HR65,0)</f>
        <v>0</v>
      </c>
      <c r="HS66" s="173">
        <f>IF(HS54=1,HS65,0)</f>
        <v>0</v>
      </c>
      <c r="HT66" s="173">
        <f>IF(HT54=1,HT65,0)</f>
        <v>0</v>
      </c>
      <c r="HU66" s="173">
        <f>IF(HU54=1,HU65,0)</f>
        <v>0</v>
      </c>
      <c r="HV66" s="173">
        <f>IF(HV54=1,HV65,0)</f>
        <v>0</v>
      </c>
      <c r="HW66" s="173">
        <f>IF(HW54=1,HW65,0)</f>
        <v>0</v>
      </c>
      <c r="HX66" s="173">
        <f>IF(HX54=1,HX65,0)</f>
        <v>0</v>
      </c>
      <c r="HY66" s="173">
        <f>IF(HY54=1,HY65,0)</f>
        <v>0</v>
      </c>
      <c r="HZ66" s="173">
        <f>IF(HZ54=1,HZ65,0)</f>
        <v>0</v>
      </c>
      <c r="IA66" s="173">
        <f>IF(IA54=1,IA65,0)</f>
        <v>0</v>
      </c>
      <c r="IB66" s="173">
        <f>IF(IB54=1,IB65,0)</f>
        <v>0</v>
      </c>
      <c r="IC66" s="173">
        <f>IF(IC54=1,IC65,0)</f>
        <v>0</v>
      </c>
      <c r="ID66" s="173">
        <f>IF(ID54=1,ID65,0)</f>
        <v>0</v>
      </c>
      <c r="IE66" s="173">
        <f>IF(IE54=1,IE65,0)</f>
        <v>0</v>
      </c>
      <c r="IF66" s="173">
        <f>IF(IF54=1,IF65,0)</f>
        <v>0</v>
      </c>
      <c r="IG66" s="173">
        <f>IF(IG54=1,IG65,0)</f>
        <v>0</v>
      </c>
      <c r="IH66" s="173">
        <f>IF(IH54=1,IH65,0)</f>
        <v>0</v>
      </c>
      <c r="II66" s="173">
        <f>IF(II54=1,II65,0)</f>
        <v>0</v>
      </c>
      <c r="IJ66" s="173">
        <f>IF(IJ54=1,IJ65,0)</f>
        <v>0</v>
      </c>
      <c r="IK66" s="173">
        <f>IF(IK54=1,IK65,0)</f>
        <v>0</v>
      </c>
      <c r="IL66" s="173">
        <f>IF(IL54=1,IL65,0)</f>
        <v>0</v>
      </c>
      <c r="IM66" s="173">
        <f>IF(IM54=1,IM65,0)</f>
        <v>0</v>
      </c>
      <c r="IN66" s="173">
        <f>IF(IN54=1,IN65,0)</f>
        <v>0</v>
      </c>
      <c r="IO66" s="173">
        <f>IF(IO54=1,IO65,0)</f>
        <v>0</v>
      </c>
      <c r="IP66" s="173">
        <f>IF(IP54=1,IP65,0)</f>
        <v>0</v>
      </c>
      <c r="IQ66" s="173">
        <f>IF(IQ54=1,IQ65,0)</f>
        <v>0</v>
      </c>
      <c r="IR66" s="173">
        <f>IF(IR54=1,IR65,0)</f>
        <v>0</v>
      </c>
      <c r="IS66" s="173">
        <f>IF(IS54=1,IS65,0)</f>
        <v>0</v>
      </c>
      <c r="IT66" s="173">
        <f>IF(IT54=1,IT65,0)</f>
        <v>0</v>
      </c>
      <c r="IU66" s="173">
        <f>IF(IU54=1,IU65,0)</f>
        <v>0</v>
      </c>
      <c r="IV66" s="173">
        <f>IF(IV54=1,IV65,0)</f>
        <v>0</v>
      </c>
      <c r="IW66" s="173">
        <f>IF(IW54=1,IW65,0)</f>
        <v>0</v>
      </c>
      <c r="IX66" s="173">
        <f>IF(IX54=1,IX65,0)</f>
        <v>0</v>
      </c>
      <c r="IY66" s="173">
        <f>IF(IY54=1,IY65,0)</f>
        <v>0</v>
      </c>
      <c r="IZ66" s="173">
        <f>IF(IZ54=1,IZ65,0)</f>
        <v>0</v>
      </c>
      <c r="JA66" s="173">
        <f>IF(JA54=1,JA65,0)</f>
        <v>0</v>
      </c>
      <c r="JB66" s="173">
        <f>IF(JB54=1,JB65,0)</f>
        <v>0</v>
      </c>
      <c r="JC66" s="173">
        <f>IF(JC54=1,JC65,0)</f>
        <v>0</v>
      </c>
      <c r="JD66" s="173">
        <f>IF(JD54=1,JD65,0)</f>
        <v>0</v>
      </c>
      <c r="JE66" s="173">
        <f>IF(JE54=1,JE65,0)</f>
        <v>0</v>
      </c>
      <c r="JF66" s="173">
        <f>IF(JF54=1,JF65,0)</f>
        <v>0</v>
      </c>
      <c r="JG66" s="173">
        <f>IF(JG54=1,JG65,0)</f>
        <v>0</v>
      </c>
      <c r="JH66" s="173">
        <f>IF(JH54=1,JH65,0)</f>
        <v>0</v>
      </c>
      <c r="JI66" s="173">
        <f>IF(JI54=1,JI65,0)</f>
        <v>0</v>
      </c>
      <c r="JJ66" s="173">
        <f>IF(JJ54=1,JJ65,0)</f>
        <v>0</v>
      </c>
      <c r="JK66" s="173">
        <f>IF(JK54=1,JK65,0)</f>
        <v>0</v>
      </c>
      <c r="JL66" s="173">
        <f>IF(JL54=1,JL65,0)</f>
        <v>0</v>
      </c>
      <c r="JM66" s="173">
        <f>IF(JM54=1,JM65,0)</f>
        <v>0</v>
      </c>
      <c r="JN66" s="173">
        <f>IF(JN54=1,JN65,0)</f>
        <v>0</v>
      </c>
      <c r="JO66" s="173">
        <f>IF(JO54=1,JO65,0)</f>
        <v>0</v>
      </c>
      <c r="JP66" s="173">
        <f>IF(JP54=1,JP65,0)</f>
        <v>0</v>
      </c>
      <c r="JQ66" s="173">
        <f>IF(JQ54=1,JQ65,0)</f>
        <v>0</v>
      </c>
      <c r="JR66" s="173">
        <f>IF(JR54=1,JR65,0)</f>
        <v>0</v>
      </c>
      <c r="JS66" s="173">
        <f>IF(JS54=1,JS65,0)</f>
        <v>0</v>
      </c>
      <c r="JT66" s="173">
        <f>IF(JT54=1,JT65,0)</f>
        <v>0</v>
      </c>
      <c r="JU66" s="173">
        <f>IF(JU54=1,JU65,0)</f>
        <v>0</v>
      </c>
      <c r="JV66" s="173">
        <f>IF(JV54=1,JV65,0)</f>
        <v>0</v>
      </c>
      <c r="JW66" s="173">
        <f>IF(JW54=1,JW65,0)</f>
        <v>0</v>
      </c>
      <c r="JX66" s="173">
        <f>IF(JX54=1,JX65,0)</f>
        <v>0</v>
      </c>
      <c r="JY66" s="173">
        <f>IF(JY54=1,JY65,0)</f>
        <v>0</v>
      </c>
      <c r="JZ66" s="173">
        <f>IF(JZ54=1,JZ65,0)</f>
        <v>0</v>
      </c>
      <c r="KA66" s="173">
        <f>IF(KA54=1,KA65,0)</f>
        <v>0</v>
      </c>
      <c r="KB66" s="173">
        <f>IF(KB54=1,KB65,0)</f>
        <v>0</v>
      </c>
      <c r="KC66" s="173">
        <f>IF(KC54=1,KC65,0)</f>
        <v>0</v>
      </c>
      <c r="KD66" s="173">
        <f>IF(KD54=1,KD65,0)</f>
        <v>0</v>
      </c>
      <c r="KE66" s="173">
        <f>IF(KE54=1,KE65,0)</f>
        <v>0</v>
      </c>
      <c r="KF66" s="173">
        <f>IF(KF54=1,KF65,0)</f>
        <v>0</v>
      </c>
    </row>
    <row r="67">
      <c r="B67" s="36" t="inlineStr">
        <is>
          <t>Interest capitalised – grace</t>
        </is>
      </c>
      <c r="C67" s="117" t="inlineStr">
        <is>
          <t>ETB</t>
        </is>
      </c>
      <c r="D67" s="169">
        <f>SUM(E67:KF67)</f>
        <v>0</v>
      </c>
      <c r="E67" s="173">
        <f>IF(AND(E59=1,GRACE_TYPE=2),E65,0)</f>
        <v>0</v>
      </c>
      <c r="F67" s="173">
        <f>IF(AND(F59=1,GRACE_TYPE=2),F65,0)</f>
        <v>0</v>
      </c>
      <c r="G67" s="173">
        <f>IF(AND(G59=1,GRACE_TYPE=2),G65,0)</f>
        <v>0</v>
      </c>
      <c r="H67" s="173">
        <f>IF(AND(H59=1,GRACE_TYPE=2),H65,0)</f>
        <v>0</v>
      </c>
      <c r="I67" s="173">
        <f>IF(AND(I59=1,GRACE_TYPE=2),I65,0)</f>
        <v>0</v>
      </c>
      <c r="J67" s="173">
        <f>IF(AND(J59=1,GRACE_TYPE=2),J65,0)</f>
        <v>0</v>
      </c>
      <c r="K67" s="173">
        <f>IF(AND(K59=1,GRACE_TYPE=2),K65,0)</f>
        <v>0</v>
      </c>
      <c r="L67" s="173">
        <f>IF(AND(L59=1,GRACE_TYPE=2),L65,0)</f>
        <v>0</v>
      </c>
      <c r="M67" s="173">
        <f>IF(AND(M59=1,GRACE_TYPE=2),M65,0)</f>
        <v>0</v>
      </c>
      <c r="N67" s="173">
        <f>IF(AND(N59=1,GRACE_TYPE=2),N65,0)</f>
        <v>0</v>
      </c>
      <c r="O67" s="173">
        <f>IF(AND(O59=1,GRACE_TYPE=2),O65,0)</f>
        <v>0</v>
      </c>
      <c r="P67" s="173">
        <f>IF(AND(P59=1,GRACE_TYPE=2),P65,0)</f>
        <v>0</v>
      </c>
      <c r="Q67" s="173">
        <f>IF(AND(Q59=1,GRACE_TYPE=2),Q65,0)</f>
        <v>0</v>
      </c>
      <c r="R67" s="173">
        <f>IF(AND(R59=1,GRACE_TYPE=2),R65,0)</f>
        <v>0</v>
      </c>
      <c r="S67" s="173">
        <f>IF(AND(S59=1,GRACE_TYPE=2),S65,0)</f>
        <v>0</v>
      </c>
      <c r="T67" s="173">
        <f>IF(AND(T59=1,GRACE_TYPE=2),T65,0)</f>
        <v>0</v>
      </c>
      <c r="U67" s="173">
        <f>IF(AND(U59=1,GRACE_TYPE=2),U65,0)</f>
        <v>0</v>
      </c>
      <c r="V67" s="173">
        <f>IF(AND(V59=1,GRACE_TYPE=2),V65,0)</f>
        <v>0</v>
      </c>
      <c r="W67" s="173">
        <f>IF(AND(W59=1,GRACE_TYPE=2),W65,0)</f>
        <v>0</v>
      </c>
      <c r="X67" s="173">
        <f>IF(AND(X59=1,GRACE_TYPE=2),X65,0)</f>
        <v>0</v>
      </c>
      <c r="Y67" s="173">
        <f>IF(AND(Y59=1,GRACE_TYPE=2),Y65,0)</f>
        <v>0</v>
      </c>
      <c r="Z67" s="173">
        <f>IF(AND(Z59=1,GRACE_TYPE=2),Z65,0)</f>
        <v>0</v>
      </c>
      <c r="AA67" s="173">
        <f>IF(AND(AA59=1,GRACE_TYPE=2),AA65,0)</f>
        <v>0</v>
      </c>
      <c r="AB67" s="173">
        <f>IF(AND(AB59=1,GRACE_TYPE=2),AB65,0)</f>
        <v>0</v>
      </c>
      <c r="AC67" s="173">
        <f>IF(AND(AC59=1,GRACE_TYPE=2),AC65,0)</f>
        <v>0</v>
      </c>
      <c r="AD67" s="173">
        <f>IF(AND(AD59=1,GRACE_TYPE=2),AD65,0)</f>
        <v>0</v>
      </c>
      <c r="AE67" s="173">
        <f>IF(AND(AE59=1,GRACE_TYPE=2),AE65,0)</f>
        <v>0</v>
      </c>
      <c r="AF67" s="173">
        <f>IF(AND(AF59=1,GRACE_TYPE=2),AF65,0)</f>
        <v>0</v>
      </c>
      <c r="AG67" s="173">
        <f>IF(AND(AG59=1,GRACE_TYPE=2),AG65,0)</f>
        <v>0</v>
      </c>
      <c r="AH67" s="173">
        <f>IF(AND(AH59=1,GRACE_TYPE=2),AH65,0)</f>
        <v>0</v>
      </c>
      <c r="AI67" s="173">
        <f>IF(AND(AI59=1,GRACE_TYPE=2),AI65,0)</f>
        <v>0</v>
      </c>
      <c r="AJ67" s="173">
        <f>IF(AND(AJ59=1,GRACE_TYPE=2),AJ65,0)</f>
        <v>0</v>
      </c>
      <c r="AK67" s="173">
        <f>IF(AND(AK59=1,GRACE_TYPE=2),AK65,0)</f>
        <v>0</v>
      </c>
      <c r="AL67" s="173">
        <f>IF(AND(AL59=1,GRACE_TYPE=2),AL65,0)</f>
        <v>0</v>
      </c>
      <c r="AM67" s="173">
        <f>IF(AND(AM59=1,GRACE_TYPE=2),AM65,0)</f>
        <v>0</v>
      </c>
      <c r="AN67" s="173">
        <f>IF(AND(AN59=1,GRACE_TYPE=2),AN65,0)</f>
        <v>0</v>
      </c>
      <c r="AO67" s="173">
        <f>IF(AND(AO59=1,GRACE_TYPE=2),AO65,0)</f>
        <v>0</v>
      </c>
      <c r="AP67" s="173">
        <f>IF(AND(AP59=1,GRACE_TYPE=2),AP65,0)</f>
        <v>0</v>
      </c>
      <c r="AQ67" s="173">
        <f>IF(AND(AQ59=1,GRACE_TYPE=2),AQ65,0)</f>
        <v>0</v>
      </c>
      <c r="AR67" s="173">
        <f>IF(AND(AR59=1,GRACE_TYPE=2),AR65,0)</f>
        <v>0</v>
      </c>
      <c r="AS67" s="173">
        <f>IF(AND(AS59=1,GRACE_TYPE=2),AS65,0)</f>
        <v>0</v>
      </c>
      <c r="AT67" s="173">
        <f>IF(AND(AT59=1,GRACE_TYPE=2),AT65,0)</f>
        <v>0</v>
      </c>
      <c r="AU67" s="173">
        <f>IF(AND(AU59=1,GRACE_TYPE=2),AU65,0)</f>
        <v>0</v>
      </c>
      <c r="AV67" s="173">
        <f>IF(AND(AV59=1,GRACE_TYPE=2),AV65,0)</f>
        <v>0</v>
      </c>
      <c r="AW67" s="173">
        <f>IF(AND(AW59=1,GRACE_TYPE=2),AW65,0)</f>
        <v>0</v>
      </c>
      <c r="AX67" s="173">
        <f>IF(AND(AX59=1,GRACE_TYPE=2),AX65,0)</f>
        <v>0</v>
      </c>
      <c r="AY67" s="173">
        <f>IF(AND(AY59=1,GRACE_TYPE=2),AY65,0)</f>
        <v>0</v>
      </c>
      <c r="AZ67" s="173">
        <f>IF(AND(AZ59=1,GRACE_TYPE=2),AZ65,0)</f>
        <v>0</v>
      </c>
      <c r="BA67" s="173">
        <f>IF(AND(BA59=1,GRACE_TYPE=2),BA65,0)</f>
        <v>0</v>
      </c>
      <c r="BB67" s="173">
        <f>IF(AND(BB59=1,GRACE_TYPE=2),BB65,0)</f>
        <v>0</v>
      </c>
      <c r="BC67" s="173">
        <f>IF(AND(BC59=1,GRACE_TYPE=2),BC65,0)</f>
        <v>0</v>
      </c>
      <c r="BD67" s="173">
        <f>IF(AND(BD59=1,GRACE_TYPE=2),BD65,0)</f>
        <v>0</v>
      </c>
      <c r="BE67" s="173">
        <f>IF(AND(BE59=1,GRACE_TYPE=2),BE65,0)</f>
        <v>0</v>
      </c>
      <c r="BF67" s="173">
        <f>IF(AND(BF59=1,GRACE_TYPE=2),BF65,0)</f>
        <v>0</v>
      </c>
      <c r="BG67" s="173">
        <f>IF(AND(BG59=1,GRACE_TYPE=2),BG65,0)</f>
        <v>0</v>
      </c>
      <c r="BH67" s="173">
        <f>IF(AND(BH59=1,GRACE_TYPE=2),BH65,0)</f>
        <v>0</v>
      </c>
      <c r="BI67" s="173">
        <f>IF(AND(BI59=1,GRACE_TYPE=2),BI65,0)</f>
        <v>0</v>
      </c>
      <c r="BJ67" s="173">
        <f>IF(AND(BJ59=1,GRACE_TYPE=2),BJ65,0)</f>
        <v>0</v>
      </c>
      <c r="BK67" s="173">
        <f>IF(AND(BK59=1,GRACE_TYPE=2),BK65,0)</f>
        <v>0</v>
      </c>
      <c r="BL67" s="173">
        <f>IF(AND(BL59=1,GRACE_TYPE=2),BL65,0)</f>
        <v>0</v>
      </c>
      <c r="BM67" s="173">
        <f>IF(AND(BM59=1,GRACE_TYPE=2),BM65,0)</f>
        <v>0</v>
      </c>
      <c r="BN67" s="173">
        <f>IF(AND(BN59=1,GRACE_TYPE=2),BN65,0)</f>
        <v>0</v>
      </c>
      <c r="BO67" s="173">
        <f>IF(AND(BO59=1,GRACE_TYPE=2),BO65,0)</f>
        <v>0</v>
      </c>
      <c r="BP67" s="173">
        <f>IF(AND(BP59=1,GRACE_TYPE=2),BP65,0)</f>
        <v>0</v>
      </c>
      <c r="BQ67" s="173">
        <f>IF(AND(BQ59=1,GRACE_TYPE=2),BQ65,0)</f>
        <v>0</v>
      </c>
      <c r="BR67" s="173">
        <f>IF(AND(BR59=1,GRACE_TYPE=2),BR65,0)</f>
        <v>0</v>
      </c>
      <c r="BS67" s="173">
        <f>IF(AND(BS59=1,GRACE_TYPE=2),BS65,0)</f>
        <v>0</v>
      </c>
      <c r="BT67" s="173">
        <f>IF(AND(BT59=1,GRACE_TYPE=2),BT65,0)</f>
        <v>0</v>
      </c>
      <c r="BU67" s="173">
        <f>IF(AND(BU59=1,GRACE_TYPE=2),BU65,0)</f>
        <v>0</v>
      </c>
      <c r="BV67" s="173">
        <f>IF(AND(BV59=1,GRACE_TYPE=2),BV65,0)</f>
        <v>0</v>
      </c>
      <c r="BW67" s="173">
        <f>IF(AND(BW59=1,GRACE_TYPE=2),BW65,0)</f>
        <v>0</v>
      </c>
      <c r="BX67" s="173">
        <f>IF(AND(BX59=1,GRACE_TYPE=2),BX65,0)</f>
        <v>0</v>
      </c>
      <c r="BY67" s="173">
        <f>IF(AND(BY59=1,GRACE_TYPE=2),BY65,0)</f>
        <v>0</v>
      </c>
      <c r="BZ67" s="173">
        <f>IF(AND(BZ59=1,GRACE_TYPE=2),BZ65,0)</f>
        <v>0</v>
      </c>
      <c r="CA67" s="173">
        <f>IF(AND(CA59=1,GRACE_TYPE=2),CA65,0)</f>
        <v>0</v>
      </c>
      <c r="CB67" s="173">
        <f>IF(AND(CB59=1,GRACE_TYPE=2),CB65,0)</f>
        <v>0</v>
      </c>
      <c r="CC67" s="173">
        <f>IF(AND(CC59=1,GRACE_TYPE=2),CC65,0)</f>
        <v>0</v>
      </c>
      <c r="CD67" s="173">
        <f>IF(AND(CD59=1,GRACE_TYPE=2),CD65,0)</f>
        <v>0</v>
      </c>
      <c r="CE67" s="173">
        <f>IF(AND(CE59=1,GRACE_TYPE=2),CE65,0)</f>
        <v>0</v>
      </c>
      <c r="CF67" s="173">
        <f>IF(AND(CF59=1,GRACE_TYPE=2),CF65,0)</f>
        <v>0</v>
      </c>
      <c r="CG67" s="173">
        <f>IF(AND(CG59=1,GRACE_TYPE=2),CG65,0)</f>
        <v>0</v>
      </c>
      <c r="CH67" s="173">
        <f>IF(AND(CH59=1,GRACE_TYPE=2),CH65,0)</f>
        <v>0</v>
      </c>
      <c r="CI67" s="173">
        <f>IF(AND(CI59=1,GRACE_TYPE=2),CI65,0)</f>
        <v>0</v>
      </c>
      <c r="CJ67" s="173">
        <f>IF(AND(CJ59=1,GRACE_TYPE=2),CJ65,0)</f>
        <v>0</v>
      </c>
      <c r="CK67" s="173">
        <f>IF(AND(CK59=1,GRACE_TYPE=2),CK65,0)</f>
        <v>0</v>
      </c>
      <c r="CL67" s="173">
        <f>IF(AND(CL59=1,GRACE_TYPE=2),CL65,0)</f>
        <v>0</v>
      </c>
      <c r="CM67" s="173">
        <f>IF(AND(CM59=1,GRACE_TYPE=2),CM65,0)</f>
        <v>0</v>
      </c>
      <c r="CN67" s="173">
        <f>IF(AND(CN59=1,GRACE_TYPE=2),CN65,0)</f>
        <v>0</v>
      </c>
      <c r="CO67" s="173">
        <f>IF(AND(CO59=1,GRACE_TYPE=2),CO65,0)</f>
        <v>0</v>
      </c>
      <c r="CP67" s="173">
        <f>IF(AND(CP59=1,GRACE_TYPE=2),CP65,0)</f>
        <v>0</v>
      </c>
      <c r="CQ67" s="173">
        <f>IF(AND(CQ59=1,GRACE_TYPE=2),CQ65,0)</f>
        <v>0</v>
      </c>
      <c r="CR67" s="173">
        <f>IF(AND(CR59=1,GRACE_TYPE=2),CR65,0)</f>
        <v>0</v>
      </c>
      <c r="CS67" s="173">
        <f>IF(AND(CS59=1,GRACE_TYPE=2),CS65,0)</f>
        <v>0</v>
      </c>
      <c r="CT67" s="173">
        <f>IF(AND(CT59=1,GRACE_TYPE=2),CT65,0)</f>
        <v>0</v>
      </c>
      <c r="CU67" s="173">
        <f>IF(AND(CU59=1,GRACE_TYPE=2),CU65,0)</f>
        <v>0</v>
      </c>
      <c r="CV67" s="173">
        <f>IF(AND(CV59=1,GRACE_TYPE=2),CV65,0)</f>
        <v>0</v>
      </c>
      <c r="CW67" s="173">
        <f>IF(AND(CW59=1,GRACE_TYPE=2),CW65,0)</f>
        <v>0</v>
      </c>
      <c r="CX67" s="173">
        <f>IF(AND(CX59=1,GRACE_TYPE=2),CX65,0)</f>
        <v>0</v>
      </c>
      <c r="CY67" s="173">
        <f>IF(AND(CY59=1,GRACE_TYPE=2),CY65,0)</f>
        <v>0</v>
      </c>
      <c r="CZ67" s="173">
        <f>IF(AND(CZ59=1,GRACE_TYPE=2),CZ65,0)</f>
        <v>0</v>
      </c>
      <c r="DA67" s="173">
        <f>IF(AND(DA59=1,GRACE_TYPE=2),DA65,0)</f>
        <v>0</v>
      </c>
      <c r="DB67" s="173">
        <f>IF(AND(DB59=1,GRACE_TYPE=2),DB65,0)</f>
        <v>0</v>
      </c>
      <c r="DC67" s="173">
        <f>IF(AND(DC59=1,GRACE_TYPE=2),DC65,0)</f>
        <v>0</v>
      </c>
      <c r="DD67" s="173">
        <f>IF(AND(DD59=1,GRACE_TYPE=2),DD65,0)</f>
        <v>0</v>
      </c>
      <c r="DE67" s="173">
        <f>IF(AND(DE59=1,GRACE_TYPE=2),DE65,0)</f>
        <v>0</v>
      </c>
      <c r="DF67" s="173">
        <f>IF(AND(DF59=1,GRACE_TYPE=2),DF65,0)</f>
        <v>0</v>
      </c>
      <c r="DG67" s="173">
        <f>IF(AND(DG59=1,GRACE_TYPE=2),DG65,0)</f>
        <v>0</v>
      </c>
      <c r="DH67" s="173">
        <f>IF(AND(DH59=1,GRACE_TYPE=2),DH65,0)</f>
        <v>0</v>
      </c>
      <c r="DI67" s="173">
        <f>IF(AND(DI59=1,GRACE_TYPE=2),DI65,0)</f>
        <v>0</v>
      </c>
      <c r="DJ67" s="173">
        <f>IF(AND(DJ59=1,GRACE_TYPE=2),DJ65,0)</f>
        <v>0</v>
      </c>
      <c r="DK67" s="173">
        <f>IF(AND(DK59=1,GRACE_TYPE=2),DK65,0)</f>
        <v>0</v>
      </c>
      <c r="DL67" s="173">
        <f>IF(AND(DL59=1,GRACE_TYPE=2),DL65,0)</f>
        <v>0</v>
      </c>
      <c r="DM67" s="173">
        <f>IF(AND(DM59=1,GRACE_TYPE=2),DM65,0)</f>
        <v>0</v>
      </c>
      <c r="DN67" s="173">
        <f>IF(AND(DN59=1,GRACE_TYPE=2),DN65,0)</f>
        <v>0</v>
      </c>
      <c r="DO67" s="173">
        <f>IF(AND(DO59=1,GRACE_TYPE=2),DO65,0)</f>
        <v>0</v>
      </c>
      <c r="DP67" s="173">
        <f>IF(AND(DP59=1,GRACE_TYPE=2),DP65,0)</f>
        <v>0</v>
      </c>
      <c r="DQ67" s="173">
        <f>IF(AND(DQ59=1,GRACE_TYPE=2),DQ65,0)</f>
        <v>0</v>
      </c>
      <c r="DR67" s="173">
        <f>IF(AND(DR59=1,GRACE_TYPE=2),DR65,0)</f>
        <v>0</v>
      </c>
      <c r="DS67" s="173">
        <f>IF(AND(DS59=1,GRACE_TYPE=2),DS65,0)</f>
        <v>0</v>
      </c>
      <c r="DT67" s="173">
        <f>IF(AND(DT59=1,GRACE_TYPE=2),DT65,0)</f>
        <v>0</v>
      </c>
      <c r="DU67" s="173">
        <f>IF(AND(DU59=1,GRACE_TYPE=2),DU65,0)</f>
        <v>0</v>
      </c>
      <c r="DV67" s="173">
        <f>IF(AND(DV59=1,GRACE_TYPE=2),DV65,0)</f>
        <v>0</v>
      </c>
      <c r="DW67" s="173">
        <f>IF(AND(DW59=1,GRACE_TYPE=2),DW65,0)</f>
        <v>0</v>
      </c>
      <c r="DX67" s="173">
        <f>IF(AND(DX59=1,GRACE_TYPE=2),DX65,0)</f>
        <v>0</v>
      </c>
      <c r="DY67" s="173">
        <f>IF(AND(DY59=1,GRACE_TYPE=2),DY65,0)</f>
        <v>0</v>
      </c>
      <c r="DZ67" s="173">
        <f>IF(AND(DZ59=1,GRACE_TYPE=2),DZ65,0)</f>
        <v>0</v>
      </c>
      <c r="EA67" s="173">
        <f>IF(AND(EA59=1,GRACE_TYPE=2),EA65,0)</f>
        <v>0</v>
      </c>
      <c r="EB67" s="173">
        <f>IF(AND(EB59=1,GRACE_TYPE=2),EB65,0)</f>
        <v>0</v>
      </c>
      <c r="EC67" s="173">
        <f>IF(AND(EC59=1,GRACE_TYPE=2),EC65,0)</f>
        <v>0</v>
      </c>
      <c r="ED67" s="173">
        <f>IF(AND(ED59=1,GRACE_TYPE=2),ED65,0)</f>
        <v>0</v>
      </c>
      <c r="EE67" s="173">
        <f>IF(AND(EE59=1,GRACE_TYPE=2),EE65,0)</f>
        <v>0</v>
      </c>
      <c r="EF67" s="173">
        <f>IF(AND(EF59=1,GRACE_TYPE=2),EF65,0)</f>
        <v>0</v>
      </c>
      <c r="EG67" s="173">
        <f>IF(AND(EG59=1,GRACE_TYPE=2),EG65,0)</f>
        <v>0</v>
      </c>
      <c r="EH67" s="173">
        <f>IF(AND(EH59=1,GRACE_TYPE=2),EH65,0)</f>
        <v>0</v>
      </c>
      <c r="EI67" s="173">
        <f>IF(AND(EI59=1,GRACE_TYPE=2),EI65,0)</f>
        <v>0</v>
      </c>
      <c r="EJ67" s="173">
        <f>IF(AND(EJ59=1,GRACE_TYPE=2),EJ65,0)</f>
        <v>0</v>
      </c>
      <c r="EK67" s="173">
        <f>IF(AND(EK59=1,GRACE_TYPE=2),EK65,0)</f>
        <v>0</v>
      </c>
      <c r="EL67" s="173">
        <f>IF(AND(EL59=1,GRACE_TYPE=2),EL65,0)</f>
        <v>0</v>
      </c>
      <c r="EM67" s="173">
        <f>IF(AND(EM59=1,GRACE_TYPE=2),EM65,0)</f>
        <v>0</v>
      </c>
      <c r="EN67" s="173">
        <f>IF(AND(EN59=1,GRACE_TYPE=2),EN65,0)</f>
        <v>0</v>
      </c>
      <c r="EO67" s="173">
        <f>IF(AND(EO59=1,GRACE_TYPE=2),EO65,0)</f>
        <v>0</v>
      </c>
      <c r="EP67" s="173">
        <f>IF(AND(EP59=1,GRACE_TYPE=2),EP65,0)</f>
        <v>0</v>
      </c>
      <c r="EQ67" s="173">
        <f>IF(AND(EQ59=1,GRACE_TYPE=2),EQ65,0)</f>
        <v>0</v>
      </c>
      <c r="ER67" s="173">
        <f>IF(AND(ER59=1,GRACE_TYPE=2),ER65,0)</f>
        <v>0</v>
      </c>
      <c r="ES67" s="173">
        <f>IF(AND(ES59=1,GRACE_TYPE=2),ES65,0)</f>
        <v>0</v>
      </c>
      <c r="ET67" s="173">
        <f>IF(AND(ET59=1,GRACE_TYPE=2),ET65,0)</f>
        <v>0</v>
      </c>
      <c r="EU67" s="173">
        <f>IF(AND(EU59=1,GRACE_TYPE=2),EU65,0)</f>
        <v>0</v>
      </c>
      <c r="EV67" s="173">
        <f>IF(AND(EV59=1,GRACE_TYPE=2),EV65,0)</f>
        <v>0</v>
      </c>
      <c r="EW67" s="173">
        <f>IF(AND(EW59=1,GRACE_TYPE=2),EW65,0)</f>
        <v>0</v>
      </c>
      <c r="EX67" s="173">
        <f>IF(AND(EX59=1,GRACE_TYPE=2),EX65,0)</f>
        <v>0</v>
      </c>
      <c r="EY67" s="173">
        <f>IF(AND(EY59=1,GRACE_TYPE=2),EY65,0)</f>
        <v>0</v>
      </c>
      <c r="EZ67" s="173">
        <f>IF(AND(EZ59=1,GRACE_TYPE=2),EZ65,0)</f>
        <v>0</v>
      </c>
      <c r="FA67" s="173">
        <f>IF(AND(FA59=1,GRACE_TYPE=2),FA65,0)</f>
        <v>0</v>
      </c>
      <c r="FB67" s="173">
        <f>IF(AND(FB59=1,GRACE_TYPE=2),FB65,0)</f>
        <v>0</v>
      </c>
      <c r="FC67" s="173">
        <f>IF(AND(FC59=1,GRACE_TYPE=2),FC65,0)</f>
        <v>0</v>
      </c>
      <c r="FD67" s="173">
        <f>IF(AND(FD59=1,GRACE_TYPE=2),FD65,0)</f>
        <v>0</v>
      </c>
      <c r="FE67" s="173">
        <f>IF(AND(FE59=1,GRACE_TYPE=2),FE65,0)</f>
        <v>0</v>
      </c>
      <c r="FF67" s="173">
        <f>IF(AND(FF59=1,GRACE_TYPE=2),FF65,0)</f>
        <v>0</v>
      </c>
      <c r="FG67" s="173">
        <f>IF(AND(FG59=1,GRACE_TYPE=2),FG65,0)</f>
        <v>0</v>
      </c>
      <c r="FH67" s="173">
        <f>IF(AND(FH59=1,GRACE_TYPE=2),FH65,0)</f>
        <v>0</v>
      </c>
      <c r="FI67" s="173">
        <f>IF(AND(FI59=1,GRACE_TYPE=2),FI65,0)</f>
        <v>0</v>
      </c>
      <c r="FJ67" s="173">
        <f>IF(AND(FJ59=1,GRACE_TYPE=2),FJ65,0)</f>
        <v>0</v>
      </c>
      <c r="FK67" s="173">
        <f>IF(AND(FK59=1,GRACE_TYPE=2),FK65,0)</f>
        <v>0</v>
      </c>
      <c r="FL67" s="173">
        <f>IF(AND(FL59=1,GRACE_TYPE=2),FL65,0)</f>
        <v>0</v>
      </c>
      <c r="FM67" s="173">
        <f>IF(AND(FM59=1,GRACE_TYPE=2),FM65,0)</f>
        <v>0</v>
      </c>
      <c r="FN67" s="173">
        <f>IF(AND(FN59=1,GRACE_TYPE=2),FN65,0)</f>
        <v>0</v>
      </c>
      <c r="FO67" s="173">
        <f>IF(AND(FO59=1,GRACE_TYPE=2),FO65,0)</f>
        <v>0</v>
      </c>
      <c r="FP67" s="173">
        <f>IF(AND(FP59=1,GRACE_TYPE=2),FP65,0)</f>
        <v>0</v>
      </c>
      <c r="FQ67" s="173">
        <f>IF(AND(FQ59=1,GRACE_TYPE=2),FQ65,0)</f>
        <v>0</v>
      </c>
      <c r="FR67" s="173">
        <f>IF(AND(FR59=1,GRACE_TYPE=2),FR65,0)</f>
        <v>0</v>
      </c>
      <c r="FS67" s="173">
        <f>IF(AND(FS59=1,GRACE_TYPE=2),FS65,0)</f>
        <v>0</v>
      </c>
      <c r="FT67" s="173">
        <f>IF(AND(FT59=1,GRACE_TYPE=2),FT65,0)</f>
        <v>0</v>
      </c>
      <c r="FU67" s="173">
        <f>IF(AND(FU59=1,GRACE_TYPE=2),FU65,0)</f>
        <v>0</v>
      </c>
      <c r="FV67" s="173">
        <f>IF(AND(FV59=1,GRACE_TYPE=2),FV65,0)</f>
        <v>0</v>
      </c>
      <c r="FW67" s="173">
        <f>IF(AND(FW59=1,GRACE_TYPE=2),FW65,0)</f>
        <v>0</v>
      </c>
      <c r="FX67" s="173">
        <f>IF(AND(FX59=1,GRACE_TYPE=2),FX65,0)</f>
        <v>0</v>
      </c>
      <c r="FY67" s="173">
        <f>IF(AND(FY59=1,GRACE_TYPE=2),FY65,0)</f>
        <v>0</v>
      </c>
      <c r="FZ67" s="173">
        <f>IF(AND(FZ59=1,GRACE_TYPE=2),FZ65,0)</f>
        <v>0</v>
      </c>
      <c r="GA67" s="173">
        <f>IF(AND(GA59=1,GRACE_TYPE=2),GA65,0)</f>
        <v>0</v>
      </c>
      <c r="GB67" s="173">
        <f>IF(AND(GB59=1,GRACE_TYPE=2),GB65,0)</f>
        <v>0</v>
      </c>
      <c r="GC67" s="173">
        <f>IF(AND(GC59=1,GRACE_TYPE=2),GC65,0)</f>
        <v>0</v>
      </c>
      <c r="GD67" s="173">
        <f>IF(AND(GD59=1,GRACE_TYPE=2),GD65,0)</f>
        <v>0</v>
      </c>
      <c r="GE67" s="173">
        <f>IF(AND(GE59=1,GRACE_TYPE=2),GE65,0)</f>
        <v>0</v>
      </c>
      <c r="GF67" s="173">
        <f>IF(AND(GF59=1,GRACE_TYPE=2),GF65,0)</f>
        <v>0</v>
      </c>
      <c r="GG67" s="173">
        <f>IF(AND(GG59=1,GRACE_TYPE=2),GG65,0)</f>
        <v>0</v>
      </c>
      <c r="GH67" s="173">
        <f>IF(AND(GH59=1,GRACE_TYPE=2),GH65,0)</f>
        <v>0</v>
      </c>
      <c r="GI67" s="173">
        <f>IF(AND(GI59=1,GRACE_TYPE=2),GI65,0)</f>
        <v>0</v>
      </c>
      <c r="GJ67" s="173">
        <f>IF(AND(GJ59=1,GRACE_TYPE=2),GJ65,0)</f>
        <v>0</v>
      </c>
      <c r="GK67" s="173">
        <f>IF(AND(GK59=1,GRACE_TYPE=2),GK65,0)</f>
        <v>0</v>
      </c>
      <c r="GL67" s="173">
        <f>IF(AND(GL59=1,GRACE_TYPE=2),GL65,0)</f>
        <v>0</v>
      </c>
      <c r="GM67" s="173">
        <f>IF(AND(GM59=1,GRACE_TYPE=2),GM65,0)</f>
        <v>0</v>
      </c>
      <c r="GN67" s="173">
        <f>IF(AND(GN59=1,GRACE_TYPE=2),GN65,0)</f>
        <v>0</v>
      </c>
      <c r="GO67" s="173">
        <f>IF(AND(GO59=1,GRACE_TYPE=2),GO65,0)</f>
        <v>0</v>
      </c>
      <c r="GP67" s="173">
        <f>IF(AND(GP59=1,GRACE_TYPE=2),GP65,0)</f>
        <v>0</v>
      </c>
      <c r="GQ67" s="173">
        <f>IF(AND(GQ59=1,GRACE_TYPE=2),GQ65,0)</f>
        <v>0</v>
      </c>
      <c r="GR67" s="173">
        <f>IF(AND(GR59=1,GRACE_TYPE=2),GR65,0)</f>
        <v>0</v>
      </c>
      <c r="GS67" s="173">
        <f>IF(AND(GS59=1,GRACE_TYPE=2),GS65,0)</f>
        <v>0</v>
      </c>
      <c r="GT67" s="173">
        <f>IF(AND(GT59=1,GRACE_TYPE=2),GT65,0)</f>
        <v>0</v>
      </c>
      <c r="GU67" s="173">
        <f>IF(AND(GU59=1,GRACE_TYPE=2),GU65,0)</f>
        <v>0</v>
      </c>
      <c r="GV67" s="173">
        <f>IF(AND(GV59=1,GRACE_TYPE=2),GV65,0)</f>
        <v>0</v>
      </c>
      <c r="GW67" s="173">
        <f>IF(AND(GW59=1,GRACE_TYPE=2),GW65,0)</f>
        <v>0</v>
      </c>
      <c r="GX67" s="173">
        <f>IF(AND(GX59=1,GRACE_TYPE=2),GX65,0)</f>
        <v>0</v>
      </c>
      <c r="GY67" s="173">
        <f>IF(AND(GY59=1,GRACE_TYPE=2),GY65,0)</f>
        <v>0</v>
      </c>
      <c r="GZ67" s="173">
        <f>IF(AND(GZ59=1,GRACE_TYPE=2),GZ65,0)</f>
        <v>0</v>
      </c>
      <c r="HA67" s="173">
        <f>IF(AND(HA59=1,GRACE_TYPE=2),HA65,0)</f>
        <v>0</v>
      </c>
      <c r="HB67" s="173">
        <f>IF(AND(HB59=1,GRACE_TYPE=2),HB65,0)</f>
        <v>0</v>
      </c>
      <c r="HC67" s="173">
        <f>IF(AND(HC59=1,GRACE_TYPE=2),HC65,0)</f>
        <v>0</v>
      </c>
      <c r="HD67" s="173">
        <f>IF(AND(HD59=1,GRACE_TYPE=2),HD65,0)</f>
        <v>0</v>
      </c>
      <c r="HE67" s="173">
        <f>IF(AND(HE59=1,GRACE_TYPE=2),HE65,0)</f>
        <v>0</v>
      </c>
      <c r="HF67" s="173">
        <f>IF(AND(HF59=1,GRACE_TYPE=2),HF65,0)</f>
        <v>0</v>
      </c>
      <c r="HG67" s="173">
        <f>IF(AND(HG59=1,GRACE_TYPE=2),HG65,0)</f>
        <v>0</v>
      </c>
      <c r="HH67" s="173">
        <f>IF(AND(HH59=1,GRACE_TYPE=2),HH65,0)</f>
        <v>0</v>
      </c>
      <c r="HI67" s="173">
        <f>IF(AND(HI59=1,GRACE_TYPE=2),HI65,0)</f>
        <v>0</v>
      </c>
      <c r="HJ67" s="173">
        <f>IF(AND(HJ59=1,GRACE_TYPE=2),HJ65,0)</f>
        <v>0</v>
      </c>
      <c r="HK67" s="173">
        <f>IF(AND(HK59=1,GRACE_TYPE=2),HK65,0)</f>
        <v>0</v>
      </c>
      <c r="HL67" s="173">
        <f>IF(AND(HL59=1,GRACE_TYPE=2),HL65,0)</f>
        <v>0</v>
      </c>
      <c r="HM67" s="173">
        <f>IF(AND(HM59=1,GRACE_TYPE=2),HM65,0)</f>
        <v>0</v>
      </c>
      <c r="HN67" s="173">
        <f>IF(AND(HN59=1,GRACE_TYPE=2),HN65,0)</f>
        <v>0</v>
      </c>
      <c r="HO67" s="173">
        <f>IF(AND(HO59=1,GRACE_TYPE=2),HO65,0)</f>
        <v>0</v>
      </c>
      <c r="HP67" s="173">
        <f>IF(AND(HP59=1,GRACE_TYPE=2),HP65,0)</f>
        <v>0</v>
      </c>
      <c r="HQ67" s="173">
        <f>IF(AND(HQ59=1,GRACE_TYPE=2),HQ65,0)</f>
        <v>0</v>
      </c>
      <c r="HR67" s="173">
        <f>IF(AND(HR59=1,GRACE_TYPE=2),HR65,0)</f>
        <v>0</v>
      </c>
      <c r="HS67" s="173">
        <f>IF(AND(HS59=1,GRACE_TYPE=2),HS65,0)</f>
        <v>0</v>
      </c>
      <c r="HT67" s="173">
        <f>IF(AND(HT59=1,GRACE_TYPE=2),HT65,0)</f>
        <v>0</v>
      </c>
      <c r="HU67" s="173">
        <f>IF(AND(HU59=1,GRACE_TYPE=2),HU65,0)</f>
        <v>0</v>
      </c>
      <c r="HV67" s="173">
        <f>IF(AND(HV59=1,GRACE_TYPE=2),HV65,0)</f>
        <v>0</v>
      </c>
      <c r="HW67" s="173">
        <f>IF(AND(HW59=1,GRACE_TYPE=2),HW65,0)</f>
        <v>0</v>
      </c>
      <c r="HX67" s="173">
        <f>IF(AND(HX59=1,GRACE_TYPE=2),HX65,0)</f>
        <v>0</v>
      </c>
      <c r="HY67" s="173">
        <f>IF(AND(HY59=1,GRACE_TYPE=2),HY65,0)</f>
        <v>0</v>
      </c>
      <c r="HZ67" s="173">
        <f>IF(AND(HZ59=1,GRACE_TYPE=2),HZ65,0)</f>
        <v>0</v>
      </c>
      <c r="IA67" s="173">
        <f>IF(AND(IA59=1,GRACE_TYPE=2),IA65,0)</f>
        <v>0</v>
      </c>
      <c r="IB67" s="173">
        <f>IF(AND(IB59=1,GRACE_TYPE=2),IB65,0)</f>
        <v>0</v>
      </c>
      <c r="IC67" s="173">
        <f>IF(AND(IC59=1,GRACE_TYPE=2),IC65,0)</f>
        <v>0</v>
      </c>
      <c r="ID67" s="173">
        <f>IF(AND(ID59=1,GRACE_TYPE=2),ID65,0)</f>
        <v>0</v>
      </c>
      <c r="IE67" s="173">
        <f>IF(AND(IE59=1,GRACE_TYPE=2),IE65,0)</f>
        <v>0</v>
      </c>
      <c r="IF67" s="173">
        <f>IF(AND(IF59=1,GRACE_TYPE=2),IF65,0)</f>
        <v>0</v>
      </c>
      <c r="IG67" s="173">
        <f>IF(AND(IG59=1,GRACE_TYPE=2),IG65,0)</f>
        <v>0</v>
      </c>
      <c r="IH67" s="173">
        <f>IF(AND(IH59=1,GRACE_TYPE=2),IH65,0)</f>
        <v>0</v>
      </c>
      <c r="II67" s="173">
        <f>IF(AND(II59=1,GRACE_TYPE=2),II65,0)</f>
        <v>0</v>
      </c>
      <c r="IJ67" s="173">
        <f>IF(AND(IJ59=1,GRACE_TYPE=2),IJ65,0)</f>
        <v>0</v>
      </c>
      <c r="IK67" s="173">
        <f>IF(AND(IK59=1,GRACE_TYPE=2),IK65,0)</f>
        <v>0</v>
      </c>
      <c r="IL67" s="173">
        <f>IF(AND(IL59=1,GRACE_TYPE=2),IL65,0)</f>
        <v>0</v>
      </c>
      <c r="IM67" s="173">
        <f>IF(AND(IM59=1,GRACE_TYPE=2),IM65,0)</f>
        <v>0</v>
      </c>
      <c r="IN67" s="173">
        <f>IF(AND(IN59=1,GRACE_TYPE=2),IN65,0)</f>
        <v>0</v>
      </c>
      <c r="IO67" s="173">
        <f>IF(AND(IO59=1,GRACE_TYPE=2),IO65,0)</f>
        <v>0</v>
      </c>
      <c r="IP67" s="173">
        <f>IF(AND(IP59=1,GRACE_TYPE=2),IP65,0)</f>
        <v>0</v>
      </c>
      <c r="IQ67" s="173">
        <f>IF(AND(IQ59=1,GRACE_TYPE=2),IQ65,0)</f>
        <v>0</v>
      </c>
      <c r="IR67" s="173">
        <f>IF(AND(IR59=1,GRACE_TYPE=2),IR65,0)</f>
        <v>0</v>
      </c>
      <c r="IS67" s="173">
        <f>IF(AND(IS59=1,GRACE_TYPE=2),IS65,0)</f>
        <v>0</v>
      </c>
      <c r="IT67" s="173">
        <f>IF(AND(IT59=1,GRACE_TYPE=2),IT65,0)</f>
        <v>0</v>
      </c>
      <c r="IU67" s="173">
        <f>IF(AND(IU59=1,GRACE_TYPE=2),IU65,0)</f>
        <v>0</v>
      </c>
      <c r="IV67" s="173">
        <f>IF(AND(IV59=1,GRACE_TYPE=2),IV65,0)</f>
        <v>0</v>
      </c>
      <c r="IW67" s="173">
        <f>IF(AND(IW59=1,GRACE_TYPE=2),IW65,0)</f>
        <v>0</v>
      </c>
      <c r="IX67" s="173">
        <f>IF(AND(IX59=1,GRACE_TYPE=2),IX65,0)</f>
        <v>0</v>
      </c>
      <c r="IY67" s="173">
        <f>IF(AND(IY59=1,GRACE_TYPE=2),IY65,0)</f>
        <v>0</v>
      </c>
      <c r="IZ67" s="173">
        <f>IF(AND(IZ59=1,GRACE_TYPE=2),IZ65,0)</f>
        <v>0</v>
      </c>
      <c r="JA67" s="173">
        <f>IF(AND(JA59=1,GRACE_TYPE=2),JA65,0)</f>
        <v>0</v>
      </c>
      <c r="JB67" s="173">
        <f>IF(AND(JB59=1,GRACE_TYPE=2),JB65,0)</f>
        <v>0</v>
      </c>
      <c r="JC67" s="173">
        <f>IF(AND(JC59=1,GRACE_TYPE=2),JC65,0)</f>
        <v>0</v>
      </c>
      <c r="JD67" s="173">
        <f>IF(AND(JD59=1,GRACE_TYPE=2),JD65,0)</f>
        <v>0</v>
      </c>
      <c r="JE67" s="173">
        <f>IF(AND(JE59=1,GRACE_TYPE=2),JE65,0)</f>
        <v>0</v>
      </c>
      <c r="JF67" s="173">
        <f>IF(AND(JF59=1,GRACE_TYPE=2),JF65,0)</f>
        <v>0</v>
      </c>
      <c r="JG67" s="173">
        <f>IF(AND(JG59=1,GRACE_TYPE=2),JG65,0)</f>
        <v>0</v>
      </c>
      <c r="JH67" s="173">
        <f>IF(AND(JH59=1,GRACE_TYPE=2),JH65,0)</f>
        <v>0</v>
      </c>
      <c r="JI67" s="173">
        <f>IF(AND(JI59=1,GRACE_TYPE=2),JI65,0)</f>
        <v>0</v>
      </c>
      <c r="JJ67" s="173">
        <f>IF(AND(JJ59=1,GRACE_TYPE=2),JJ65,0)</f>
        <v>0</v>
      </c>
      <c r="JK67" s="173">
        <f>IF(AND(JK59=1,GRACE_TYPE=2),JK65,0)</f>
        <v>0</v>
      </c>
      <c r="JL67" s="173">
        <f>IF(AND(JL59=1,GRACE_TYPE=2),JL65,0)</f>
        <v>0</v>
      </c>
      <c r="JM67" s="173">
        <f>IF(AND(JM59=1,GRACE_TYPE=2),JM65,0)</f>
        <v>0</v>
      </c>
      <c r="JN67" s="173">
        <f>IF(AND(JN59=1,GRACE_TYPE=2),JN65,0)</f>
        <v>0</v>
      </c>
      <c r="JO67" s="173">
        <f>IF(AND(JO59=1,GRACE_TYPE=2),JO65,0)</f>
        <v>0</v>
      </c>
      <c r="JP67" s="173">
        <f>IF(AND(JP59=1,GRACE_TYPE=2),JP65,0)</f>
        <v>0</v>
      </c>
      <c r="JQ67" s="173">
        <f>IF(AND(JQ59=1,GRACE_TYPE=2),JQ65,0)</f>
        <v>0</v>
      </c>
      <c r="JR67" s="173">
        <f>IF(AND(JR59=1,GRACE_TYPE=2),JR65,0)</f>
        <v>0</v>
      </c>
      <c r="JS67" s="173">
        <f>IF(AND(JS59=1,GRACE_TYPE=2),JS65,0)</f>
        <v>0</v>
      </c>
      <c r="JT67" s="173">
        <f>IF(AND(JT59=1,GRACE_TYPE=2),JT65,0)</f>
        <v>0</v>
      </c>
      <c r="JU67" s="173">
        <f>IF(AND(JU59=1,GRACE_TYPE=2),JU65,0)</f>
        <v>0</v>
      </c>
      <c r="JV67" s="173">
        <f>IF(AND(JV59=1,GRACE_TYPE=2),JV65,0)</f>
        <v>0</v>
      </c>
      <c r="JW67" s="173">
        <f>IF(AND(JW59=1,GRACE_TYPE=2),JW65,0)</f>
        <v>0</v>
      </c>
      <c r="JX67" s="173">
        <f>IF(AND(JX59=1,GRACE_TYPE=2),JX65,0)</f>
        <v>0</v>
      </c>
      <c r="JY67" s="173">
        <f>IF(AND(JY59=1,GRACE_TYPE=2),JY65,0)</f>
        <v>0</v>
      </c>
      <c r="JZ67" s="173">
        <f>IF(AND(JZ59=1,GRACE_TYPE=2),JZ65,0)</f>
        <v>0</v>
      </c>
      <c r="KA67" s="173">
        <f>IF(AND(KA59=1,GRACE_TYPE=2),KA65,0)</f>
        <v>0</v>
      </c>
      <c r="KB67" s="173">
        <f>IF(AND(KB59=1,GRACE_TYPE=2),KB65,0)</f>
        <v>0</v>
      </c>
      <c r="KC67" s="173">
        <f>IF(AND(KC59=1,GRACE_TYPE=2),KC65,0)</f>
        <v>0</v>
      </c>
      <c r="KD67" s="173">
        <f>IF(AND(KD59=1,GRACE_TYPE=2),KD65,0)</f>
        <v>0</v>
      </c>
      <c r="KE67" s="173">
        <f>IF(AND(KE59=1,GRACE_TYPE=2),KE65,0)</f>
        <v>0</v>
      </c>
      <c r="KF67" s="173">
        <f>IF(AND(KF59=1,GRACE_TYPE=2),KF65,0)</f>
        <v>0</v>
      </c>
    </row>
    <row r="68">
      <c r="B68" s="36" t="inlineStr">
        <is>
          <t>Interest paid in cash</t>
        </is>
      </c>
      <c r="C68" s="117" t="inlineStr">
        <is>
          <t>ETB</t>
        </is>
      </c>
      <c r="D68" s="169">
        <f>SUM(E68:KF68)</f>
        <v>38971347.1605663</v>
      </c>
      <c r="E68" s="173">
        <f>E65-E66-E67</f>
        <v>0</v>
      </c>
      <c r="F68" s="173">
        <f>F65-F66-F67</f>
        <v>0</v>
      </c>
      <c r="G68" s="173">
        <f>G65-G66-G67</f>
        <v>0</v>
      </c>
      <c r="H68" s="173">
        <f>H65-H66-H67</f>
        <v>0</v>
      </c>
      <c r="I68" s="173">
        <f>I65-I66-I67</f>
        <v>0</v>
      </c>
      <c r="J68" s="173">
        <f>J65-J66-J67</f>
        <v>0</v>
      </c>
      <c r="K68" s="173">
        <f>K65-K66-K67</f>
        <v>0</v>
      </c>
      <c r="L68" s="173">
        <f>L65-L66-L67</f>
        <v>0</v>
      </c>
      <c r="M68" s="173">
        <f>M65-M66-M67</f>
        <v>0</v>
      </c>
      <c r="N68" s="173">
        <f>N65-N66-N67</f>
        <v>0</v>
      </c>
      <c r="O68" s="173">
        <f>O65-O66-O67</f>
        <v>0</v>
      </c>
      <c r="P68" s="173">
        <f>P65-P66-P67</f>
        <v>0</v>
      </c>
      <c r="Q68" s="173">
        <f>Q65-Q66-Q67</f>
        <v>0</v>
      </c>
      <c r="R68" s="173">
        <f>R65-R66-R67</f>
        <v>0</v>
      </c>
      <c r="S68" s="173">
        <f>S65-S66-S67</f>
        <v>0</v>
      </c>
      <c r="T68" s="173">
        <f>T65-T66-T67</f>
        <v>0</v>
      </c>
      <c r="U68" s="173">
        <f>U65-U66-U67</f>
        <v>0</v>
      </c>
      <c r="V68" s="173">
        <f>V65-V66-V67</f>
        <v>0</v>
      </c>
      <c r="W68" s="173">
        <f>W65-W66-W67</f>
        <v>0</v>
      </c>
      <c r="X68" s="173">
        <f>X65-X66-X67</f>
        <v>0</v>
      </c>
      <c r="Y68" s="173">
        <f>Y65-Y66-Y67</f>
        <v>0</v>
      </c>
      <c r="Z68" s="173">
        <f>Z65-Z66-Z67</f>
        <v>0</v>
      </c>
      <c r="AA68" s="173">
        <f>AA65-AA66-AA67</f>
        <v>0</v>
      </c>
      <c r="AB68" s="173">
        <f>AB65-AB66-AB67</f>
        <v>0</v>
      </c>
      <c r="AC68" s="173">
        <f>AC65-AC66-AC67</f>
        <v>0</v>
      </c>
      <c r="AD68" s="173">
        <f>AD65-AD66-AD67</f>
        <v>0</v>
      </c>
      <c r="AE68" s="173">
        <f>AE65-AE66-AE67</f>
        <v>0</v>
      </c>
      <c r="AF68" s="173">
        <f>AF65-AF66-AF67</f>
        <v>0</v>
      </c>
      <c r="AG68" s="173">
        <f>AG65-AG66-AG67</f>
        <v>0</v>
      </c>
      <c r="AH68" s="173">
        <f>AH65-AH66-AH67</f>
        <v>0</v>
      </c>
      <c r="AI68" s="173">
        <f>AI65-AI66-AI67</f>
        <v>1664373.67630251</v>
      </c>
      <c r="AJ68" s="173">
        <f>AJ65-AJ66-AJ67</f>
        <v>1173216.89140728</v>
      </c>
      <c r="AK68" s="173">
        <f>AK65-AK66-AK67</f>
        <v>1173216.89140728</v>
      </c>
      <c r="AL68" s="173">
        <f>AL65-AL66-AL67</f>
        <v>1173216.89140728</v>
      </c>
      <c r="AM68" s="173">
        <f>AM65-AM66-AM67</f>
        <v>1173216.89140728</v>
      </c>
      <c r="AN68" s="173">
        <f>AN65-AN66-AN67</f>
        <v>1173216.89140728</v>
      </c>
      <c r="AO68" s="173">
        <f>AO65-AO66-AO67</f>
        <v>1173216.89140728</v>
      </c>
      <c r="AP68" s="173">
        <f>AP65-AP66-AP67</f>
        <v>1173216.89140728</v>
      </c>
      <c r="AQ68" s="173">
        <f>AQ65-AQ66-AQ67</f>
        <v>1173216.89140728</v>
      </c>
      <c r="AR68" s="173">
        <f>AR65-AR66-AR67</f>
        <v>1173216.89140728</v>
      </c>
      <c r="AS68" s="173">
        <f>AS65-AS66-AS67</f>
        <v>1173216.89140728</v>
      </c>
      <c r="AT68" s="173">
        <f>AT65-AT66-AT67</f>
        <v>1173216.89140728</v>
      </c>
      <c r="AU68" s="173">
        <f>AU65-AU66-AU67</f>
        <v>680161.251407276</v>
      </c>
      <c r="AV68" s="173">
        <f>AV65-AV66-AV67</f>
        <v>680161.251407276</v>
      </c>
      <c r="AW68" s="173">
        <f>AW65-AW66-AW67</f>
        <v>680161.251407276</v>
      </c>
      <c r="AX68" s="173">
        <f>AX65-AX66-AX67</f>
        <v>670931.051751208</v>
      </c>
      <c r="AY68" s="173">
        <f>AY65-AY66-AY67</f>
        <v>670931.051751208</v>
      </c>
      <c r="AZ68" s="173">
        <f>AZ65-AZ66-AZ67</f>
        <v>670931.051751208</v>
      </c>
      <c r="BA68" s="173">
        <f>BA65-BA66-BA67</f>
        <v>661354.719608038</v>
      </c>
      <c r="BB68" s="173">
        <f>BB65-BB66-BB67</f>
        <v>661354.719608038</v>
      </c>
      <c r="BC68" s="173">
        <f>BC65-BC66-BC67</f>
        <v>661354.719608038</v>
      </c>
      <c r="BD68" s="173">
        <f>BD65-BD66-BD67</f>
        <v>651419.275009499</v>
      </c>
      <c r="BE68" s="173">
        <f>BE65-BE66-BE67</f>
        <v>651419.275009499</v>
      </c>
      <c r="BF68" s="173">
        <f>BF65-BF66-BF67</f>
        <v>651419.275009499</v>
      </c>
      <c r="BG68" s="173">
        <f>BG65-BG66-BG67</f>
        <v>279537.115238514</v>
      </c>
      <c r="BH68" s="173">
        <f>BH65-BH66-BH67</f>
        <v>279537.115238514</v>
      </c>
      <c r="BI68" s="173">
        <f>BI65-BI66-BI67</f>
        <v>279537.115238514</v>
      </c>
      <c r="BJ68" s="173">
        <f>BJ65-BJ66-BJ67</f>
        <v>274874.070339436</v>
      </c>
      <c r="BK68" s="173">
        <f>BK65-BK66-BK67</f>
        <v>274874.070339436</v>
      </c>
      <c r="BL68" s="173">
        <f>BL65-BL66-BL67</f>
        <v>274874.070339436</v>
      </c>
      <c r="BM68" s="173">
        <f>BM65-BM66-BM67</f>
        <v>270036.161256643</v>
      </c>
      <c r="BN68" s="173">
        <f>BN65-BN66-BN67</f>
        <v>270036.161256643</v>
      </c>
      <c r="BO68" s="173">
        <f>BO65-BO66-BO67</f>
        <v>270036.161256643</v>
      </c>
      <c r="BP68" s="173">
        <f>BP65-BP66-BP67</f>
        <v>265016.830583245</v>
      </c>
      <c r="BQ68" s="173">
        <f>BQ65-BQ66-BQ67</f>
        <v>265016.830583245</v>
      </c>
      <c r="BR68" s="173">
        <f>BR65-BR66-BR67</f>
        <v>265016.830583245</v>
      </c>
      <c r="BS68" s="173">
        <f>BS65-BS66-BS67</f>
        <v>259809.275009594</v>
      </c>
      <c r="BT68" s="173">
        <f>BT65-BT66-BT67</f>
        <v>259809.275009594</v>
      </c>
      <c r="BU68" s="173">
        <f>BU65-BU66-BU67</f>
        <v>259809.275009594</v>
      </c>
      <c r="BV68" s="173">
        <f>BV65-BV66-BV67</f>
        <v>254406.436101932</v>
      </c>
      <c r="BW68" s="173">
        <f>BW65-BW66-BW67</f>
        <v>254406.436101932</v>
      </c>
      <c r="BX68" s="173">
        <f>BX65-BX66-BX67</f>
        <v>254406.436101932</v>
      </c>
      <c r="BY68" s="173">
        <f>BY65-BY66-BY67</f>
        <v>248800.990735232</v>
      </c>
      <c r="BZ68" s="173">
        <f>BZ65-BZ66-BZ67</f>
        <v>248800.990735232</v>
      </c>
      <c r="CA68" s="173">
        <f>CA65-CA66-CA67</f>
        <v>248800.990735232</v>
      </c>
      <c r="CB68" s="173">
        <f>CB65-CB66-CB67</f>
        <v>242985.341167281</v>
      </c>
      <c r="CC68" s="173">
        <f>CC65-CC66-CC67</f>
        <v>242985.341167281</v>
      </c>
      <c r="CD68" s="173">
        <f>CD65-CD66-CD67</f>
        <v>242985.341167281</v>
      </c>
      <c r="CE68" s="173">
        <f>CE65-CE66-CE67</f>
        <v>236951.604740532</v>
      </c>
      <c r="CF68" s="173">
        <f>CF65-CF66-CF67</f>
        <v>236951.604740532</v>
      </c>
      <c r="CG68" s="173">
        <f>CG65-CG66-CG67</f>
        <v>236951.604740532</v>
      </c>
      <c r="CH68" s="173">
        <f>CH65-CH66-CH67</f>
        <v>230691.60319778</v>
      </c>
      <c r="CI68" s="173">
        <f>CI65-CI66-CI67</f>
        <v>230691.60319778</v>
      </c>
      <c r="CJ68" s="173">
        <f>CJ65-CJ66-CJ67</f>
        <v>230691.60319778</v>
      </c>
      <c r="CK68" s="173">
        <f>CK65-CK66-CK67</f>
        <v>224196.851597174</v>
      </c>
      <c r="CL68" s="173">
        <f>CL65-CL66-CL67</f>
        <v>224196.851597174</v>
      </c>
      <c r="CM68" s="173">
        <f>CM65-CM66-CM67</f>
        <v>224196.851597174</v>
      </c>
      <c r="CN68" s="173">
        <f>CN65-CN66-CN67</f>
        <v>217458.546811546</v>
      </c>
      <c r="CO68" s="173">
        <f>CO65-CO66-CO67</f>
        <v>217458.546811546</v>
      </c>
      <c r="CP68" s="173">
        <f>CP65-CP66-CP67</f>
        <v>217458.546811546</v>
      </c>
      <c r="CQ68" s="173">
        <f>CQ65-CQ66-CQ67</f>
        <v>210467.555596457</v>
      </c>
      <c r="CR68" s="173">
        <f>CR65-CR66-CR67</f>
        <v>210467.555596457</v>
      </c>
      <c r="CS68" s="173">
        <f>CS65-CS66-CS67</f>
        <v>210467.555596457</v>
      </c>
      <c r="CT68" s="173">
        <f>CT65-CT66-CT67</f>
        <v>203214.402210802</v>
      </c>
      <c r="CU68" s="173">
        <f>CU65-CU66-CU67</f>
        <v>203214.402210802</v>
      </c>
      <c r="CV68" s="173">
        <f>CV65-CV66-CV67</f>
        <v>203214.402210802</v>
      </c>
      <c r="CW68" s="173">
        <f>CW65-CW66-CW67</f>
        <v>195689.255573185</v>
      </c>
      <c r="CX68" s="173">
        <f>CX65-CX66-CX67</f>
        <v>195689.255573185</v>
      </c>
      <c r="CY68" s="173">
        <f>CY65-CY66-CY67</f>
        <v>195689.255573185</v>
      </c>
      <c r="CZ68" s="173">
        <f>CZ65-CZ66-CZ67</f>
        <v>187881.915936657</v>
      </c>
      <c r="DA68" s="173">
        <f>DA65-DA66-DA67</f>
        <v>187881.915936657</v>
      </c>
      <c r="DB68" s="173">
        <f>DB65-DB66-DB67</f>
        <v>187881.915936657</v>
      </c>
      <c r="DC68" s="173">
        <f>DC65-DC66-DC67</f>
        <v>179781.801063759</v>
      </c>
      <c r="DD68" s="173">
        <f>DD65-DD66-DD67</f>
        <v>179781.801063759</v>
      </c>
      <c r="DE68" s="173">
        <f>DE65-DE66-DE67</f>
        <v>179781.801063759</v>
      </c>
      <c r="DF68" s="173">
        <f>DF65-DF66-DF67</f>
        <v>171377.931883128</v>
      </c>
      <c r="DG68" s="173">
        <f>DG65-DG66-DG67</f>
        <v>171377.931883128</v>
      </c>
      <c r="DH68" s="173">
        <f>DH65-DH66-DH67</f>
        <v>171377.931883128</v>
      </c>
      <c r="DI68" s="173">
        <f>DI65-DI66-DI67</f>
        <v>162658.917608223</v>
      </c>
      <c r="DJ68" s="173">
        <f>DJ65-DJ66-DJ67</f>
        <v>162658.917608223</v>
      </c>
      <c r="DK68" s="173">
        <f>DK65-DK66-DK67</f>
        <v>162658.917608223</v>
      </c>
      <c r="DL68" s="173">
        <f>DL65-DL66-DL67</f>
        <v>153612.94029801</v>
      </c>
      <c r="DM68" s="173">
        <f>DM65-DM66-DM67</f>
        <v>153612.94029801</v>
      </c>
      <c r="DN68" s="173">
        <f>DN65-DN66-DN67</f>
        <v>153612.94029801</v>
      </c>
      <c r="DO68" s="173">
        <f>DO65-DO66-DO67</f>
        <v>144227.738838663</v>
      </c>
      <c r="DP68" s="173">
        <f>DP65-DP66-DP67</f>
        <v>144227.738838663</v>
      </c>
      <c r="DQ68" s="173">
        <f>DQ65-DQ66-DQ67</f>
        <v>144227.738838663</v>
      </c>
      <c r="DR68" s="173">
        <f>DR65-DR66-DR67</f>
        <v>134490.59232459</v>
      </c>
      <c r="DS68" s="173">
        <f>DS65-DS66-DS67</f>
        <v>134490.59232459</v>
      </c>
      <c r="DT68" s="173">
        <f>DT65-DT66-DT67</f>
        <v>134490.59232459</v>
      </c>
      <c r="DU68" s="173">
        <f>DU65-DU66-DU67</f>
        <v>124388.30281624</v>
      </c>
      <c r="DV68" s="173">
        <f>DV65-DV66-DV67</f>
        <v>124388.30281624</v>
      </c>
      <c r="DW68" s="173">
        <f>DW65-DW66-DW67</f>
        <v>124388.30281624</v>
      </c>
      <c r="DX68" s="173">
        <f>DX65-DX66-DX67</f>
        <v>113907.177451327</v>
      </c>
      <c r="DY68" s="173">
        <f>DY65-DY66-DY67</f>
        <v>113907.177451327</v>
      </c>
      <c r="DZ68" s="173">
        <f>DZ65-DZ66-DZ67</f>
        <v>113907.177451327</v>
      </c>
      <c r="EA68" s="173">
        <f>EA65-EA66-EA67</f>
        <v>103033.00988523</v>
      </c>
      <c r="EB68" s="173">
        <f>EB65-EB66-EB67</f>
        <v>103033.00988523</v>
      </c>
      <c r="EC68" s="173">
        <f>EC65-EC66-EC67</f>
        <v>103033.00988523</v>
      </c>
      <c r="ED68" s="173">
        <f>ED65-ED66-ED67</f>
        <v>91751.0610354038</v>
      </c>
      <c r="EE68" s="173">
        <f>EE65-EE66-EE67</f>
        <v>91751.0610354038</v>
      </c>
      <c r="EF68" s="173">
        <f>EF65-EF66-EF67</f>
        <v>91751.0610354038</v>
      </c>
      <c r="EG68" s="173">
        <f>EG65-EG66-EG67</f>
        <v>80046.0391037092</v>
      </c>
      <c r="EH68" s="173">
        <f>EH65-EH66-EH67</f>
        <v>80046.0391037092</v>
      </c>
      <c r="EI68" s="173">
        <f>EI65-EI66-EI67</f>
        <v>80046.0391037092</v>
      </c>
      <c r="EJ68" s="173">
        <f>EJ65-EJ66-EJ67</f>
        <v>67902.0788495761</v>
      </c>
      <c r="EK68" s="173">
        <f>EK65-EK66-EK67</f>
        <v>67902.0788495761</v>
      </c>
      <c r="EL68" s="173">
        <f>EL65-EL66-EL67</f>
        <v>67902.0788495761</v>
      </c>
      <c r="EM68" s="173">
        <f>EM65-EM66-EM67</f>
        <v>55302.7200859131</v>
      </c>
      <c r="EN68" s="173">
        <f>EN65-EN66-EN67</f>
        <v>55302.7200859131</v>
      </c>
      <c r="EO68" s="173">
        <f>EO65-EO66-EO67</f>
        <v>55302.7200859131</v>
      </c>
      <c r="EP68" s="173">
        <f>EP65-EP66-EP67</f>
        <v>42230.8853686126</v>
      </c>
      <c r="EQ68" s="173">
        <f>EQ65-EQ66-EQ67</f>
        <v>42230.8853686126</v>
      </c>
      <c r="ER68" s="173">
        <f>ER65-ER66-ER67</f>
        <v>42230.8853686126</v>
      </c>
      <c r="ES68" s="173">
        <f>ES65-ES66-ES67</f>
        <v>28668.8568494134</v>
      </c>
      <c r="ET68" s="173">
        <f>ET65-ET66-ET67</f>
        <v>28668.8568494134</v>
      </c>
      <c r="EU68" s="173">
        <f>EU65-EU66-EU67</f>
        <v>28668.8568494134</v>
      </c>
      <c r="EV68" s="173">
        <f>EV65-EV66-EV67</f>
        <v>14598.2522607443</v>
      </c>
      <c r="EW68" s="173">
        <f>EW65-EW66-EW67</f>
        <v>14598.2522607443</v>
      </c>
      <c r="EX68" s="173">
        <f>EX65-EX66-EX67</f>
        <v>14598.2522607443</v>
      </c>
      <c r="EY68" s="173">
        <f>EY65-EY66-EY67</f>
        <v>0</v>
      </c>
      <c r="EZ68" s="173">
        <f>EZ65-EZ66-EZ67</f>
        <v>0</v>
      </c>
      <c r="FA68" s="173">
        <f>FA65-FA66-FA67</f>
        <v>0</v>
      </c>
      <c r="FB68" s="173">
        <f>FB65-FB66-FB67</f>
        <v>0</v>
      </c>
      <c r="FC68" s="173">
        <f>FC65-FC66-FC67</f>
        <v>0</v>
      </c>
      <c r="FD68" s="173">
        <f>FD65-FD66-FD67</f>
        <v>0</v>
      </c>
      <c r="FE68" s="173">
        <f>FE65-FE66-FE67</f>
        <v>0</v>
      </c>
      <c r="FF68" s="173">
        <f>FF65-FF66-FF67</f>
        <v>0</v>
      </c>
      <c r="FG68" s="173">
        <f>FG65-FG66-FG67</f>
        <v>0</v>
      </c>
      <c r="FH68" s="173">
        <f>FH65-FH66-FH67</f>
        <v>0</v>
      </c>
      <c r="FI68" s="173">
        <f>FI65-FI66-FI67</f>
        <v>0</v>
      </c>
      <c r="FJ68" s="173">
        <f>FJ65-FJ66-FJ67</f>
        <v>0</v>
      </c>
      <c r="FK68" s="173">
        <f>FK65-FK66-FK67</f>
        <v>0</v>
      </c>
      <c r="FL68" s="173">
        <f>FL65-FL66-FL67</f>
        <v>0</v>
      </c>
      <c r="FM68" s="173">
        <f>FM65-FM66-FM67</f>
        <v>0</v>
      </c>
      <c r="FN68" s="173">
        <f>FN65-FN66-FN67</f>
        <v>0</v>
      </c>
      <c r="FO68" s="173">
        <f>FO65-FO66-FO67</f>
        <v>0</v>
      </c>
      <c r="FP68" s="173">
        <f>FP65-FP66-FP67</f>
        <v>0</v>
      </c>
      <c r="FQ68" s="173">
        <f>FQ65-FQ66-FQ67</f>
        <v>0</v>
      </c>
      <c r="FR68" s="173">
        <f>FR65-FR66-FR67</f>
        <v>0</v>
      </c>
      <c r="FS68" s="173">
        <f>FS65-FS66-FS67</f>
        <v>0</v>
      </c>
      <c r="FT68" s="173">
        <f>FT65-FT66-FT67</f>
        <v>0</v>
      </c>
      <c r="FU68" s="173">
        <f>FU65-FU66-FU67</f>
        <v>0</v>
      </c>
      <c r="FV68" s="173">
        <f>FV65-FV66-FV67</f>
        <v>0</v>
      </c>
      <c r="FW68" s="173">
        <f>FW65-FW66-FW67</f>
        <v>0</v>
      </c>
      <c r="FX68" s="173">
        <f>FX65-FX66-FX67</f>
        <v>0</v>
      </c>
      <c r="FY68" s="173">
        <f>FY65-FY66-FY67</f>
        <v>0</v>
      </c>
      <c r="FZ68" s="173">
        <f>FZ65-FZ66-FZ67</f>
        <v>0</v>
      </c>
      <c r="GA68" s="173">
        <f>GA65-GA66-GA67</f>
        <v>0</v>
      </c>
      <c r="GB68" s="173">
        <f>GB65-GB66-GB67</f>
        <v>0</v>
      </c>
      <c r="GC68" s="173">
        <f>GC65-GC66-GC67</f>
        <v>0</v>
      </c>
      <c r="GD68" s="173">
        <f>GD65-GD66-GD67</f>
        <v>0</v>
      </c>
      <c r="GE68" s="173">
        <f>GE65-GE66-GE67</f>
        <v>0</v>
      </c>
      <c r="GF68" s="173">
        <f>GF65-GF66-GF67</f>
        <v>0</v>
      </c>
      <c r="GG68" s="173">
        <f>GG65-GG66-GG67</f>
        <v>0</v>
      </c>
      <c r="GH68" s="173">
        <f>GH65-GH66-GH67</f>
        <v>0</v>
      </c>
      <c r="GI68" s="173">
        <f>GI65-GI66-GI67</f>
        <v>0</v>
      </c>
      <c r="GJ68" s="173">
        <f>GJ65-GJ66-GJ67</f>
        <v>0</v>
      </c>
      <c r="GK68" s="173">
        <f>GK65-GK66-GK67</f>
        <v>0</v>
      </c>
      <c r="GL68" s="173">
        <f>GL65-GL66-GL67</f>
        <v>0</v>
      </c>
      <c r="GM68" s="173">
        <f>GM65-GM66-GM67</f>
        <v>0</v>
      </c>
      <c r="GN68" s="173">
        <f>GN65-GN66-GN67</f>
        <v>0</v>
      </c>
      <c r="GO68" s="173">
        <f>GO65-GO66-GO67</f>
        <v>0</v>
      </c>
      <c r="GP68" s="173">
        <f>GP65-GP66-GP67</f>
        <v>0</v>
      </c>
      <c r="GQ68" s="173">
        <f>GQ65-GQ66-GQ67</f>
        <v>0</v>
      </c>
      <c r="GR68" s="173">
        <f>GR65-GR66-GR67</f>
        <v>0</v>
      </c>
      <c r="GS68" s="173">
        <f>GS65-GS66-GS67</f>
        <v>0</v>
      </c>
      <c r="GT68" s="173">
        <f>GT65-GT66-GT67</f>
        <v>0</v>
      </c>
      <c r="GU68" s="173">
        <f>GU65-GU66-GU67</f>
        <v>0</v>
      </c>
      <c r="GV68" s="173">
        <f>GV65-GV66-GV67</f>
        <v>0</v>
      </c>
      <c r="GW68" s="173">
        <f>GW65-GW66-GW67</f>
        <v>0</v>
      </c>
      <c r="GX68" s="173">
        <f>GX65-GX66-GX67</f>
        <v>0</v>
      </c>
      <c r="GY68" s="173">
        <f>GY65-GY66-GY67</f>
        <v>0</v>
      </c>
      <c r="GZ68" s="173">
        <f>GZ65-GZ66-GZ67</f>
        <v>0</v>
      </c>
      <c r="HA68" s="173">
        <f>HA65-HA66-HA67</f>
        <v>0</v>
      </c>
      <c r="HB68" s="173">
        <f>HB65-HB66-HB67</f>
        <v>0</v>
      </c>
      <c r="HC68" s="173">
        <f>HC65-HC66-HC67</f>
        <v>0</v>
      </c>
      <c r="HD68" s="173">
        <f>HD65-HD66-HD67</f>
        <v>0</v>
      </c>
      <c r="HE68" s="173">
        <f>HE65-HE66-HE67</f>
        <v>0</v>
      </c>
      <c r="HF68" s="173">
        <f>HF65-HF66-HF67</f>
        <v>0</v>
      </c>
      <c r="HG68" s="173">
        <f>HG65-HG66-HG67</f>
        <v>0</v>
      </c>
      <c r="HH68" s="173">
        <f>HH65-HH66-HH67</f>
        <v>0</v>
      </c>
      <c r="HI68" s="173">
        <f>HI65-HI66-HI67</f>
        <v>0</v>
      </c>
      <c r="HJ68" s="173">
        <f>HJ65-HJ66-HJ67</f>
        <v>0</v>
      </c>
      <c r="HK68" s="173">
        <f>HK65-HK66-HK67</f>
        <v>0</v>
      </c>
      <c r="HL68" s="173">
        <f>HL65-HL66-HL67</f>
        <v>0</v>
      </c>
      <c r="HM68" s="173">
        <f>HM65-HM66-HM67</f>
        <v>0</v>
      </c>
      <c r="HN68" s="173">
        <f>HN65-HN66-HN67</f>
        <v>0</v>
      </c>
      <c r="HO68" s="173">
        <f>HO65-HO66-HO67</f>
        <v>0</v>
      </c>
      <c r="HP68" s="173">
        <f>HP65-HP66-HP67</f>
        <v>0</v>
      </c>
      <c r="HQ68" s="173">
        <f>HQ65-HQ66-HQ67</f>
        <v>0</v>
      </c>
      <c r="HR68" s="173">
        <f>HR65-HR66-HR67</f>
        <v>0</v>
      </c>
      <c r="HS68" s="173">
        <f>HS65-HS66-HS67</f>
        <v>0</v>
      </c>
      <c r="HT68" s="173">
        <f>HT65-HT66-HT67</f>
        <v>0</v>
      </c>
      <c r="HU68" s="173">
        <f>HU65-HU66-HU67</f>
        <v>0</v>
      </c>
      <c r="HV68" s="173">
        <f>HV65-HV66-HV67</f>
        <v>0</v>
      </c>
      <c r="HW68" s="173">
        <f>HW65-HW66-HW67</f>
        <v>0</v>
      </c>
      <c r="HX68" s="173">
        <f>HX65-HX66-HX67</f>
        <v>0</v>
      </c>
      <c r="HY68" s="173">
        <f>HY65-HY66-HY67</f>
        <v>0</v>
      </c>
      <c r="HZ68" s="173">
        <f>HZ65-HZ66-HZ67</f>
        <v>0</v>
      </c>
      <c r="IA68" s="173">
        <f>IA65-IA66-IA67</f>
        <v>0</v>
      </c>
      <c r="IB68" s="173">
        <f>IB65-IB66-IB67</f>
        <v>0</v>
      </c>
      <c r="IC68" s="173">
        <f>IC65-IC66-IC67</f>
        <v>0</v>
      </c>
      <c r="ID68" s="173">
        <f>ID65-ID66-ID67</f>
        <v>0</v>
      </c>
      <c r="IE68" s="173">
        <f>IE65-IE66-IE67</f>
        <v>0</v>
      </c>
      <c r="IF68" s="173">
        <f>IF65-IF66-IF67</f>
        <v>0</v>
      </c>
      <c r="IG68" s="173">
        <f>IG65-IG66-IG67</f>
        <v>0</v>
      </c>
      <c r="IH68" s="173">
        <f>IH65-IH66-IH67</f>
        <v>0</v>
      </c>
      <c r="II68" s="173">
        <f>II65-II66-II67</f>
        <v>0</v>
      </c>
      <c r="IJ68" s="173">
        <f>IJ65-IJ66-IJ67</f>
        <v>0</v>
      </c>
      <c r="IK68" s="173">
        <f>IK65-IK66-IK67</f>
        <v>0</v>
      </c>
      <c r="IL68" s="173">
        <f>IL65-IL66-IL67</f>
        <v>0</v>
      </c>
      <c r="IM68" s="173">
        <f>IM65-IM66-IM67</f>
        <v>0</v>
      </c>
      <c r="IN68" s="173">
        <f>IN65-IN66-IN67</f>
        <v>0</v>
      </c>
      <c r="IO68" s="173">
        <f>IO65-IO66-IO67</f>
        <v>0</v>
      </c>
      <c r="IP68" s="173">
        <f>IP65-IP66-IP67</f>
        <v>0</v>
      </c>
      <c r="IQ68" s="173">
        <f>IQ65-IQ66-IQ67</f>
        <v>0</v>
      </c>
      <c r="IR68" s="173">
        <f>IR65-IR66-IR67</f>
        <v>0</v>
      </c>
      <c r="IS68" s="173">
        <f>IS65-IS66-IS67</f>
        <v>0</v>
      </c>
      <c r="IT68" s="173">
        <f>IT65-IT66-IT67</f>
        <v>0</v>
      </c>
      <c r="IU68" s="173">
        <f>IU65-IU66-IU67</f>
        <v>0</v>
      </c>
      <c r="IV68" s="173">
        <f>IV65-IV66-IV67</f>
        <v>0</v>
      </c>
      <c r="IW68" s="173">
        <f>IW65-IW66-IW67</f>
        <v>0</v>
      </c>
      <c r="IX68" s="173">
        <f>IX65-IX66-IX67</f>
        <v>0</v>
      </c>
      <c r="IY68" s="173">
        <f>IY65-IY66-IY67</f>
        <v>0</v>
      </c>
      <c r="IZ68" s="173">
        <f>IZ65-IZ66-IZ67</f>
        <v>0</v>
      </c>
      <c r="JA68" s="173">
        <f>JA65-JA66-JA67</f>
        <v>0</v>
      </c>
      <c r="JB68" s="173">
        <f>JB65-JB66-JB67</f>
        <v>0</v>
      </c>
      <c r="JC68" s="173">
        <f>JC65-JC66-JC67</f>
        <v>0</v>
      </c>
      <c r="JD68" s="173">
        <f>JD65-JD66-JD67</f>
        <v>0</v>
      </c>
      <c r="JE68" s="173">
        <f>JE65-JE66-JE67</f>
        <v>0</v>
      </c>
      <c r="JF68" s="173">
        <f>JF65-JF66-JF67</f>
        <v>0</v>
      </c>
      <c r="JG68" s="173">
        <f>JG65-JG66-JG67</f>
        <v>0</v>
      </c>
      <c r="JH68" s="173">
        <f>JH65-JH66-JH67</f>
        <v>0</v>
      </c>
      <c r="JI68" s="173">
        <f>JI65-JI66-JI67</f>
        <v>0</v>
      </c>
      <c r="JJ68" s="173">
        <f>JJ65-JJ66-JJ67</f>
        <v>0</v>
      </c>
      <c r="JK68" s="173">
        <f>JK65-JK66-JK67</f>
        <v>0</v>
      </c>
      <c r="JL68" s="173">
        <f>JL65-JL66-JL67</f>
        <v>0</v>
      </c>
      <c r="JM68" s="173">
        <f>JM65-JM66-JM67</f>
        <v>0</v>
      </c>
      <c r="JN68" s="173">
        <f>JN65-JN66-JN67</f>
        <v>0</v>
      </c>
      <c r="JO68" s="173">
        <f>JO65-JO66-JO67</f>
        <v>0</v>
      </c>
      <c r="JP68" s="173">
        <f>JP65-JP66-JP67</f>
        <v>0</v>
      </c>
      <c r="JQ68" s="173">
        <f>JQ65-JQ66-JQ67</f>
        <v>0</v>
      </c>
      <c r="JR68" s="173">
        <f>JR65-JR66-JR67</f>
        <v>0</v>
      </c>
      <c r="JS68" s="173">
        <f>JS65-JS66-JS67</f>
        <v>0</v>
      </c>
      <c r="JT68" s="173">
        <f>JT65-JT66-JT67</f>
        <v>0</v>
      </c>
      <c r="JU68" s="173">
        <f>JU65-JU66-JU67</f>
        <v>0</v>
      </c>
      <c r="JV68" s="173">
        <f>JV65-JV66-JV67</f>
        <v>0</v>
      </c>
      <c r="JW68" s="173">
        <f>JW65-JW66-JW67</f>
        <v>0</v>
      </c>
      <c r="JX68" s="173">
        <f>JX65-JX66-JX67</f>
        <v>0</v>
      </c>
      <c r="JY68" s="173">
        <f>JY65-JY66-JY67</f>
        <v>0</v>
      </c>
      <c r="JZ68" s="173">
        <f>JZ65-JZ66-JZ67</f>
        <v>0</v>
      </c>
      <c r="KA68" s="173">
        <f>KA65-KA66-KA67</f>
        <v>0</v>
      </c>
      <c r="KB68" s="173">
        <f>KB65-KB66-KB67</f>
        <v>0</v>
      </c>
      <c r="KC68" s="173">
        <f>KC65-KC66-KC67</f>
        <v>0</v>
      </c>
      <c r="KD68" s="173">
        <f>KD65-KD66-KD67</f>
        <v>0</v>
      </c>
      <c r="KE68" s="173">
        <f>KE65-KE66-KE67</f>
        <v>0</v>
      </c>
      <c r="KF68" s="173">
        <f>KF65-KF66-KF67</f>
        <v>0</v>
      </c>
    </row>
    <row r="69">
      <c r="B69" s="36" t="inlineStr">
        <is>
          <t>Balance at start of repayment</t>
        </is>
      </c>
      <c r="C69" s="117" t="inlineStr">
        <is>
          <t>ETB</t>
        </is>
      </c>
      <c r="D69" s="169">
        <f>MAX(E69:KF69)</f>
        <v>54412900.1125821</v>
      </c>
      <c r="E69" s="173">
        <f>IF(E55=GRACE_M+1,E63,0)</f>
        <v>0</v>
      </c>
      <c r="F69" s="173">
        <f>IF(F55=GRACE_M+1,F63,E69)</f>
        <v>0</v>
      </c>
      <c r="G69" s="173">
        <f>IF(G55=GRACE_M+1,G63,F69)</f>
        <v>0</v>
      </c>
      <c r="H69" s="173">
        <f>IF(H55=GRACE_M+1,H63,G69)</f>
        <v>0</v>
      </c>
      <c r="I69" s="173">
        <f>IF(I55=GRACE_M+1,I63,H69)</f>
        <v>0</v>
      </c>
      <c r="J69" s="173">
        <f>IF(J55=GRACE_M+1,J63,I69)</f>
        <v>0</v>
      </c>
      <c r="K69" s="173">
        <f>IF(K55=GRACE_M+1,K63,J69)</f>
        <v>0</v>
      </c>
      <c r="L69" s="173">
        <f>IF(L55=GRACE_M+1,L63,K69)</f>
        <v>0</v>
      </c>
      <c r="M69" s="173">
        <f>IF(M55=GRACE_M+1,M63,L69)</f>
        <v>0</v>
      </c>
      <c r="N69" s="173">
        <f>IF(N55=GRACE_M+1,N63,M69)</f>
        <v>0</v>
      </c>
      <c r="O69" s="173">
        <f>IF(O55=GRACE_M+1,O63,N69)</f>
        <v>0</v>
      </c>
      <c r="P69" s="173">
        <f>IF(P55=GRACE_M+1,P63,O69)</f>
        <v>0</v>
      </c>
      <c r="Q69" s="173">
        <f>IF(Q55=GRACE_M+1,Q63,P69)</f>
        <v>0</v>
      </c>
      <c r="R69" s="173">
        <f>IF(R55=GRACE_M+1,R63,Q69)</f>
        <v>0</v>
      </c>
      <c r="S69" s="173">
        <f>IF(S55=GRACE_M+1,S63,R69)</f>
        <v>0</v>
      </c>
      <c r="T69" s="173">
        <f>IF(T55=GRACE_M+1,T63,S69)</f>
        <v>0</v>
      </c>
      <c r="U69" s="173">
        <f>IF(U55=GRACE_M+1,U63,T69)</f>
        <v>0</v>
      </c>
      <c r="V69" s="173">
        <f>IF(V55=GRACE_M+1,V63,U69)</f>
        <v>0</v>
      </c>
      <c r="W69" s="173">
        <f>IF(W55=GRACE_M+1,W63,V69)</f>
        <v>0</v>
      </c>
      <c r="X69" s="173">
        <f>IF(X55=GRACE_M+1,X63,W69)</f>
        <v>0</v>
      </c>
      <c r="Y69" s="173">
        <f>IF(Y55=GRACE_M+1,Y63,X69)</f>
        <v>0</v>
      </c>
      <c r="Z69" s="173">
        <f>IF(Z55=GRACE_M+1,Z63,Y69)</f>
        <v>0</v>
      </c>
      <c r="AA69" s="173">
        <f>IF(AA55=GRACE_M+1,AA63,Z69)</f>
        <v>0</v>
      </c>
      <c r="AB69" s="173">
        <f>IF(AB55=GRACE_M+1,AB63,AA69)</f>
        <v>0</v>
      </c>
      <c r="AC69" s="173">
        <f>IF(AC55=GRACE_M+1,AC63,AB69)</f>
        <v>0</v>
      </c>
      <c r="AD69" s="173">
        <f>IF(AD55=GRACE_M+1,AD63,AC69)</f>
        <v>0</v>
      </c>
      <c r="AE69" s="173">
        <f>IF(AE55=GRACE_M+1,AE63,AD69)</f>
        <v>0</v>
      </c>
      <c r="AF69" s="173">
        <f>IF(AF55=GRACE_M+1,AF63,AE69)</f>
        <v>0</v>
      </c>
      <c r="AG69" s="173">
        <f>IF(AG55=GRACE_M+1,AG63,AF69)</f>
        <v>0</v>
      </c>
      <c r="AH69" s="173">
        <f>IF(AH55=GRACE_M+1,AH63,AG69)</f>
        <v>0</v>
      </c>
      <c r="AI69" s="173">
        <f>IF(AI55=GRACE_M+1,AI63,AH69)</f>
        <v>0</v>
      </c>
      <c r="AJ69" s="173">
        <f>IF(AJ55=GRACE_M+1,AJ63,AI69)</f>
        <v>0</v>
      </c>
      <c r="AK69" s="173">
        <f>IF(AK55=GRACE_M+1,AK63,AJ69)</f>
        <v>0</v>
      </c>
      <c r="AL69" s="173">
        <f>IF(AL55=GRACE_M+1,AL63,AK69)</f>
        <v>0</v>
      </c>
      <c r="AM69" s="173">
        <f>IF(AM55=GRACE_M+1,AM63,AL69)</f>
        <v>0</v>
      </c>
      <c r="AN69" s="173">
        <f>IF(AN55=GRACE_M+1,AN63,AM69)</f>
        <v>0</v>
      </c>
      <c r="AO69" s="173">
        <f>IF(AO55=GRACE_M+1,AO63,AN69)</f>
        <v>0</v>
      </c>
      <c r="AP69" s="173">
        <f>IF(AP55=GRACE_M+1,AP63,AO69)</f>
        <v>0</v>
      </c>
      <c r="AQ69" s="173">
        <f>IF(AQ55=GRACE_M+1,AQ63,AP69)</f>
        <v>0</v>
      </c>
      <c r="AR69" s="173">
        <f>IF(AR55=GRACE_M+1,AR63,AQ69)</f>
        <v>0</v>
      </c>
      <c r="AS69" s="173">
        <f>IF(AS55=GRACE_M+1,AS63,AR69)</f>
        <v>0</v>
      </c>
      <c r="AT69" s="173">
        <f>IF(AT55=GRACE_M+1,AT63,AS69)</f>
        <v>0</v>
      </c>
      <c r="AU69" s="173">
        <f>IF(AU55=GRACE_M+1,AU63,AT69)</f>
        <v>54412900.1125821</v>
      </c>
      <c r="AV69" s="173">
        <f>IF(AV55=GRACE_M+1,AV63,AU69)</f>
        <v>54412900.1125821</v>
      </c>
      <c r="AW69" s="173">
        <f>IF(AW55=GRACE_M+1,AW63,AV69)</f>
        <v>54412900.1125821</v>
      </c>
      <c r="AX69" s="173">
        <f>IF(AX55=GRACE_M+1,AX63,AW69)</f>
        <v>54412900.1125821</v>
      </c>
      <c r="AY69" s="173">
        <f>IF(AY55=GRACE_M+1,AY63,AX69)</f>
        <v>54412900.1125821</v>
      </c>
      <c r="AZ69" s="173">
        <f>IF(AZ55=GRACE_M+1,AZ63,AY69)</f>
        <v>54412900.1125821</v>
      </c>
      <c r="BA69" s="173">
        <f>IF(BA55=GRACE_M+1,BA63,AZ69)</f>
        <v>54412900.1125821</v>
      </c>
      <c r="BB69" s="173">
        <f>IF(BB55=GRACE_M+1,BB63,BA69)</f>
        <v>54412900.1125821</v>
      </c>
      <c r="BC69" s="173">
        <f>IF(BC55=GRACE_M+1,BC63,BB69)</f>
        <v>54412900.1125821</v>
      </c>
      <c r="BD69" s="173">
        <f>IF(BD55=GRACE_M+1,BD63,BC69)</f>
        <v>54412900.1125821</v>
      </c>
      <c r="BE69" s="173">
        <f>IF(BE55=GRACE_M+1,BE63,BD69)</f>
        <v>54412900.1125821</v>
      </c>
      <c r="BF69" s="173">
        <f>IF(BF55=GRACE_M+1,BF63,BE69)</f>
        <v>54412900.1125821</v>
      </c>
      <c r="BG69" s="173">
        <f>IF(BG55=GRACE_M+1,BG63,BF69)</f>
        <v>54412900.1125821</v>
      </c>
      <c r="BH69" s="173">
        <f>IF(BH55=GRACE_M+1,BH63,BG69)</f>
        <v>54412900.1125821</v>
      </c>
      <c r="BI69" s="173">
        <f>IF(BI55=GRACE_M+1,BI63,BH69)</f>
        <v>54412900.1125821</v>
      </c>
      <c r="BJ69" s="173">
        <f>IF(BJ55=GRACE_M+1,BJ63,BI69)</f>
        <v>54412900.1125821</v>
      </c>
      <c r="BK69" s="173">
        <f>IF(BK55=GRACE_M+1,BK63,BJ69)</f>
        <v>54412900.1125821</v>
      </c>
      <c r="BL69" s="173">
        <f>IF(BL55=GRACE_M+1,BL63,BK69)</f>
        <v>54412900.1125821</v>
      </c>
      <c r="BM69" s="173">
        <f>IF(BM55=GRACE_M+1,BM63,BL69)</f>
        <v>54412900.1125821</v>
      </c>
      <c r="BN69" s="173">
        <f>IF(BN55=GRACE_M+1,BN63,BM69)</f>
        <v>54412900.1125821</v>
      </c>
      <c r="BO69" s="173">
        <f>IF(BO55=GRACE_M+1,BO63,BN69)</f>
        <v>54412900.1125821</v>
      </c>
      <c r="BP69" s="173">
        <f>IF(BP55=GRACE_M+1,BP63,BO69)</f>
        <v>54412900.1125821</v>
      </c>
      <c r="BQ69" s="173">
        <f>IF(BQ55=GRACE_M+1,BQ63,BP69)</f>
        <v>54412900.1125821</v>
      </c>
      <c r="BR69" s="173">
        <f>IF(BR55=GRACE_M+1,BR63,BQ69)</f>
        <v>54412900.1125821</v>
      </c>
      <c r="BS69" s="173">
        <f>IF(BS55=GRACE_M+1,BS63,BR69)</f>
        <v>54412900.1125821</v>
      </c>
      <c r="BT69" s="173">
        <f>IF(BT55=GRACE_M+1,BT63,BS69)</f>
        <v>54412900.1125821</v>
      </c>
      <c r="BU69" s="173">
        <f>IF(BU55=GRACE_M+1,BU63,BT69)</f>
        <v>54412900.1125821</v>
      </c>
      <c r="BV69" s="173">
        <f>IF(BV55=GRACE_M+1,BV63,BU69)</f>
        <v>54412900.1125821</v>
      </c>
      <c r="BW69" s="173">
        <f>IF(BW55=GRACE_M+1,BW63,BV69)</f>
        <v>54412900.1125821</v>
      </c>
      <c r="BX69" s="173">
        <f>IF(BX55=GRACE_M+1,BX63,BW69)</f>
        <v>54412900.1125821</v>
      </c>
      <c r="BY69" s="173">
        <f>IF(BY55=GRACE_M+1,BY63,BX69)</f>
        <v>54412900.1125821</v>
      </c>
      <c r="BZ69" s="173">
        <f>IF(BZ55=GRACE_M+1,BZ63,BY69)</f>
        <v>54412900.1125821</v>
      </c>
      <c r="CA69" s="173">
        <f>IF(CA55=GRACE_M+1,CA63,BZ69)</f>
        <v>54412900.1125821</v>
      </c>
      <c r="CB69" s="173">
        <f>IF(CB55=GRACE_M+1,CB63,CA69)</f>
        <v>54412900.1125821</v>
      </c>
      <c r="CC69" s="173">
        <f>IF(CC55=GRACE_M+1,CC63,CB69)</f>
        <v>54412900.1125821</v>
      </c>
      <c r="CD69" s="173">
        <f>IF(CD55=GRACE_M+1,CD63,CC69)</f>
        <v>54412900.1125821</v>
      </c>
      <c r="CE69" s="173">
        <f>IF(CE55=GRACE_M+1,CE63,CD69)</f>
        <v>54412900.1125821</v>
      </c>
      <c r="CF69" s="173">
        <f>IF(CF55=GRACE_M+1,CF63,CE69)</f>
        <v>54412900.1125821</v>
      </c>
      <c r="CG69" s="173">
        <f>IF(CG55=GRACE_M+1,CG63,CF69)</f>
        <v>54412900.1125821</v>
      </c>
      <c r="CH69" s="173">
        <f>IF(CH55=GRACE_M+1,CH63,CG69)</f>
        <v>54412900.1125821</v>
      </c>
      <c r="CI69" s="173">
        <f>IF(CI55=GRACE_M+1,CI63,CH69)</f>
        <v>54412900.1125821</v>
      </c>
      <c r="CJ69" s="173">
        <f>IF(CJ55=GRACE_M+1,CJ63,CI69)</f>
        <v>54412900.1125821</v>
      </c>
      <c r="CK69" s="173">
        <f>IF(CK55=GRACE_M+1,CK63,CJ69)</f>
        <v>54412900.1125821</v>
      </c>
      <c r="CL69" s="173">
        <f>IF(CL55=GRACE_M+1,CL63,CK69)</f>
        <v>54412900.1125821</v>
      </c>
      <c r="CM69" s="173">
        <f>IF(CM55=GRACE_M+1,CM63,CL69)</f>
        <v>54412900.1125821</v>
      </c>
      <c r="CN69" s="173">
        <f>IF(CN55=GRACE_M+1,CN63,CM69)</f>
        <v>54412900.1125821</v>
      </c>
      <c r="CO69" s="173">
        <f>IF(CO55=GRACE_M+1,CO63,CN69)</f>
        <v>54412900.1125821</v>
      </c>
      <c r="CP69" s="173">
        <f>IF(CP55=GRACE_M+1,CP63,CO69)</f>
        <v>54412900.1125821</v>
      </c>
      <c r="CQ69" s="173">
        <f>IF(CQ55=GRACE_M+1,CQ63,CP69)</f>
        <v>54412900.1125821</v>
      </c>
      <c r="CR69" s="173">
        <f>IF(CR55=GRACE_M+1,CR63,CQ69)</f>
        <v>54412900.1125821</v>
      </c>
      <c r="CS69" s="173">
        <f>IF(CS55=GRACE_M+1,CS63,CR69)</f>
        <v>54412900.1125821</v>
      </c>
      <c r="CT69" s="173">
        <f>IF(CT55=GRACE_M+1,CT63,CS69)</f>
        <v>54412900.1125821</v>
      </c>
      <c r="CU69" s="173">
        <f>IF(CU55=GRACE_M+1,CU63,CT69)</f>
        <v>54412900.1125821</v>
      </c>
      <c r="CV69" s="173">
        <f>IF(CV55=GRACE_M+1,CV63,CU69)</f>
        <v>54412900.1125821</v>
      </c>
      <c r="CW69" s="173">
        <f>IF(CW55=GRACE_M+1,CW63,CV69)</f>
        <v>54412900.1125821</v>
      </c>
      <c r="CX69" s="173">
        <f>IF(CX55=GRACE_M+1,CX63,CW69)</f>
        <v>54412900.1125821</v>
      </c>
      <c r="CY69" s="173">
        <f>IF(CY55=GRACE_M+1,CY63,CX69)</f>
        <v>54412900.1125821</v>
      </c>
      <c r="CZ69" s="173">
        <f>IF(CZ55=GRACE_M+1,CZ63,CY69)</f>
        <v>54412900.1125821</v>
      </c>
      <c r="DA69" s="173">
        <f>IF(DA55=GRACE_M+1,DA63,CZ69)</f>
        <v>54412900.1125821</v>
      </c>
      <c r="DB69" s="173">
        <f>IF(DB55=GRACE_M+1,DB63,DA69)</f>
        <v>54412900.1125821</v>
      </c>
      <c r="DC69" s="173">
        <f>IF(DC55=GRACE_M+1,DC63,DB69)</f>
        <v>54412900.1125821</v>
      </c>
      <c r="DD69" s="173">
        <f>IF(DD55=GRACE_M+1,DD63,DC69)</f>
        <v>54412900.1125821</v>
      </c>
      <c r="DE69" s="173">
        <f>IF(DE55=GRACE_M+1,DE63,DD69)</f>
        <v>54412900.1125821</v>
      </c>
      <c r="DF69" s="173">
        <f>IF(DF55=GRACE_M+1,DF63,DE69)</f>
        <v>54412900.1125821</v>
      </c>
      <c r="DG69" s="173">
        <f>IF(DG55=GRACE_M+1,DG63,DF69)</f>
        <v>54412900.1125821</v>
      </c>
      <c r="DH69" s="173">
        <f>IF(DH55=GRACE_M+1,DH63,DG69)</f>
        <v>54412900.1125821</v>
      </c>
      <c r="DI69" s="173">
        <f>IF(DI55=GRACE_M+1,DI63,DH69)</f>
        <v>54412900.1125821</v>
      </c>
      <c r="DJ69" s="173">
        <f>IF(DJ55=GRACE_M+1,DJ63,DI69)</f>
        <v>54412900.1125821</v>
      </c>
      <c r="DK69" s="173">
        <f>IF(DK55=GRACE_M+1,DK63,DJ69)</f>
        <v>54412900.1125821</v>
      </c>
      <c r="DL69" s="173">
        <f>IF(DL55=GRACE_M+1,DL63,DK69)</f>
        <v>54412900.1125821</v>
      </c>
      <c r="DM69" s="173">
        <f>IF(DM55=GRACE_M+1,DM63,DL69)</f>
        <v>54412900.1125821</v>
      </c>
      <c r="DN69" s="173">
        <f>IF(DN55=GRACE_M+1,DN63,DM69)</f>
        <v>54412900.1125821</v>
      </c>
      <c r="DO69" s="173">
        <f>IF(DO55=GRACE_M+1,DO63,DN69)</f>
        <v>54412900.1125821</v>
      </c>
      <c r="DP69" s="173">
        <f>IF(DP55=GRACE_M+1,DP63,DO69)</f>
        <v>54412900.1125821</v>
      </c>
      <c r="DQ69" s="173">
        <f>IF(DQ55=GRACE_M+1,DQ63,DP69)</f>
        <v>54412900.1125821</v>
      </c>
      <c r="DR69" s="173">
        <f>IF(DR55=GRACE_M+1,DR63,DQ69)</f>
        <v>54412900.1125821</v>
      </c>
      <c r="DS69" s="173">
        <f>IF(DS55=GRACE_M+1,DS63,DR69)</f>
        <v>54412900.1125821</v>
      </c>
      <c r="DT69" s="173">
        <f>IF(DT55=GRACE_M+1,DT63,DS69)</f>
        <v>54412900.1125821</v>
      </c>
      <c r="DU69" s="173">
        <f>IF(DU55=GRACE_M+1,DU63,DT69)</f>
        <v>54412900.1125821</v>
      </c>
      <c r="DV69" s="173">
        <f>IF(DV55=GRACE_M+1,DV63,DU69)</f>
        <v>54412900.1125821</v>
      </c>
      <c r="DW69" s="173">
        <f>IF(DW55=GRACE_M+1,DW63,DV69)</f>
        <v>54412900.1125821</v>
      </c>
      <c r="DX69" s="173">
        <f>IF(DX55=GRACE_M+1,DX63,DW69)</f>
        <v>54412900.1125821</v>
      </c>
      <c r="DY69" s="173">
        <f>IF(DY55=GRACE_M+1,DY63,DX69)</f>
        <v>54412900.1125821</v>
      </c>
      <c r="DZ69" s="173">
        <f>IF(DZ55=GRACE_M+1,DZ63,DY69)</f>
        <v>54412900.1125821</v>
      </c>
      <c r="EA69" s="173">
        <f>IF(EA55=GRACE_M+1,EA63,DZ69)</f>
        <v>54412900.1125821</v>
      </c>
      <c r="EB69" s="173">
        <f>IF(EB55=GRACE_M+1,EB63,EA69)</f>
        <v>54412900.1125821</v>
      </c>
      <c r="EC69" s="173">
        <f>IF(EC55=GRACE_M+1,EC63,EB69)</f>
        <v>54412900.1125821</v>
      </c>
      <c r="ED69" s="173">
        <f>IF(ED55=GRACE_M+1,ED63,EC69)</f>
        <v>54412900.1125821</v>
      </c>
      <c r="EE69" s="173">
        <f>IF(EE55=GRACE_M+1,EE63,ED69)</f>
        <v>54412900.1125821</v>
      </c>
      <c r="EF69" s="173">
        <f>IF(EF55=GRACE_M+1,EF63,EE69)</f>
        <v>54412900.1125821</v>
      </c>
      <c r="EG69" s="173">
        <f>IF(EG55=GRACE_M+1,EG63,EF69)</f>
        <v>54412900.1125821</v>
      </c>
      <c r="EH69" s="173">
        <f>IF(EH55=GRACE_M+1,EH63,EG69)</f>
        <v>54412900.1125821</v>
      </c>
      <c r="EI69" s="173">
        <f>IF(EI55=GRACE_M+1,EI63,EH69)</f>
        <v>54412900.1125821</v>
      </c>
      <c r="EJ69" s="173">
        <f>IF(EJ55=GRACE_M+1,EJ63,EI69)</f>
        <v>54412900.1125821</v>
      </c>
      <c r="EK69" s="173">
        <f>IF(EK55=GRACE_M+1,EK63,EJ69)</f>
        <v>54412900.1125821</v>
      </c>
      <c r="EL69" s="173">
        <f>IF(EL55=GRACE_M+1,EL63,EK69)</f>
        <v>54412900.1125821</v>
      </c>
      <c r="EM69" s="173">
        <f>IF(EM55=GRACE_M+1,EM63,EL69)</f>
        <v>54412900.1125821</v>
      </c>
      <c r="EN69" s="173">
        <f>IF(EN55=GRACE_M+1,EN63,EM69)</f>
        <v>54412900.1125821</v>
      </c>
      <c r="EO69" s="173">
        <f>IF(EO55=GRACE_M+1,EO63,EN69)</f>
        <v>54412900.1125821</v>
      </c>
      <c r="EP69" s="173">
        <f>IF(EP55=GRACE_M+1,EP63,EO69)</f>
        <v>54412900.1125821</v>
      </c>
      <c r="EQ69" s="173">
        <f>IF(EQ55=GRACE_M+1,EQ63,EP69)</f>
        <v>54412900.1125821</v>
      </c>
      <c r="ER69" s="173">
        <f>IF(ER55=GRACE_M+1,ER63,EQ69)</f>
        <v>54412900.1125821</v>
      </c>
      <c r="ES69" s="173">
        <f>IF(ES55=GRACE_M+1,ES63,ER69)</f>
        <v>54412900.1125821</v>
      </c>
      <c r="ET69" s="173">
        <f>IF(ET55=GRACE_M+1,ET63,ES69)</f>
        <v>54412900.1125821</v>
      </c>
      <c r="EU69" s="173">
        <f>IF(EU55=GRACE_M+1,EU63,ET69)</f>
        <v>54412900.1125821</v>
      </c>
      <c r="EV69" s="173">
        <f>IF(EV55=GRACE_M+1,EV63,EU69)</f>
        <v>54412900.1125821</v>
      </c>
      <c r="EW69" s="173">
        <f>IF(EW55=GRACE_M+1,EW63,EV69)</f>
        <v>54412900.1125821</v>
      </c>
      <c r="EX69" s="173">
        <f>IF(EX55=GRACE_M+1,EX63,EW69)</f>
        <v>54412900.1125821</v>
      </c>
      <c r="EY69" s="173">
        <f>IF(EY55=GRACE_M+1,EY63,EX69)</f>
        <v>54412900.1125821</v>
      </c>
      <c r="EZ69" s="173">
        <f>IF(EZ55=GRACE_M+1,EZ63,EY69)</f>
        <v>54412900.1125821</v>
      </c>
      <c r="FA69" s="173">
        <f>IF(FA55=GRACE_M+1,FA63,EZ69)</f>
        <v>54412900.1125821</v>
      </c>
      <c r="FB69" s="173">
        <f>IF(FB55=GRACE_M+1,FB63,FA69)</f>
        <v>54412900.1125821</v>
      </c>
      <c r="FC69" s="173">
        <f>IF(FC55=GRACE_M+1,FC63,FB69)</f>
        <v>54412900.1125821</v>
      </c>
      <c r="FD69" s="173">
        <f>IF(FD55=GRACE_M+1,FD63,FC69)</f>
        <v>54412900.1125821</v>
      </c>
      <c r="FE69" s="173">
        <f>IF(FE55=GRACE_M+1,FE63,FD69)</f>
        <v>54412900.1125821</v>
      </c>
      <c r="FF69" s="173">
        <f>IF(FF55=GRACE_M+1,FF63,FE69)</f>
        <v>54412900.1125821</v>
      </c>
      <c r="FG69" s="173">
        <f>IF(FG55=GRACE_M+1,FG63,FF69)</f>
        <v>54412900.1125821</v>
      </c>
      <c r="FH69" s="173">
        <f>IF(FH55=GRACE_M+1,FH63,FG69)</f>
        <v>54412900.1125821</v>
      </c>
      <c r="FI69" s="173">
        <f>IF(FI55=GRACE_M+1,FI63,FH69)</f>
        <v>54412900.1125821</v>
      </c>
      <c r="FJ69" s="173">
        <f>IF(FJ55=GRACE_M+1,FJ63,FI69)</f>
        <v>54412900.1125821</v>
      </c>
      <c r="FK69" s="173">
        <f>IF(FK55=GRACE_M+1,FK63,FJ69)</f>
        <v>54412900.1125821</v>
      </c>
      <c r="FL69" s="173">
        <f>IF(FL55=GRACE_M+1,FL63,FK69)</f>
        <v>54412900.1125821</v>
      </c>
      <c r="FM69" s="173">
        <f>IF(FM55=GRACE_M+1,FM63,FL69)</f>
        <v>54412900.1125821</v>
      </c>
      <c r="FN69" s="173">
        <f>IF(FN55=GRACE_M+1,FN63,FM69)</f>
        <v>54412900.1125821</v>
      </c>
      <c r="FO69" s="173">
        <f>IF(FO55=GRACE_M+1,FO63,FN69)</f>
        <v>54412900.1125821</v>
      </c>
      <c r="FP69" s="173">
        <f>IF(FP55=GRACE_M+1,FP63,FO69)</f>
        <v>54412900.1125821</v>
      </c>
      <c r="FQ69" s="173">
        <f>IF(FQ55=GRACE_M+1,FQ63,FP69)</f>
        <v>54412900.1125821</v>
      </c>
      <c r="FR69" s="173">
        <f>IF(FR55=GRACE_M+1,FR63,FQ69)</f>
        <v>54412900.1125821</v>
      </c>
      <c r="FS69" s="173">
        <f>IF(FS55=GRACE_M+1,FS63,FR69)</f>
        <v>54412900.1125821</v>
      </c>
      <c r="FT69" s="173">
        <f>IF(FT55=GRACE_M+1,FT63,FS69)</f>
        <v>54412900.1125821</v>
      </c>
      <c r="FU69" s="173">
        <f>IF(FU55=GRACE_M+1,FU63,FT69)</f>
        <v>54412900.1125821</v>
      </c>
      <c r="FV69" s="173">
        <f>IF(FV55=GRACE_M+1,FV63,FU69)</f>
        <v>54412900.1125821</v>
      </c>
      <c r="FW69" s="173">
        <f>IF(FW55=GRACE_M+1,FW63,FV69)</f>
        <v>54412900.1125821</v>
      </c>
      <c r="FX69" s="173">
        <f>IF(FX55=GRACE_M+1,FX63,FW69)</f>
        <v>54412900.1125821</v>
      </c>
      <c r="FY69" s="173">
        <f>IF(FY55=GRACE_M+1,FY63,FX69)</f>
        <v>54412900.1125821</v>
      </c>
      <c r="FZ69" s="173">
        <f>IF(FZ55=GRACE_M+1,FZ63,FY69)</f>
        <v>54412900.1125821</v>
      </c>
      <c r="GA69" s="173">
        <f>IF(GA55=GRACE_M+1,GA63,FZ69)</f>
        <v>54412900.1125821</v>
      </c>
      <c r="GB69" s="173">
        <f>IF(GB55=GRACE_M+1,GB63,GA69)</f>
        <v>54412900.1125821</v>
      </c>
      <c r="GC69" s="173">
        <f>IF(GC55=GRACE_M+1,GC63,GB69)</f>
        <v>54412900.1125821</v>
      </c>
      <c r="GD69" s="173">
        <f>IF(GD55=GRACE_M+1,GD63,GC69)</f>
        <v>54412900.1125821</v>
      </c>
      <c r="GE69" s="173">
        <f>IF(GE55=GRACE_M+1,GE63,GD69)</f>
        <v>54412900.1125821</v>
      </c>
      <c r="GF69" s="173">
        <f>IF(GF55=GRACE_M+1,GF63,GE69)</f>
        <v>54412900.1125821</v>
      </c>
      <c r="GG69" s="173">
        <f>IF(GG55=GRACE_M+1,GG63,GF69)</f>
        <v>54412900.1125821</v>
      </c>
      <c r="GH69" s="173">
        <f>IF(GH55=GRACE_M+1,GH63,GG69)</f>
        <v>54412900.1125821</v>
      </c>
      <c r="GI69" s="173">
        <f>IF(GI55=GRACE_M+1,GI63,GH69)</f>
        <v>54412900.1125821</v>
      </c>
      <c r="GJ69" s="173">
        <f>IF(GJ55=GRACE_M+1,GJ63,GI69)</f>
        <v>54412900.1125821</v>
      </c>
      <c r="GK69" s="173">
        <f>IF(GK55=GRACE_M+1,GK63,GJ69)</f>
        <v>54412900.1125821</v>
      </c>
      <c r="GL69" s="173">
        <f>IF(GL55=GRACE_M+1,GL63,GK69)</f>
        <v>54412900.1125821</v>
      </c>
      <c r="GM69" s="173">
        <f>IF(GM55=GRACE_M+1,GM63,GL69)</f>
        <v>54412900.1125821</v>
      </c>
      <c r="GN69" s="173">
        <f>IF(GN55=GRACE_M+1,GN63,GM69)</f>
        <v>54412900.1125821</v>
      </c>
      <c r="GO69" s="173">
        <f>IF(GO55=GRACE_M+1,GO63,GN69)</f>
        <v>54412900.1125821</v>
      </c>
      <c r="GP69" s="173">
        <f>IF(GP55=GRACE_M+1,GP63,GO69)</f>
        <v>54412900.1125821</v>
      </c>
      <c r="GQ69" s="173">
        <f>IF(GQ55=GRACE_M+1,GQ63,GP69)</f>
        <v>54412900.1125821</v>
      </c>
      <c r="GR69" s="173">
        <f>IF(GR55=GRACE_M+1,GR63,GQ69)</f>
        <v>54412900.1125821</v>
      </c>
      <c r="GS69" s="173">
        <f>IF(GS55=GRACE_M+1,GS63,GR69)</f>
        <v>54412900.1125821</v>
      </c>
      <c r="GT69" s="173">
        <f>IF(GT55=GRACE_M+1,GT63,GS69)</f>
        <v>54412900.1125821</v>
      </c>
      <c r="GU69" s="173">
        <f>IF(GU55=GRACE_M+1,GU63,GT69)</f>
        <v>54412900.1125821</v>
      </c>
      <c r="GV69" s="173">
        <f>IF(GV55=GRACE_M+1,GV63,GU69)</f>
        <v>54412900.1125821</v>
      </c>
      <c r="GW69" s="173">
        <f>IF(GW55=GRACE_M+1,GW63,GV69)</f>
        <v>54412900.1125821</v>
      </c>
      <c r="GX69" s="173">
        <f>IF(GX55=GRACE_M+1,GX63,GW69)</f>
        <v>54412900.1125821</v>
      </c>
      <c r="GY69" s="173">
        <f>IF(GY55=GRACE_M+1,GY63,GX69)</f>
        <v>54412900.1125821</v>
      </c>
      <c r="GZ69" s="173">
        <f>IF(GZ55=GRACE_M+1,GZ63,GY69)</f>
        <v>54412900.1125821</v>
      </c>
      <c r="HA69" s="173">
        <f>IF(HA55=GRACE_M+1,HA63,GZ69)</f>
        <v>54412900.1125821</v>
      </c>
      <c r="HB69" s="173">
        <f>IF(HB55=GRACE_M+1,HB63,HA69)</f>
        <v>54412900.1125821</v>
      </c>
      <c r="HC69" s="173">
        <f>IF(HC55=GRACE_M+1,HC63,HB69)</f>
        <v>54412900.1125821</v>
      </c>
      <c r="HD69" s="173">
        <f>IF(HD55=GRACE_M+1,HD63,HC69)</f>
        <v>54412900.1125821</v>
      </c>
      <c r="HE69" s="173">
        <f>IF(HE55=GRACE_M+1,HE63,HD69)</f>
        <v>54412900.1125821</v>
      </c>
      <c r="HF69" s="173">
        <f>IF(HF55=GRACE_M+1,HF63,HE69)</f>
        <v>54412900.1125821</v>
      </c>
      <c r="HG69" s="173">
        <f>IF(HG55=GRACE_M+1,HG63,HF69)</f>
        <v>54412900.1125821</v>
      </c>
      <c r="HH69" s="173">
        <f>IF(HH55=GRACE_M+1,HH63,HG69)</f>
        <v>54412900.1125821</v>
      </c>
      <c r="HI69" s="173">
        <f>IF(HI55=GRACE_M+1,HI63,HH69)</f>
        <v>54412900.1125821</v>
      </c>
      <c r="HJ69" s="173">
        <f>IF(HJ55=GRACE_M+1,HJ63,HI69)</f>
        <v>54412900.1125821</v>
      </c>
      <c r="HK69" s="173">
        <f>IF(HK55=GRACE_M+1,HK63,HJ69)</f>
        <v>54412900.1125821</v>
      </c>
      <c r="HL69" s="173">
        <f>IF(HL55=GRACE_M+1,HL63,HK69)</f>
        <v>54412900.1125821</v>
      </c>
      <c r="HM69" s="173">
        <f>IF(HM55=GRACE_M+1,HM63,HL69)</f>
        <v>54412900.1125821</v>
      </c>
      <c r="HN69" s="173">
        <f>IF(HN55=GRACE_M+1,HN63,HM69)</f>
        <v>54412900.1125821</v>
      </c>
      <c r="HO69" s="173">
        <f>IF(HO55=GRACE_M+1,HO63,HN69)</f>
        <v>54412900.1125821</v>
      </c>
      <c r="HP69" s="173">
        <f>IF(HP55=GRACE_M+1,HP63,HO69)</f>
        <v>54412900.1125821</v>
      </c>
      <c r="HQ69" s="173">
        <f>IF(HQ55=GRACE_M+1,HQ63,HP69)</f>
        <v>54412900.1125821</v>
      </c>
      <c r="HR69" s="173">
        <f>IF(HR55=GRACE_M+1,HR63,HQ69)</f>
        <v>54412900.1125821</v>
      </c>
      <c r="HS69" s="173">
        <f>IF(HS55=GRACE_M+1,HS63,HR69)</f>
        <v>54412900.1125821</v>
      </c>
      <c r="HT69" s="173">
        <f>IF(HT55=GRACE_M+1,HT63,HS69)</f>
        <v>54412900.1125821</v>
      </c>
      <c r="HU69" s="173">
        <f>IF(HU55=GRACE_M+1,HU63,HT69)</f>
        <v>54412900.1125821</v>
      </c>
      <c r="HV69" s="173">
        <f>IF(HV55=GRACE_M+1,HV63,HU69)</f>
        <v>54412900.1125821</v>
      </c>
      <c r="HW69" s="173">
        <f>IF(HW55=GRACE_M+1,HW63,HV69)</f>
        <v>54412900.1125821</v>
      </c>
      <c r="HX69" s="173">
        <f>IF(HX55=GRACE_M+1,HX63,HW69)</f>
        <v>54412900.1125821</v>
      </c>
      <c r="HY69" s="173">
        <f>IF(HY55=GRACE_M+1,HY63,HX69)</f>
        <v>54412900.1125821</v>
      </c>
      <c r="HZ69" s="173">
        <f>IF(HZ55=GRACE_M+1,HZ63,HY69)</f>
        <v>54412900.1125821</v>
      </c>
      <c r="IA69" s="173">
        <f>IF(IA55=GRACE_M+1,IA63,HZ69)</f>
        <v>54412900.1125821</v>
      </c>
      <c r="IB69" s="173">
        <f>IF(IB55=GRACE_M+1,IB63,IA69)</f>
        <v>54412900.1125821</v>
      </c>
      <c r="IC69" s="173">
        <f>IF(IC55=GRACE_M+1,IC63,IB69)</f>
        <v>54412900.1125821</v>
      </c>
      <c r="ID69" s="173">
        <f>IF(ID55=GRACE_M+1,ID63,IC69)</f>
        <v>54412900.1125821</v>
      </c>
      <c r="IE69" s="173">
        <f>IF(IE55=GRACE_M+1,IE63,ID69)</f>
        <v>54412900.1125821</v>
      </c>
      <c r="IF69" s="173">
        <f>IF(IF55=GRACE_M+1,IF63,IE69)</f>
        <v>54412900.1125821</v>
      </c>
      <c r="IG69" s="173">
        <f>IF(IG55=GRACE_M+1,IG63,IF69)</f>
        <v>54412900.1125821</v>
      </c>
      <c r="IH69" s="173">
        <f>IF(IH55=GRACE_M+1,IH63,IG69)</f>
        <v>54412900.1125821</v>
      </c>
      <c r="II69" s="173">
        <f>IF(II55=GRACE_M+1,II63,IH69)</f>
        <v>54412900.1125821</v>
      </c>
      <c r="IJ69" s="173">
        <f>IF(IJ55=GRACE_M+1,IJ63,II69)</f>
        <v>54412900.1125821</v>
      </c>
      <c r="IK69" s="173">
        <f>IF(IK55=GRACE_M+1,IK63,IJ69)</f>
        <v>54412900.1125821</v>
      </c>
      <c r="IL69" s="173">
        <f>IF(IL55=GRACE_M+1,IL63,IK69)</f>
        <v>54412900.1125821</v>
      </c>
      <c r="IM69" s="173">
        <f>IF(IM55=GRACE_M+1,IM63,IL69)</f>
        <v>54412900.1125821</v>
      </c>
      <c r="IN69" s="173">
        <f>IF(IN55=GRACE_M+1,IN63,IM69)</f>
        <v>54412900.1125821</v>
      </c>
      <c r="IO69" s="173">
        <f>IF(IO55=GRACE_M+1,IO63,IN69)</f>
        <v>54412900.1125821</v>
      </c>
      <c r="IP69" s="173">
        <f>IF(IP55=GRACE_M+1,IP63,IO69)</f>
        <v>54412900.1125821</v>
      </c>
      <c r="IQ69" s="173">
        <f>IF(IQ55=GRACE_M+1,IQ63,IP69)</f>
        <v>54412900.1125821</v>
      </c>
      <c r="IR69" s="173">
        <f>IF(IR55=GRACE_M+1,IR63,IQ69)</f>
        <v>54412900.1125821</v>
      </c>
      <c r="IS69" s="173">
        <f>IF(IS55=GRACE_M+1,IS63,IR69)</f>
        <v>54412900.1125821</v>
      </c>
      <c r="IT69" s="173">
        <f>IF(IT55=GRACE_M+1,IT63,IS69)</f>
        <v>54412900.1125821</v>
      </c>
      <c r="IU69" s="173">
        <f>IF(IU55=GRACE_M+1,IU63,IT69)</f>
        <v>54412900.1125821</v>
      </c>
      <c r="IV69" s="173">
        <f>IF(IV55=GRACE_M+1,IV63,IU69)</f>
        <v>54412900.1125821</v>
      </c>
      <c r="IW69" s="173">
        <f>IF(IW55=GRACE_M+1,IW63,IV69)</f>
        <v>54412900.1125821</v>
      </c>
      <c r="IX69" s="173">
        <f>IF(IX55=GRACE_M+1,IX63,IW69)</f>
        <v>54412900.1125821</v>
      </c>
      <c r="IY69" s="173">
        <f>IF(IY55=GRACE_M+1,IY63,IX69)</f>
        <v>54412900.1125821</v>
      </c>
      <c r="IZ69" s="173">
        <f>IF(IZ55=GRACE_M+1,IZ63,IY69)</f>
        <v>54412900.1125821</v>
      </c>
      <c r="JA69" s="173">
        <f>IF(JA55=GRACE_M+1,JA63,IZ69)</f>
        <v>54412900.1125821</v>
      </c>
      <c r="JB69" s="173">
        <f>IF(JB55=GRACE_M+1,JB63,JA69)</f>
        <v>54412900.1125821</v>
      </c>
      <c r="JC69" s="173">
        <f>IF(JC55=GRACE_M+1,JC63,JB69)</f>
        <v>54412900.1125821</v>
      </c>
      <c r="JD69" s="173">
        <f>IF(JD55=GRACE_M+1,JD63,JC69)</f>
        <v>54412900.1125821</v>
      </c>
      <c r="JE69" s="173">
        <f>IF(JE55=GRACE_M+1,JE63,JD69)</f>
        <v>54412900.1125821</v>
      </c>
      <c r="JF69" s="173">
        <f>IF(JF55=GRACE_M+1,JF63,JE69)</f>
        <v>54412900.1125821</v>
      </c>
      <c r="JG69" s="173">
        <f>IF(JG55=GRACE_M+1,JG63,JF69)</f>
        <v>54412900.1125821</v>
      </c>
      <c r="JH69" s="173">
        <f>IF(JH55=GRACE_M+1,JH63,JG69)</f>
        <v>54412900.1125821</v>
      </c>
      <c r="JI69" s="173">
        <f>IF(JI55=GRACE_M+1,JI63,JH69)</f>
        <v>54412900.1125821</v>
      </c>
      <c r="JJ69" s="173">
        <f>IF(JJ55=GRACE_M+1,JJ63,JI69)</f>
        <v>54412900.1125821</v>
      </c>
      <c r="JK69" s="173">
        <f>IF(JK55=GRACE_M+1,JK63,JJ69)</f>
        <v>54412900.1125821</v>
      </c>
      <c r="JL69" s="173">
        <f>IF(JL55=GRACE_M+1,JL63,JK69)</f>
        <v>54412900.1125821</v>
      </c>
      <c r="JM69" s="173">
        <f>IF(JM55=GRACE_M+1,JM63,JL69)</f>
        <v>54412900.1125821</v>
      </c>
      <c r="JN69" s="173">
        <f>IF(JN55=GRACE_M+1,JN63,JM69)</f>
        <v>54412900.1125821</v>
      </c>
      <c r="JO69" s="173">
        <f>IF(JO55=GRACE_M+1,JO63,JN69)</f>
        <v>54412900.1125821</v>
      </c>
      <c r="JP69" s="173">
        <f>IF(JP55=GRACE_M+1,JP63,JO69)</f>
        <v>54412900.1125821</v>
      </c>
      <c r="JQ69" s="173">
        <f>IF(JQ55=GRACE_M+1,JQ63,JP69)</f>
        <v>54412900.1125821</v>
      </c>
      <c r="JR69" s="173">
        <f>IF(JR55=GRACE_M+1,JR63,JQ69)</f>
        <v>54412900.1125821</v>
      </c>
      <c r="JS69" s="173">
        <f>IF(JS55=GRACE_M+1,JS63,JR69)</f>
        <v>54412900.1125821</v>
      </c>
      <c r="JT69" s="173">
        <f>IF(JT55=GRACE_M+1,JT63,JS69)</f>
        <v>54412900.1125821</v>
      </c>
      <c r="JU69" s="173">
        <f>IF(JU55=GRACE_M+1,JU63,JT69)</f>
        <v>54412900.1125821</v>
      </c>
      <c r="JV69" s="173">
        <f>IF(JV55=GRACE_M+1,JV63,JU69)</f>
        <v>54412900.1125821</v>
      </c>
      <c r="JW69" s="173">
        <f>IF(JW55=GRACE_M+1,JW63,JV69)</f>
        <v>54412900.1125821</v>
      </c>
      <c r="JX69" s="173">
        <f>IF(JX55=GRACE_M+1,JX63,JW69)</f>
        <v>54412900.1125821</v>
      </c>
      <c r="JY69" s="173">
        <f>IF(JY55=GRACE_M+1,JY63,JX69)</f>
        <v>54412900.1125821</v>
      </c>
      <c r="JZ69" s="173">
        <f>IF(JZ55=GRACE_M+1,JZ63,JY69)</f>
        <v>54412900.1125821</v>
      </c>
      <c r="KA69" s="173">
        <f>IF(KA55=GRACE_M+1,KA63,JZ69)</f>
        <v>54412900.1125821</v>
      </c>
      <c r="KB69" s="173">
        <f>IF(KB55=GRACE_M+1,KB63,KA69)</f>
        <v>54412900.1125821</v>
      </c>
      <c r="KC69" s="173">
        <f>IF(KC55=GRACE_M+1,KC63,KB69)</f>
        <v>54412900.1125821</v>
      </c>
      <c r="KD69" s="173">
        <f>IF(KD55=GRACE_M+1,KD63,KC69)</f>
        <v>54412900.1125821</v>
      </c>
      <c r="KE69" s="173">
        <f>IF(KE55=GRACE_M+1,KE63,KD69)</f>
        <v>54412900.1125821</v>
      </c>
      <c r="KF69" s="173">
        <f>IF(KF55=GRACE_M+1,KF63,KE69)</f>
        <v>54412900.1125821</v>
      </c>
    </row>
    <row r="70">
      <c r="B70" s="36" t="inlineStr">
        <is>
          <t>Periodic rate</t>
        </is>
      </c>
      <c r="C70" s="117" t="inlineStr">
        <is>
          <t>%</t>
        </is>
      </c>
      <c r="E70" s="153">
        <f>E58*FREQ_M/12</f>
        <v>0.0375</v>
      </c>
      <c r="F70" s="153">
        <f>F58*FREQ_M/12</f>
        <v>0.0375</v>
      </c>
      <c r="G70" s="153">
        <f>G58*FREQ_M/12</f>
        <v>0.0375</v>
      </c>
      <c r="H70" s="153">
        <f>H58*FREQ_M/12</f>
        <v>0.0375</v>
      </c>
      <c r="I70" s="153">
        <f>I58*FREQ_M/12</f>
        <v>0.0375</v>
      </c>
      <c r="J70" s="153">
        <f>J58*FREQ_M/12</f>
        <v>0.0375</v>
      </c>
      <c r="K70" s="153">
        <f>K58*FREQ_M/12</f>
        <v>0.0375</v>
      </c>
      <c r="L70" s="153">
        <f>L58*FREQ_M/12</f>
        <v>0.0375</v>
      </c>
      <c r="M70" s="153">
        <f>M58*FREQ_M/12</f>
        <v>0.0375</v>
      </c>
      <c r="N70" s="153">
        <f>N58*FREQ_M/12</f>
        <v>0.0375</v>
      </c>
      <c r="O70" s="153">
        <f>O58*FREQ_M/12</f>
        <v>0.0375</v>
      </c>
      <c r="P70" s="153">
        <f>P58*FREQ_M/12</f>
        <v>0.0375</v>
      </c>
      <c r="Q70" s="153">
        <f>Q58*FREQ_M/12</f>
        <v>0.0375</v>
      </c>
      <c r="R70" s="153">
        <f>R58*FREQ_M/12</f>
        <v>0.0375</v>
      </c>
      <c r="S70" s="153">
        <f>S58*FREQ_M/12</f>
        <v>0.0375</v>
      </c>
      <c r="T70" s="153">
        <f>T58*FREQ_M/12</f>
        <v>0.0375</v>
      </c>
      <c r="U70" s="153">
        <f>U58*FREQ_M/12</f>
        <v>0.0375</v>
      </c>
      <c r="V70" s="153">
        <f>V58*FREQ_M/12</f>
        <v>0.0375</v>
      </c>
      <c r="W70" s="153">
        <f>W58*FREQ_M/12</f>
        <v>0.0375</v>
      </c>
      <c r="X70" s="153">
        <f>X58*FREQ_M/12</f>
        <v>0.0375</v>
      </c>
      <c r="Y70" s="153">
        <f>Y58*FREQ_M/12</f>
        <v>0.0375</v>
      </c>
      <c r="Z70" s="153">
        <f>Z58*FREQ_M/12</f>
        <v>0.0375</v>
      </c>
      <c r="AA70" s="153">
        <f>AA58*FREQ_M/12</f>
        <v>0.0375</v>
      </c>
      <c r="AB70" s="153">
        <f>AB58*FREQ_M/12</f>
        <v>0.0375</v>
      </c>
      <c r="AC70" s="153">
        <f>AC58*FREQ_M/12</f>
        <v>0.0375</v>
      </c>
      <c r="AD70" s="153">
        <f>AD58*FREQ_M/12</f>
        <v>0.0375</v>
      </c>
      <c r="AE70" s="153">
        <f>AE58*FREQ_M/12</f>
        <v>0.0375</v>
      </c>
      <c r="AF70" s="153">
        <f>AF58*FREQ_M/12</f>
        <v>0.0375</v>
      </c>
      <c r="AG70" s="153">
        <f>AG58*FREQ_M/12</f>
        <v>0.0375</v>
      </c>
      <c r="AH70" s="153">
        <f>AH58*FREQ_M/12</f>
        <v>0.0375</v>
      </c>
      <c r="AI70" s="153">
        <f>AI58*FREQ_M/12</f>
        <v>0.0375</v>
      </c>
      <c r="AJ70" s="153">
        <f>AJ58*FREQ_M/12</f>
        <v>0.0375</v>
      </c>
      <c r="AK70" s="153">
        <f>AK58*FREQ_M/12</f>
        <v>0.0375</v>
      </c>
      <c r="AL70" s="153">
        <f>AL58*FREQ_M/12</f>
        <v>0.0375</v>
      </c>
      <c r="AM70" s="153">
        <f>AM58*FREQ_M/12</f>
        <v>0.0375</v>
      </c>
      <c r="AN70" s="153">
        <f>AN58*FREQ_M/12</f>
        <v>0.0375</v>
      </c>
      <c r="AO70" s="153">
        <f>AO58*FREQ_M/12</f>
        <v>0.0375</v>
      </c>
      <c r="AP70" s="153">
        <f>AP58*FREQ_M/12</f>
        <v>0.0375</v>
      </c>
      <c r="AQ70" s="153">
        <f>AQ58*FREQ_M/12</f>
        <v>0.0375</v>
      </c>
      <c r="AR70" s="153">
        <f>AR58*FREQ_M/12</f>
        <v>0.0375</v>
      </c>
      <c r="AS70" s="153">
        <f>AS58*FREQ_M/12</f>
        <v>0.0375</v>
      </c>
      <c r="AT70" s="153">
        <f>AT58*FREQ_M/12</f>
        <v>0.0375</v>
      </c>
      <c r="AU70" s="153">
        <f>AU58*FREQ_M/12</f>
        <v>0.0375</v>
      </c>
      <c r="AV70" s="153">
        <f>AV58*FREQ_M/12</f>
        <v>0.0375</v>
      </c>
      <c r="AW70" s="153">
        <f>AW58*FREQ_M/12</f>
        <v>0.0375</v>
      </c>
      <c r="AX70" s="153">
        <f>AX58*FREQ_M/12</f>
        <v>0.0375</v>
      </c>
      <c r="AY70" s="153">
        <f>AY58*FREQ_M/12</f>
        <v>0.0375</v>
      </c>
      <c r="AZ70" s="153">
        <f>AZ58*FREQ_M/12</f>
        <v>0.0375</v>
      </c>
      <c r="BA70" s="153">
        <f>BA58*FREQ_M/12</f>
        <v>0.0375</v>
      </c>
      <c r="BB70" s="153">
        <f>BB58*FREQ_M/12</f>
        <v>0.0375</v>
      </c>
      <c r="BC70" s="153">
        <f>BC58*FREQ_M/12</f>
        <v>0.0375</v>
      </c>
      <c r="BD70" s="153">
        <f>BD58*FREQ_M/12</f>
        <v>0.0375</v>
      </c>
      <c r="BE70" s="153">
        <f>BE58*FREQ_M/12</f>
        <v>0.0375</v>
      </c>
      <c r="BF70" s="153">
        <f>BF58*FREQ_M/12</f>
        <v>0.0375</v>
      </c>
      <c r="BG70" s="153">
        <f>BG58*FREQ_M/12</f>
        <v>0.0375</v>
      </c>
      <c r="BH70" s="153">
        <f>BH58*FREQ_M/12</f>
        <v>0.0375</v>
      </c>
      <c r="BI70" s="153">
        <f>BI58*FREQ_M/12</f>
        <v>0.0375</v>
      </c>
      <c r="BJ70" s="153">
        <f>BJ58*FREQ_M/12</f>
        <v>0.0375</v>
      </c>
      <c r="BK70" s="153">
        <f>BK58*FREQ_M/12</f>
        <v>0.0375</v>
      </c>
      <c r="BL70" s="153">
        <f>BL58*FREQ_M/12</f>
        <v>0.0375</v>
      </c>
      <c r="BM70" s="153">
        <f>BM58*FREQ_M/12</f>
        <v>0.0375</v>
      </c>
      <c r="BN70" s="153">
        <f>BN58*FREQ_M/12</f>
        <v>0.0375</v>
      </c>
      <c r="BO70" s="153">
        <f>BO58*FREQ_M/12</f>
        <v>0.0375</v>
      </c>
      <c r="BP70" s="153">
        <f>BP58*FREQ_M/12</f>
        <v>0.0375</v>
      </c>
      <c r="BQ70" s="153">
        <f>BQ58*FREQ_M/12</f>
        <v>0.0375</v>
      </c>
      <c r="BR70" s="153">
        <f>BR58*FREQ_M/12</f>
        <v>0.0375</v>
      </c>
      <c r="BS70" s="153">
        <f>BS58*FREQ_M/12</f>
        <v>0.0375</v>
      </c>
      <c r="BT70" s="153">
        <f>BT58*FREQ_M/12</f>
        <v>0.0375</v>
      </c>
      <c r="BU70" s="153">
        <f>BU58*FREQ_M/12</f>
        <v>0.0375</v>
      </c>
      <c r="BV70" s="153">
        <f>BV58*FREQ_M/12</f>
        <v>0.0375</v>
      </c>
      <c r="BW70" s="153">
        <f>BW58*FREQ_M/12</f>
        <v>0.0375</v>
      </c>
      <c r="BX70" s="153">
        <f>BX58*FREQ_M/12</f>
        <v>0.0375</v>
      </c>
      <c r="BY70" s="153">
        <f>BY58*FREQ_M/12</f>
        <v>0.0375</v>
      </c>
      <c r="BZ70" s="153">
        <f>BZ58*FREQ_M/12</f>
        <v>0.0375</v>
      </c>
      <c r="CA70" s="153">
        <f>CA58*FREQ_M/12</f>
        <v>0.0375</v>
      </c>
      <c r="CB70" s="153">
        <f>CB58*FREQ_M/12</f>
        <v>0.0375</v>
      </c>
      <c r="CC70" s="153">
        <f>CC58*FREQ_M/12</f>
        <v>0.0375</v>
      </c>
      <c r="CD70" s="153">
        <f>CD58*FREQ_M/12</f>
        <v>0.0375</v>
      </c>
      <c r="CE70" s="153">
        <f>CE58*FREQ_M/12</f>
        <v>0.0375</v>
      </c>
      <c r="CF70" s="153">
        <f>CF58*FREQ_M/12</f>
        <v>0.0375</v>
      </c>
      <c r="CG70" s="153">
        <f>CG58*FREQ_M/12</f>
        <v>0.0375</v>
      </c>
      <c r="CH70" s="153">
        <f>CH58*FREQ_M/12</f>
        <v>0.0375</v>
      </c>
      <c r="CI70" s="153">
        <f>CI58*FREQ_M/12</f>
        <v>0.0375</v>
      </c>
      <c r="CJ70" s="153">
        <f>CJ58*FREQ_M/12</f>
        <v>0.0375</v>
      </c>
      <c r="CK70" s="153">
        <f>CK58*FREQ_M/12</f>
        <v>0.0375</v>
      </c>
      <c r="CL70" s="153">
        <f>CL58*FREQ_M/12</f>
        <v>0.0375</v>
      </c>
      <c r="CM70" s="153">
        <f>CM58*FREQ_M/12</f>
        <v>0.0375</v>
      </c>
      <c r="CN70" s="153">
        <f>CN58*FREQ_M/12</f>
        <v>0.0375</v>
      </c>
      <c r="CO70" s="153">
        <f>CO58*FREQ_M/12</f>
        <v>0.0375</v>
      </c>
      <c r="CP70" s="153">
        <f>CP58*FREQ_M/12</f>
        <v>0.0375</v>
      </c>
      <c r="CQ70" s="153">
        <f>CQ58*FREQ_M/12</f>
        <v>0.0375</v>
      </c>
      <c r="CR70" s="153">
        <f>CR58*FREQ_M/12</f>
        <v>0.0375</v>
      </c>
      <c r="CS70" s="153">
        <f>CS58*FREQ_M/12</f>
        <v>0.0375</v>
      </c>
      <c r="CT70" s="153">
        <f>CT58*FREQ_M/12</f>
        <v>0.0375</v>
      </c>
      <c r="CU70" s="153">
        <f>CU58*FREQ_M/12</f>
        <v>0.0375</v>
      </c>
      <c r="CV70" s="153">
        <f>CV58*FREQ_M/12</f>
        <v>0.0375</v>
      </c>
      <c r="CW70" s="153">
        <f>CW58*FREQ_M/12</f>
        <v>0.0375</v>
      </c>
      <c r="CX70" s="153">
        <f>CX58*FREQ_M/12</f>
        <v>0.0375</v>
      </c>
      <c r="CY70" s="153">
        <f>CY58*FREQ_M/12</f>
        <v>0.0375</v>
      </c>
      <c r="CZ70" s="153">
        <f>CZ58*FREQ_M/12</f>
        <v>0.0375</v>
      </c>
      <c r="DA70" s="153">
        <f>DA58*FREQ_M/12</f>
        <v>0.0375</v>
      </c>
      <c r="DB70" s="153">
        <f>DB58*FREQ_M/12</f>
        <v>0.0375</v>
      </c>
      <c r="DC70" s="153">
        <f>DC58*FREQ_M/12</f>
        <v>0.0375</v>
      </c>
      <c r="DD70" s="153">
        <f>DD58*FREQ_M/12</f>
        <v>0.0375</v>
      </c>
      <c r="DE70" s="153">
        <f>DE58*FREQ_M/12</f>
        <v>0.0375</v>
      </c>
      <c r="DF70" s="153">
        <f>DF58*FREQ_M/12</f>
        <v>0.0375</v>
      </c>
      <c r="DG70" s="153">
        <f>DG58*FREQ_M/12</f>
        <v>0.0375</v>
      </c>
      <c r="DH70" s="153">
        <f>DH58*FREQ_M/12</f>
        <v>0.0375</v>
      </c>
      <c r="DI70" s="153">
        <f>DI58*FREQ_M/12</f>
        <v>0.0375</v>
      </c>
      <c r="DJ70" s="153">
        <f>DJ58*FREQ_M/12</f>
        <v>0.0375</v>
      </c>
      <c r="DK70" s="153">
        <f>DK58*FREQ_M/12</f>
        <v>0.0375</v>
      </c>
      <c r="DL70" s="153">
        <f>DL58*FREQ_M/12</f>
        <v>0.0375</v>
      </c>
      <c r="DM70" s="153">
        <f>DM58*FREQ_M/12</f>
        <v>0.0375</v>
      </c>
      <c r="DN70" s="153">
        <f>DN58*FREQ_M/12</f>
        <v>0.0375</v>
      </c>
      <c r="DO70" s="153">
        <f>DO58*FREQ_M/12</f>
        <v>0.0375</v>
      </c>
      <c r="DP70" s="153">
        <f>DP58*FREQ_M/12</f>
        <v>0.0375</v>
      </c>
      <c r="DQ70" s="153">
        <f>DQ58*FREQ_M/12</f>
        <v>0.0375</v>
      </c>
      <c r="DR70" s="153">
        <f>DR58*FREQ_M/12</f>
        <v>0.0375</v>
      </c>
      <c r="DS70" s="153">
        <f>DS58*FREQ_M/12</f>
        <v>0.0375</v>
      </c>
      <c r="DT70" s="153">
        <f>DT58*FREQ_M/12</f>
        <v>0.0375</v>
      </c>
      <c r="DU70" s="153">
        <f>DU58*FREQ_M/12</f>
        <v>0.0375</v>
      </c>
      <c r="DV70" s="153">
        <f>DV58*FREQ_M/12</f>
        <v>0.0375</v>
      </c>
      <c r="DW70" s="153">
        <f>DW58*FREQ_M/12</f>
        <v>0.0375</v>
      </c>
      <c r="DX70" s="153">
        <f>DX58*FREQ_M/12</f>
        <v>0.0375</v>
      </c>
      <c r="DY70" s="153">
        <f>DY58*FREQ_M/12</f>
        <v>0.0375</v>
      </c>
      <c r="DZ70" s="153">
        <f>DZ58*FREQ_M/12</f>
        <v>0.0375</v>
      </c>
      <c r="EA70" s="153">
        <f>EA58*FREQ_M/12</f>
        <v>0.0375</v>
      </c>
      <c r="EB70" s="153">
        <f>EB58*FREQ_M/12</f>
        <v>0.0375</v>
      </c>
      <c r="EC70" s="153">
        <f>EC58*FREQ_M/12</f>
        <v>0.0375</v>
      </c>
      <c r="ED70" s="153">
        <f>ED58*FREQ_M/12</f>
        <v>0.0375</v>
      </c>
      <c r="EE70" s="153">
        <f>EE58*FREQ_M/12</f>
        <v>0.0375</v>
      </c>
      <c r="EF70" s="153">
        <f>EF58*FREQ_M/12</f>
        <v>0.0375</v>
      </c>
      <c r="EG70" s="153">
        <f>EG58*FREQ_M/12</f>
        <v>0.0375</v>
      </c>
      <c r="EH70" s="153">
        <f>EH58*FREQ_M/12</f>
        <v>0.0375</v>
      </c>
      <c r="EI70" s="153">
        <f>EI58*FREQ_M/12</f>
        <v>0.0375</v>
      </c>
      <c r="EJ70" s="153">
        <f>EJ58*FREQ_M/12</f>
        <v>0.0375</v>
      </c>
      <c r="EK70" s="153">
        <f>EK58*FREQ_M/12</f>
        <v>0.0375</v>
      </c>
      <c r="EL70" s="153">
        <f>EL58*FREQ_M/12</f>
        <v>0.0375</v>
      </c>
      <c r="EM70" s="153">
        <f>EM58*FREQ_M/12</f>
        <v>0.0375</v>
      </c>
      <c r="EN70" s="153">
        <f>EN58*FREQ_M/12</f>
        <v>0.0375</v>
      </c>
      <c r="EO70" s="153">
        <f>EO58*FREQ_M/12</f>
        <v>0.0375</v>
      </c>
      <c r="EP70" s="153">
        <f>EP58*FREQ_M/12</f>
        <v>0.0375</v>
      </c>
      <c r="EQ70" s="153">
        <f>EQ58*FREQ_M/12</f>
        <v>0.0375</v>
      </c>
      <c r="ER70" s="153">
        <f>ER58*FREQ_M/12</f>
        <v>0.0375</v>
      </c>
      <c r="ES70" s="153">
        <f>ES58*FREQ_M/12</f>
        <v>0.0375</v>
      </c>
      <c r="ET70" s="153">
        <f>ET58*FREQ_M/12</f>
        <v>0.0375</v>
      </c>
      <c r="EU70" s="153">
        <f>EU58*FREQ_M/12</f>
        <v>0.0375</v>
      </c>
      <c r="EV70" s="153">
        <f>EV58*FREQ_M/12</f>
        <v>0.0375</v>
      </c>
      <c r="EW70" s="153">
        <f>EW58*FREQ_M/12</f>
        <v>0.0375</v>
      </c>
      <c r="EX70" s="153">
        <f>EX58*FREQ_M/12</f>
        <v>0.0375</v>
      </c>
      <c r="EY70" s="153">
        <f>EY58*FREQ_M/12</f>
        <v>0.0375</v>
      </c>
      <c r="EZ70" s="153">
        <f>EZ58*FREQ_M/12</f>
        <v>0.0375</v>
      </c>
      <c r="FA70" s="153">
        <f>FA58*FREQ_M/12</f>
        <v>0.0375</v>
      </c>
      <c r="FB70" s="153">
        <f>FB58*FREQ_M/12</f>
        <v>0.0375</v>
      </c>
      <c r="FC70" s="153">
        <f>FC58*FREQ_M/12</f>
        <v>0.0375</v>
      </c>
      <c r="FD70" s="153">
        <f>FD58*FREQ_M/12</f>
        <v>0.0375</v>
      </c>
      <c r="FE70" s="153">
        <f>FE58*FREQ_M/12</f>
        <v>0.0375</v>
      </c>
      <c r="FF70" s="153">
        <f>FF58*FREQ_M/12</f>
        <v>0.0375</v>
      </c>
      <c r="FG70" s="153">
        <f>FG58*FREQ_M/12</f>
        <v>0.0375</v>
      </c>
      <c r="FH70" s="153">
        <f>FH58*FREQ_M/12</f>
        <v>0.0375</v>
      </c>
      <c r="FI70" s="153">
        <f>FI58*FREQ_M/12</f>
        <v>0.0375</v>
      </c>
      <c r="FJ70" s="153">
        <f>FJ58*FREQ_M/12</f>
        <v>0.0375</v>
      </c>
      <c r="FK70" s="153">
        <f>FK58*FREQ_M/12</f>
        <v>0.0375</v>
      </c>
      <c r="FL70" s="153">
        <f>FL58*FREQ_M/12</f>
        <v>0.0375</v>
      </c>
      <c r="FM70" s="153">
        <f>FM58*FREQ_M/12</f>
        <v>0.0375</v>
      </c>
      <c r="FN70" s="153">
        <f>FN58*FREQ_M/12</f>
        <v>0.0375</v>
      </c>
      <c r="FO70" s="153">
        <f>FO58*FREQ_M/12</f>
        <v>0.0375</v>
      </c>
      <c r="FP70" s="153">
        <f>FP58*FREQ_M/12</f>
        <v>0.0375</v>
      </c>
      <c r="FQ70" s="153">
        <f>FQ58*FREQ_M/12</f>
        <v>0.0375</v>
      </c>
      <c r="FR70" s="153">
        <f>FR58*FREQ_M/12</f>
        <v>0.0375</v>
      </c>
      <c r="FS70" s="153">
        <f>FS58*FREQ_M/12</f>
        <v>0.0375</v>
      </c>
      <c r="FT70" s="153">
        <f>FT58*FREQ_M/12</f>
        <v>0.0375</v>
      </c>
      <c r="FU70" s="153">
        <f>FU58*FREQ_M/12</f>
        <v>0.0375</v>
      </c>
      <c r="FV70" s="153">
        <f>FV58*FREQ_M/12</f>
        <v>0.0375</v>
      </c>
      <c r="FW70" s="153">
        <f>FW58*FREQ_M/12</f>
        <v>0.0375</v>
      </c>
      <c r="FX70" s="153">
        <f>FX58*FREQ_M/12</f>
        <v>0.0375</v>
      </c>
      <c r="FY70" s="153">
        <f>FY58*FREQ_M/12</f>
        <v>0.0375</v>
      </c>
      <c r="FZ70" s="153">
        <f>FZ58*FREQ_M/12</f>
        <v>0.0375</v>
      </c>
      <c r="GA70" s="153">
        <f>GA58*FREQ_M/12</f>
        <v>0.0375</v>
      </c>
      <c r="GB70" s="153">
        <f>GB58*FREQ_M/12</f>
        <v>0.0375</v>
      </c>
      <c r="GC70" s="153">
        <f>GC58*FREQ_M/12</f>
        <v>0.0375</v>
      </c>
      <c r="GD70" s="153">
        <f>GD58*FREQ_M/12</f>
        <v>0.0375</v>
      </c>
      <c r="GE70" s="153">
        <f>GE58*FREQ_M/12</f>
        <v>0.0375</v>
      </c>
      <c r="GF70" s="153">
        <f>GF58*FREQ_M/12</f>
        <v>0.0375</v>
      </c>
      <c r="GG70" s="153">
        <f>GG58*FREQ_M/12</f>
        <v>0.0375</v>
      </c>
      <c r="GH70" s="153">
        <f>GH58*FREQ_M/12</f>
        <v>0.0375</v>
      </c>
      <c r="GI70" s="153">
        <f>GI58*FREQ_M/12</f>
        <v>0.0375</v>
      </c>
      <c r="GJ70" s="153">
        <f>GJ58*FREQ_M/12</f>
        <v>0.0375</v>
      </c>
      <c r="GK70" s="153">
        <f>GK58*FREQ_M/12</f>
        <v>0.0375</v>
      </c>
      <c r="GL70" s="153">
        <f>GL58*FREQ_M/12</f>
        <v>0.0375</v>
      </c>
      <c r="GM70" s="153">
        <f>GM58*FREQ_M/12</f>
        <v>0.0375</v>
      </c>
      <c r="GN70" s="153">
        <f>GN58*FREQ_M/12</f>
        <v>0.0375</v>
      </c>
      <c r="GO70" s="153">
        <f>GO58*FREQ_M/12</f>
        <v>0.0375</v>
      </c>
      <c r="GP70" s="153">
        <f>GP58*FREQ_M/12</f>
        <v>0.0375</v>
      </c>
      <c r="GQ70" s="153">
        <f>GQ58*FREQ_M/12</f>
        <v>0.0375</v>
      </c>
      <c r="GR70" s="153">
        <f>GR58*FREQ_M/12</f>
        <v>0.0375</v>
      </c>
      <c r="GS70" s="153">
        <f>GS58*FREQ_M/12</f>
        <v>0.0375</v>
      </c>
      <c r="GT70" s="153">
        <f>GT58*FREQ_M/12</f>
        <v>0.0375</v>
      </c>
      <c r="GU70" s="153">
        <f>GU58*FREQ_M/12</f>
        <v>0.0375</v>
      </c>
      <c r="GV70" s="153">
        <f>GV58*FREQ_M/12</f>
        <v>0.0375</v>
      </c>
      <c r="GW70" s="153">
        <f>GW58*FREQ_M/12</f>
        <v>0.0375</v>
      </c>
      <c r="GX70" s="153">
        <f>GX58*FREQ_M/12</f>
        <v>0.0375</v>
      </c>
      <c r="GY70" s="153">
        <f>GY58*FREQ_M/12</f>
        <v>0.0375</v>
      </c>
      <c r="GZ70" s="153">
        <f>GZ58*FREQ_M/12</f>
        <v>0.0375</v>
      </c>
      <c r="HA70" s="153">
        <f>HA58*FREQ_M/12</f>
        <v>0.0375</v>
      </c>
      <c r="HB70" s="153">
        <f>HB58*FREQ_M/12</f>
        <v>0.0375</v>
      </c>
      <c r="HC70" s="153">
        <f>HC58*FREQ_M/12</f>
        <v>0.0375</v>
      </c>
      <c r="HD70" s="153">
        <f>HD58*FREQ_M/12</f>
        <v>0.0375</v>
      </c>
      <c r="HE70" s="153">
        <f>HE58*FREQ_M/12</f>
        <v>0.0375</v>
      </c>
      <c r="HF70" s="153">
        <f>HF58*FREQ_M/12</f>
        <v>0.0375</v>
      </c>
      <c r="HG70" s="153">
        <f>HG58*FREQ_M/12</f>
        <v>0.0375</v>
      </c>
      <c r="HH70" s="153">
        <f>HH58*FREQ_M/12</f>
        <v>0.0375</v>
      </c>
      <c r="HI70" s="153">
        <f>HI58*FREQ_M/12</f>
        <v>0.0375</v>
      </c>
      <c r="HJ70" s="153">
        <f>HJ58*FREQ_M/12</f>
        <v>0.0375</v>
      </c>
      <c r="HK70" s="153">
        <f>HK58*FREQ_M/12</f>
        <v>0.0375</v>
      </c>
      <c r="HL70" s="153">
        <f>HL58*FREQ_M/12</f>
        <v>0.0375</v>
      </c>
      <c r="HM70" s="153">
        <f>HM58*FREQ_M/12</f>
        <v>0.0375</v>
      </c>
      <c r="HN70" s="153">
        <f>HN58*FREQ_M/12</f>
        <v>0.0375</v>
      </c>
      <c r="HO70" s="153">
        <f>HO58*FREQ_M/12</f>
        <v>0.0375</v>
      </c>
      <c r="HP70" s="153">
        <f>HP58*FREQ_M/12</f>
        <v>0.0375</v>
      </c>
      <c r="HQ70" s="153">
        <f>HQ58*FREQ_M/12</f>
        <v>0.0375</v>
      </c>
      <c r="HR70" s="153">
        <f>HR58*FREQ_M/12</f>
        <v>0.0375</v>
      </c>
      <c r="HS70" s="153">
        <f>HS58*FREQ_M/12</f>
        <v>0.0375</v>
      </c>
      <c r="HT70" s="153">
        <f>HT58*FREQ_M/12</f>
        <v>0.0375</v>
      </c>
      <c r="HU70" s="153">
        <f>HU58*FREQ_M/12</f>
        <v>0.0375</v>
      </c>
      <c r="HV70" s="153">
        <f>HV58*FREQ_M/12</f>
        <v>0.0375</v>
      </c>
      <c r="HW70" s="153">
        <f>HW58*FREQ_M/12</f>
        <v>0.0375</v>
      </c>
      <c r="HX70" s="153">
        <f>HX58*FREQ_M/12</f>
        <v>0.0375</v>
      </c>
      <c r="HY70" s="153">
        <f>HY58*FREQ_M/12</f>
        <v>0.0375</v>
      </c>
      <c r="HZ70" s="153">
        <f>HZ58*FREQ_M/12</f>
        <v>0.0375</v>
      </c>
      <c r="IA70" s="153">
        <f>IA58*FREQ_M/12</f>
        <v>0.0375</v>
      </c>
      <c r="IB70" s="153">
        <f>IB58*FREQ_M/12</f>
        <v>0.0375</v>
      </c>
      <c r="IC70" s="153">
        <f>IC58*FREQ_M/12</f>
        <v>0.0375</v>
      </c>
      <c r="ID70" s="153">
        <f>ID58*FREQ_M/12</f>
        <v>0.0375</v>
      </c>
      <c r="IE70" s="153">
        <f>IE58*FREQ_M/12</f>
        <v>0.0375</v>
      </c>
      <c r="IF70" s="153">
        <f>IF58*FREQ_M/12</f>
        <v>0.0375</v>
      </c>
      <c r="IG70" s="153">
        <f>IG58*FREQ_M/12</f>
        <v>0.0375</v>
      </c>
      <c r="IH70" s="153">
        <f>IH58*FREQ_M/12</f>
        <v>0.0375</v>
      </c>
      <c r="II70" s="153">
        <f>II58*FREQ_M/12</f>
        <v>0.0375</v>
      </c>
      <c r="IJ70" s="153">
        <f>IJ58*FREQ_M/12</f>
        <v>0.0375</v>
      </c>
      <c r="IK70" s="153">
        <f>IK58*FREQ_M/12</f>
        <v>0.0375</v>
      </c>
      <c r="IL70" s="153">
        <f>IL58*FREQ_M/12</f>
        <v>0.0375</v>
      </c>
      <c r="IM70" s="153">
        <f>IM58*FREQ_M/12</f>
        <v>0.0375</v>
      </c>
      <c r="IN70" s="153">
        <f>IN58*FREQ_M/12</f>
        <v>0.0375</v>
      </c>
      <c r="IO70" s="153">
        <f>IO58*FREQ_M/12</f>
        <v>0.0375</v>
      </c>
      <c r="IP70" s="153">
        <f>IP58*FREQ_M/12</f>
        <v>0.0375</v>
      </c>
      <c r="IQ70" s="153">
        <f>IQ58*FREQ_M/12</f>
        <v>0.0375</v>
      </c>
      <c r="IR70" s="153">
        <f>IR58*FREQ_M/12</f>
        <v>0.0375</v>
      </c>
      <c r="IS70" s="153">
        <f>IS58*FREQ_M/12</f>
        <v>0.0375</v>
      </c>
      <c r="IT70" s="153">
        <f>IT58*FREQ_M/12</f>
        <v>0.0375</v>
      </c>
      <c r="IU70" s="153">
        <f>IU58*FREQ_M/12</f>
        <v>0.0375</v>
      </c>
      <c r="IV70" s="153">
        <f>IV58*FREQ_M/12</f>
        <v>0.0375</v>
      </c>
      <c r="IW70" s="153">
        <f>IW58*FREQ_M/12</f>
        <v>0.0375</v>
      </c>
      <c r="IX70" s="153">
        <f>IX58*FREQ_M/12</f>
        <v>0.0375</v>
      </c>
      <c r="IY70" s="153">
        <f>IY58*FREQ_M/12</f>
        <v>0.0375</v>
      </c>
      <c r="IZ70" s="153">
        <f>IZ58*FREQ_M/12</f>
        <v>0.0375</v>
      </c>
      <c r="JA70" s="153">
        <f>JA58*FREQ_M/12</f>
        <v>0.0375</v>
      </c>
      <c r="JB70" s="153">
        <f>JB58*FREQ_M/12</f>
        <v>0.0375</v>
      </c>
      <c r="JC70" s="153">
        <f>JC58*FREQ_M/12</f>
        <v>0.0375</v>
      </c>
      <c r="JD70" s="153">
        <f>JD58*FREQ_M/12</f>
        <v>0.0375</v>
      </c>
      <c r="JE70" s="153">
        <f>JE58*FREQ_M/12</f>
        <v>0.0375</v>
      </c>
      <c r="JF70" s="153">
        <f>JF58*FREQ_M/12</f>
        <v>0.0375</v>
      </c>
      <c r="JG70" s="153">
        <f>JG58*FREQ_M/12</f>
        <v>0.0375</v>
      </c>
      <c r="JH70" s="153">
        <f>JH58*FREQ_M/12</f>
        <v>0.0375</v>
      </c>
      <c r="JI70" s="153">
        <f>JI58*FREQ_M/12</f>
        <v>0.0375</v>
      </c>
      <c r="JJ70" s="153">
        <f>JJ58*FREQ_M/12</f>
        <v>0.0375</v>
      </c>
      <c r="JK70" s="153">
        <f>JK58*FREQ_M/12</f>
        <v>0.0375</v>
      </c>
      <c r="JL70" s="153">
        <f>JL58*FREQ_M/12</f>
        <v>0.0375</v>
      </c>
      <c r="JM70" s="153">
        <f>JM58*FREQ_M/12</f>
        <v>0.0375</v>
      </c>
      <c r="JN70" s="153">
        <f>JN58*FREQ_M/12</f>
        <v>0.0375</v>
      </c>
      <c r="JO70" s="153">
        <f>JO58*FREQ_M/12</f>
        <v>0.0375</v>
      </c>
      <c r="JP70" s="153">
        <f>JP58*FREQ_M/12</f>
        <v>0.0375</v>
      </c>
      <c r="JQ70" s="153">
        <f>JQ58*FREQ_M/12</f>
        <v>0.0375</v>
      </c>
      <c r="JR70" s="153">
        <f>JR58*FREQ_M/12</f>
        <v>0.0375</v>
      </c>
      <c r="JS70" s="153">
        <f>JS58*FREQ_M/12</f>
        <v>0.0375</v>
      </c>
      <c r="JT70" s="153">
        <f>JT58*FREQ_M/12</f>
        <v>0.0375</v>
      </c>
      <c r="JU70" s="153">
        <f>JU58*FREQ_M/12</f>
        <v>0.0375</v>
      </c>
      <c r="JV70" s="153">
        <f>JV58*FREQ_M/12</f>
        <v>0.0375</v>
      </c>
      <c r="JW70" s="153">
        <f>JW58*FREQ_M/12</f>
        <v>0.0375</v>
      </c>
      <c r="JX70" s="153">
        <f>JX58*FREQ_M/12</f>
        <v>0.0375</v>
      </c>
      <c r="JY70" s="153">
        <f>JY58*FREQ_M/12</f>
        <v>0.0375</v>
      </c>
      <c r="JZ70" s="153">
        <f>JZ58*FREQ_M/12</f>
        <v>0.0375</v>
      </c>
      <c r="KA70" s="153">
        <f>KA58*FREQ_M/12</f>
        <v>0.0375</v>
      </c>
      <c r="KB70" s="153">
        <f>KB58*FREQ_M/12</f>
        <v>0.0375</v>
      </c>
      <c r="KC70" s="153">
        <f>KC58*FREQ_M/12</f>
        <v>0.0375</v>
      </c>
      <c r="KD70" s="153">
        <f>KD58*FREQ_M/12</f>
        <v>0.0375</v>
      </c>
      <c r="KE70" s="153">
        <f>KE58*FREQ_M/12</f>
        <v>0.0375</v>
      </c>
      <c r="KF70" s="153">
        <f>KF58*FREQ_M/12</f>
        <v>0.0375</v>
      </c>
    </row>
    <row r="71">
      <c r="B71" s="36" t="inlineStr">
        <is>
          <t>Balloon amount</t>
        </is>
      </c>
      <c r="C71" s="117" t="inlineStr">
        <is>
          <t>ETB</t>
        </is>
      </c>
      <c r="E71" s="173">
        <f>IF(REPAY_TYPE=3,BALLOON_PCT*E69,0)</f>
        <v>0</v>
      </c>
      <c r="F71" s="173">
        <f>IF(REPAY_TYPE=3,BALLOON_PCT*F69,0)</f>
        <v>0</v>
      </c>
      <c r="G71" s="173">
        <f>IF(REPAY_TYPE=3,BALLOON_PCT*G69,0)</f>
        <v>0</v>
      </c>
      <c r="H71" s="173">
        <f>IF(REPAY_TYPE=3,BALLOON_PCT*H69,0)</f>
        <v>0</v>
      </c>
      <c r="I71" s="173">
        <f>IF(REPAY_TYPE=3,BALLOON_PCT*I69,0)</f>
        <v>0</v>
      </c>
      <c r="J71" s="173">
        <f>IF(REPAY_TYPE=3,BALLOON_PCT*J69,0)</f>
        <v>0</v>
      </c>
      <c r="K71" s="173">
        <f>IF(REPAY_TYPE=3,BALLOON_PCT*K69,0)</f>
        <v>0</v>
      </c>
      <c r="L71" s="173">
        <f>IF(REPAY_TYPE=3,BALLOON_PCT*L69,0)</f>
        <v>0</v>
      </c>
      <c r="M71" s="173">
        <f>IF(REPAY_TYPE=3,BALLOON_PCT*M69,0)</f>
        <v>0</v>
      </c>
      <c r="N71" s="173">
        <f>IF(REPAY_TYPE=3,BALLOON_PCT*N69,0)</f>
        <v>0</v>
      </c>
      <c r="O71" s="173">
        <f>IF(REPAY_TYPE=3,BALLOON_PCT*O69,0)</f>
        <v>0</v>
      </c>
      <c r="P71" s="173">
        <f>IF(REPAY_TYPE=3,BALLOON_PCT*P69,0)</f>
        <v>0</v>
      </c>
      <c r="Q71" s="173">
        <f>IF(REPAY_TYPE=3,BALLOON_PCT*Q69,0)</f>
        <v>0</v>
      </c>
      <c r="R71" s="173">
        <f>IF(REPAY_TYPE=3,BALLOON_PCT*R69,0)</f>
        <v>0</v>
      </c>
      <c r="S71" s="173">
        <f>IF(REPAY_TYPE=3,BALLOON_PCT*S69,0)</f>
        <v>0</v>
      </c>
      <c r="T71" s="173">
        <f>IF(REPAY_TYPE=3,BALLOON_PCT*T69,0)</f>
        <v>0</v>
      </c>
      <c r="U71" s="173">
        <f>IF(REPAY_TYPE=3,BALLOON_PCT*U69,0)</f>
        <v>0</v>
      </c>
      <c r="V71" s="173">
        <f>IF(REPAY_TYPE=3,BALLOON_PCT*V69,0)</f>
        <v>0</v>
      </c>
      <c r="W71" s="173">
        <f>IF(REPAY_TYPE=3,BALLOON_PCT*W69,0)</f>
        <v>0</v>
      </c>
      <c r="X71" s="173">
        <f>IF(REPAY_TYPE=3,BALLOON_PCT*X69,0)</f>
        <v>0</v>
      </c>
      <c r="Y71" s="173">
        <f>IF(REPAY_TYPE=3,BALLOON_PCT*Y69,0)</f>
        <v>0</v>
      </c>
      <c r="Z71" s="173">
        <f>IF(REPAY_TYPE=3,BALLOON_PCT*Z69,0)</f>
        <v>0</v>
      </c>
      <c r="AA71" s="173">
        <f>IF(REPAY_TYPE=3,BALLOON_PCT*AA69,0)</f>
        <v>0</v>
      </c>
      <c r="AB71" s="173">
        <f>IF(REPAY_TYPE=3,BALLOON_PCT*AB69,0)</f>
        <v>0</v>
      </c>
      <c r="AC71" s="173">
        <f>IF(REPAY_TYPE=3,BALLOON_PCT*AC69,0)</f>
        <v>0</v>
      </c>
      <c r="AD71" s="173">
        <f>IF(REPAY_TYPE=3,BALLOON_PCT*AD69,0)</f>
        <v>0</v>
      </c>
      <c r="AE71" s="173">
        <f>IF(REPAY_TYPE=3,BALLOON_PCT*AE69,0)</f>
        <v>0</v>
      </c>
      <c r="AF71" s="173">
        <f>IF(REPAY_TYPE=3,BALLOON_PCT*AF69,0)</f>
        <v>0</v>
      </c>
      <c r="AG71" s="173">
        <f>IF(REPAY_TYPE=3,BALLOON_PCT*AG69,0)</f>
        <v>0</v>
      </c>
      <c r="AH71" s="173">
        <f>IF(REPAY_TYPE=3,BALLOON_PCT*AH69,0)</f>
        <v>0</v>
      </c>
      <c r="AI71" s="173">
        <f>IF(REPAY_TYPE=3,BALLOON_PCT*AI69,0)</f>
        <v>0</v>
      </c>
      <c r="AJ71" s="173">
        <f>IF(REPAY_TYPE=3,BALLOON_PCT*AJ69,0)</f>
        <v>0</v>
      </c>
      <c r="AK71" s="173">
        <f>IF(REPAY_TYPE=3,BALLOON_PCT*AK69,0)</f>
        <v>0</v>
      </c>
      <c r="AL71" s="173">
        <f>IF(REPAY_TYPE=3,BALLOON_PCT*AL69,0)</f>
        <v>0</v>
      </c>
      <c r="AM71" s="173">
        <f>IF(REPAY_TYPE=3,BALLOON_PCT*AM69,0)</f>
        <v>0</v>
      </c>
      <c r="AN71" s="173">
        <f>IF(REPAY_TYPE=3,BALLOON_PCT*AN69,0)</f>
        <v>0</v>
      </c>
      <c r="AO71" s="173">
        <f>IF(REPAY_TYPE=3,BALLOON_PCT*AO69,0)</f>
        <v>0</v>
      </c>
      <c r="AP71" s="173">
        <f>IF(REPAY_TYPE=3,BALLOON_PCT*AP69,0)</f>
        <v>0</v>
      </c>
      <c r="AQ71" s="173">
        <f>IF(REPAY_TYPE=3,BALLOON_PCT*AQ69,0)</f>
        <v>0</v>
      </c>
      <c r="AR71" s="173">
        <f>IF(REPAY_TYPE=3,BALLOON_PCT*AR69,0)</f>
        <v>0</v>
      </c>
      <c r="AS71" s="173">
        <f>IF(REPAY_TYPE=3,BALLOON_PCT*AS69,0)</f>
        <v>0</v>
      </c>
      <c r="AT71" s="173">
        <f>IF(REPAY_TYPE=3,BALLOON_PCT*AT69,0)</f>
        <v>0</v>
      </c>
      <c r="AU71" s="173">
        <f>IF(REPAY_TYPE=3,BALLOON_PCT*AU69,0)</f>
        <v>0</v>
      </c>
      <c r="AV71" s="173">
        <f>IF(REPAY_TYPE=3,BALLOON_PCT*AV69,0)</f>
        <v>0</v>
      </c>
      <c r="AW71" s="173">
        <f>IF(REPAY_TYPE=3,BALLOON_PCT*AW69,0)</f>
        <v>0</v>
      </c>
      <c r="AX71" s="173">
        <f>IF(REPAY_TYPE=3,BALLOON_PCT*AX69,0)</f>
        <v>0</v>
      </c>
      <c r="AY71" s="173">
        <f>IF(REPAY_TYPE=3,BALLOON_PCT*AY69,0)</f>
        <v>0</v>
      </c>
      <c r="AZ71" s="173">
        <f>IF(REPAY_TYPE=3,BALLOON_PCT*AZ69,0)</f>
        <v>0</v>
      </c>
      <c r="BA71" s="173">
        <f>IF(REPAY_TYPE=3,BALLOON_PCT*BA69,0)</f>
        <v>0</v>
      </c>
      <c r="BB71" s="173">
        <f>IF(REPAY_TYPE=3,BALLOON_PCT*BB69,0)</f>
        <v>0</v>
      </c>
      <c r="BC71" s="173">
        <f>IF(REPAY_TYPE=3,BALLOON_PCT*BC69,0)</f>
        <v>0</v>
      </c>
      <c r="BD71" s="173">
        <f>IF(REPAY_TYPE=3,BALLOON_PCT*BD69,0)</f>
        <v>0</v>
      </c>
      <c r="BE71" s="173">
        <f>IF(REPAY_TYPE=3,BALLOON_PCT*BE69,0)</f>
        <v>0</v>
      </c>
      <c r="BF71" s="173">
        <f>IF(REPAY_TYPE=3,BALLOON_PCT*BF69,0)</f>
        <v>0</v>
      </c>
      <c r="BG71" s="173">
        <f>IF(REPAY_TYPE=3,BALLOON_PCT*BG69,0)</f>
        <v>0</v>
      </c>
      <c r="BH71" s="173">
        <f>IF(REPAY_TYPE=3,BALLOON_PCT*BH69,0)</f>
        <v>0</v>
      </c>
      <c r="BI71" s="173">
        <f>IF(REPAY_TYPE=3,BALLOON_PCT*BI69,0)</f>
        <v>0</v>
      </c>
      <c r="BJ71" s="173">
        <f>IF(REPAY_TYPE=3,BALLOON_PCT*BJ69,0)</f>
        <v>0</v>
      </c>
      <c r="BK71" s="173">
        <f>IF(REPAY_TYPE=3,BALLOON_PCT*BK69,0)</f>
        <v>0</v>
      </c>
      <c r="BL71" s="173">
        <f>IF(REPAY_TYPE=3,BALLOON_PCT*BL69,0)</f>
        <v>0</v>
      </c>
      <c r="BM71" s="173">
        <f>IF(REPAY_TYPE=3,BALLOON_PCT*BM69,0)</f>
        <v>0</v>
      </c>
      <c r="BN71" s="173">
        <f>IF(REPAY_TYPE=3,BALLOON_PCT*BN69,0)</f>
        <v>0</v>
      </c>
      <c r="BO71" s="173">
        <f>IF(REPAY_TYPE=3,BALLOON_PCT*BO69,0)</f>
        <v>0</v>
      </c>
      <c r="BP71" s="173">
        <f>IF(REPAY_TYPE=3,BALLOON_PCT*BP69,0)</f>
        <v>0</v>
      </c>
      <c r="BQ71" s="173">
        <f>IF(REPAY_TYPE=3,BALLOON_PCT*BQ69,0)</f>
        <v>0</v>
      </c>
      <c r="BR71" s="173">
        <f>IF(REPAY_TYPE=3,BALLOON_PCT*BR69,0)</f>
        <v>0</v>
      </c>
      <c r="BS71" s="173">
        <f>IF(REPAY_TYPE=3,BALLOON_PCT*BS69,0)</f>
        <v>0</v>
      </c>
      <c r="BT71" s="173">
        <f>IF(REPAY_TYPE=3,BALLOON_PCT*BT69,0)</f>
        <v>0</v>
      </c>
      <c r="BU71" s="173">
        <f>IF(REPAY_TYPE=3,BALLOON_PCT*BU69,0)</f>
        <v>0</v>
      </c>
      <c r="BV71" s="173">
        <f>IF(REPAY_TYPE=3,BALLOON_PCT*BV69,0)</f>
        <v>0</v>
      </c>
      <c r="BW71" s="173">
        <f>IF(REPAY_TYPE=3,BALLOON_PCT*BW69,0)</f>
        <v>0</v>
      </c>
      <c r="BX71" s="173">
        <f>IF(REPAY_TYPE=3,BALLOON_PCT*BX69,0)</f>
        <v>0</v>
      </c>
      <c r="BY71" s="173">
        <f>IF(REPAY_TYPE=3,BALLOON_PCT*BY69,0)</f>
        <v>0</v>
      </c>
      <c r="BZ71" s="173">
        <f>IF(REPAY_TYPE=3,BALLOON_PCT*BZ69,0)</f>
        <v>0</v>
      </c>
      <c r="CA71" s="173">
        <f>IF(REPAY_TYPE=3,BALLOON_PCT*CA69,0)</f>
        <v>0</v>
      </c>
      <c r="CB71" s="173">
        <f>IF(REPAY_TYPE=3,BALLOON_PCT*CB69,0)</f>
        <v>0</v>
      </c>
      <c r="CC71" s="173">
        <f>IF(REPAY_TYPE=3,BALLOON_PCT*CC69,0)</f>
        <v>0</v>
      </c>
      <c r="CD71" s="173">
        <f>IF(REPAY_TYPE=3,BALLOON_PCT*CD69,0)</f>
        <v>0</v>
      </c>
      <c r="CE71" s="173">
        <f>IF(REPAY_TYPE=3,BALLOON_PCT*CE69,0)</f>
        <v>0</v>
      </c>
      <c r="CF71" s="173">
        <f>IF(REPAY_TYPE=3,BALLOON_PCT*CF69,0)</f>
        <v>0</v>
      </c>
      <c r="CG71" s="173">
        <f>IF(REPAY_TYPE=3,BALLOON_PCT*CG69,0)</f>
        <v>0</v>
      </c>
      <c r="CH71" s="173">
        <f>IF(REPAY_TYPE=3,BALLOON_PCT*CH69,0)</f>
        <v>0</v>
      </c>
      <c r="CI71" s="173">
        <f>IF(REPAY_TYPE=3,BALLOON_PCT*CI69,0)</f>
        <v>0</v>
      </c>
      <c r="CJ71" s="173">
        <f>IF(REPAY_TYPE=3,BALLOON_PCT*CJ69,0)</f>
        <v>0</v>
      </c>
      <c r="CK71" s="173">
        <f>IF(REPAY_TYPE=3,BALLOON_PCT*CK69,0)</f>
        <v>0</v>
      </c>
      <c r="CL71" s="173">
        <f>IF(REPAY_TYPE=3,BALLOON_PCT*CL69,0)</f>
        <v>0</v>
      </c>
      <c r="CM71" s="173">
        <f>IF(REPAY_TYPE=3,BALLOON_PCT*CM69,0)</f>
        <v>0</v>
      </c>
      <c r="CN71" s="173">
        <f>IF(REPAY_TYPE=3,BALLOON_PCT*CN69,0)</f>
        <v>0</v>
      </c>
      <c r="CO71" s="173">
        <f>IF(REPAY_TYPE=3,BALLOON_PCT*CO69,0)</f>
        <v>0</v>
      </c>
      <c r="CP71" s="173">
        <f>IF(REPAY_TYPE=3,BALLOON_PCT*CP69,0)</f>
        <v>0</v>
      </c>
      <c r="CQ71" s="173">
        <f>IF(REPAY_TYPE=3,BALLOON_PCT*CQ69,0)</f>
        <v>0</v>
      </c>
      <c r="CR71" s="173">
        <f>IF(REPAY_TYPE=3,BALLOON_PCT*CR69,0)</f>
        <v>0</v>
      </c>
      <c r="CS71" s="173">
        <f>IF(REPAY_TYPE=3,BALLOON_PCT*CS69,0)</f>
        <v>0</v>
      </c>
      <c r="CT71" s="173">
        <f>IF(REPAY_TYPE=3,BALLOON_PCT*CT69,0)</f>
        <v>0</v>
      </c>
      <c r="CU71" s="173">
        <f>IF(REPAY_TYPE=3,BALLOON_PCT*CU69,0)</f>
        <v>0</v>
      </c>
      <c r="CV71" s="173">
        <f>IF(REPAY_TYPE=3,BALLOON_PCT*CV69,0)</f>
        <v>0</v>
      </c>
      <c r="CW71" s="173">
        <f>IF(REPAY_TYPE=3,BALLOON_PCT*CW69,0)</f>
        <v>0</v>
      </c>
      <c r="CX71" s="173">
        <f>IF(REPAY_TYPE=3,BALLOON_PCT*CX69,0)</f>
        <v>0</v>
      </c>
      <c r="CY71" s="173">
        <f>IF(REPAY_TYPE=3,BALLOON_PCT*CY69,0)</f>
        <v>0</v>
      </c>
      <c r="CZ71" s="173">
        <f>IF(REPAY_TYPE=3,BALLOON_PCT*CZ69,0)</f>
        <v>0</v>
      </c>
      <c r="DA71" s="173">
        <f>IF(REPAY_TYPE=3,BALLOON_PCT*DA69,0)</f>
        <v>0</v>
      </c>
      <c r="DB71" s="173">
        <f>IF(REPAY_TYPE=3,BALLOON_PCT*DB69,0)</f>
        <v>0</v>
      </c>
      <c r="DC71" s="173">
        <f>IF(REPAY_TYPE=3,BALLOON_PCT*DC69,0)</f>
        <v>0</v>
      </c>
      <c r="DD71" s="173">
        <f>IF(REPAY_TYPE=3,BALLOON_PCT*DD69,0)</f>
        <v>0</v>
      </c>
      <c r="DE71" s="173">
        <f>IF(REPAY_TYPE=3,BALLOON_PCT*DE69,0)</f>
        <v>0</v>
      </c>
      <c r="DF71" s="173">
        <f>IF(REPAY_TYPE=3,BALLOON_PCT*DF69,0)</f>
        <v>0</v>
      </c>
      <c r="DG71" s="173">
        <f>IF(REPAY_TYPE=3,BALLOON_PCT*DG69,0)</f>
        <v>0</v>
      </c>
      <c r="DH71" s="173">
        <f>IF(REPAY_TYPE=3,BALLOON_PCT*DH69,0)</f>
        <v>0</v>
      </c>
      <c r="DI71" s="173">
        <f>IF(REPAY_TYPE=3,BALLOON_PCT*DI69,0)</f>
        <v>0</v>
      </c>
      <c r="DJ71" s="173">
        <f>IF(REPAY_TYPE=3,BALLOON_PCT*DJ69,0)</f>
        <v>0</v>
      </c>
      <c r="DK71" s="173">
        <f>IF(REPAY_TYPE=3,BALLOON_PCT*DK69,0)</f>
        <v>0</v>
      </c>
      <c r="DL71" s="173">
        <f>IF(REPAY_TYPE=3,BALLOON_PCT*DL69,0)</f>
        <v>0</v>
      </c>
      <c r="DM71" s="173">
        <f>IF(REPAY_TYPE=3,BALLOON_PCT*DM69,0)</f>
        <v>0</v>
      </c>
      <c r="DN71" s="173">
        <f>IF(REPAY_TYPE=3,BALLOON_PCT*DN69,0)</f>
        <v>0</v>
      </c>
      <c r="DO71" s="173">
        <f>IF(REPAY_TYPE=3,BALLOON_PCT*DO69,0)</f>
        <v>0</v>
      </c>
      <c r="DP71" s="173">
        <f>IF(REPAY_TYPE=3,BALLOON_PCT*DP69,0)</f>
        <v>0</v>
      </c>
      <c r="DQ71" s="173">
        <f>IF(REPAY_TYPE=3,BALLOON_PCT*DQ69,0)</f>
        <v>0</v>
      </c>
      <c r="DR71" s="173">
        <f>IF(REPAY_TYPE=3,BALLOON_PCT*DR69,0)</f>
        <v>0</v>
      </c>
      <c r="DS71" s="173">
        <f>IF(REPAY_TYPE=3,BALLOON_PCT*DS69,0)</f>
        <v>0</v>
      </c>
      <c r="DT71" s="173">
        <f>IF(REPAY_TYPE=3,BALLOON_PCT*DT69,0)</f>
        <v>0</v>
      </c>
      <c r="DU71" s="173">
        <f>IF(REPAY_TYPE=3,BALLOON_PCT*DU69,0)</f>
        <v>0</v>
      </c>
      <c r="DV71" s="173">
        <f>IF(REPAY_TYPE=3,BALLOON_PCT*DV69,0)</f>
        <v>0</v>
      </c>
      <c r="DW71" s="173">
        <f>IF(REPAY_TYPE=3,BALLOON_PCT*DW69,0)</f>
        <v>0</v>
      </c>
      <c r="DX71" s="173">
        <f>IF(REPAY_TYPE=3,BALLOON_PCT*DX69,0)</f>
        <v>0</v>
      </c>
      <c r="DY71" s="173">
        <f>IF(REPAY_TYPE=3,BALLOON_PCT*DY69,0)</f>
        <v>0</v>
      </c>
      <c r="DZ71" s="173">
        <f>IF(REPAY_TYPE=3,BALLOON_PCT*DZ69,0)</f>
        <v>0</v>
      </c>
      <c r="EA71" s="173">
        <f>IF(REPAY_TYPE=3,BALLOON_PCT*EA69,0)</f>
        <v>0</v>
      </c>
      <c r="EB71" s="173">
        <f>IF(REPAY_TYPE=3,BALLOON_PCT*EB69,0)</f>
        <v>0</v>
      </c>
      <c r="EC71" s="173">
        <f>IF(REPAY_TYPE=3,BALLOON_PCT*EC69,0)</f>
        <v>0</v>
      </c>
      <c r="ED71" s="173">
        <f>IF(REPAY_TYPE=3,BALLOON_PCT*ED69,0)</f>
        <v>0</v>
      </c>
      <c r="EE71" s="173">
        <f>IF(REPAY_TYPE=3,BALLOON_PCT*EE69,0)</f>
        <v>0</v>
      </c>
      <c r="EF71" s="173">
        <f>IF(REPAY_TYPE=3,BALLOON_PCT*EF69,0)</f>
        <v>0</v>
      </c>
      <c r="EG71" s="173">
        <f>IF(REPAY_TYPE=3,BALLOON_PCT*EG69,0)</f>
        <v>0</v>
      </c>
      <c r="EH71" s="173">
        <f>IF(REPAY_TYPE=3,BALLOON_PCT*EH69,0)</f>
        <v>0</v>
      </c>
      <c r="EI71" s="173">
        <f>IF(REPAY_TYPE=3,BALLOON_PCT*EI69,0)</f>
        <v>0</v>
      </c>
      <c r="EJ71" s="173">
        <f>IF(REPAY_TYPE=3,BALLOON_PCT*EJ69,0)</f>
        <v>0</v>
      </c>
      <c r="EK71" s="173">
        <f>IF(REPAY_TYPE=3,BALLOON_PCT*EK69,0)</f>
        <v>0</v>
      </c>
      <c r="EL71" s="173">
        <f>IF(REPAY_TYPE=3,BALLOON_PCT*EL69,0)</f>
        <v>0</v>
      </c>
      <c r="EM71" s="173">
        <f>IF(REPAY_TYPE=3,BALLOON_PCT*EM69,0)</f>
        <v>0</v>
      </c>
      <c r="EN71" s="173">
        <f>IF(REPAY_TYPE=3,BALLOON_PCT*EN69,0)</f>
        <v>0</v>
      </c>
      <c r="EO71" s="173">
        <f>IF(REPAY_TYPE=3,BALLOON_PCT*EO69,0)</f>
        <v>0</v>
      </c>
      <c r="EP71" s="173">
        <f>IF(REPAY_TYPE=3,BALLOON_PCT*EP69,0)</f>
        <v>0</v>
      </c>
      <c r="EQ71" s="173">
        <f>IF(REPAY_TYPE=3,BALLOON_PCT*EQ69,0)</f>
        <v>0</v>
      </c>
      <c r="ER71" s="173">
        <f>IF(REPAY_TYPE=3,BALLOON_PCT*ER69,0)</f>
        <v>0</v>
      </c>
      <c r="ES71" s="173">
        <f>IF(REPAY_TYPE=3,BALLOON_PCT*ES69,0)</f>
        <v>0</v>
      </c>
      <c r="ET71" s="173">
        <f>IF(REPAY_TYPE=3,BALLOON_PCT*ET69,0)</f>
        <v>0</v>
      </c>
      <c r="EU71" s="173">
        <f>IF(REPAY_TYPE=3,BALLOON_PCT*EU69,0)</f>
        <v>0</v>
      </c>
      <c r="EV71" s="173">
        <f>IF(REPAY_TYPE=3,BALLOON_PCT*EV69,0)</f>
        <v>0</v>
      </c>
      <c r="EW71" s="173">
        <f>IF(REPAY_TYPE=3,BALLOON_PCT*EW69,0)</f>
        <v>0</v>
      </c>
      <c r="EX71" s="173">
        <f>IF(REPAY_TYPE=3,BALLOON_PCT*EX69,0)</f>
        <v>0</v>
      </c>
      <c r="EY71" s="173">
        <f>IF(REPAY_TYPE=3,BALLOON_PCT*EY69,0)</f>
        <v>0</v>
      </c>
      <c r="EZ71" s="173">
        <f>IF(REPAY_TYPE=3,BALLOON_PCT*EZ69,0)</f>
        <v>0</v>
      </c>
      <c r="FA71" s="173">
        <f>IF(REPAY_TYPE=3,BALLOON_PCT*FA69,0)</f>
        <v>0</v>
      </c>
      <c r="FB71" s="173">
        <f>IF(REPAY_TYPE=3,BALLOON_PCT*FB69,0)</f>
        <v>0</v>
      </c>
      <c r="FC71" s="173">
        <f>IF(REPAY_TYPE=3,BALLOON_PCT*FC69,0)</f>
        <v>0</v>
      </c>
      <c r="FD71" s="173">
        <f>IF(REPAY_TYPE=3,BALLOON_PCT*FD69,0)</f>
        <v>0</v>
      </c>
      <c r="FE71" s="173">
        <f>IF(REPAY_TYPE=3,BALLOON_PCT*FE69,0)</f>
        <v>0</v>
      </c>
      <c r="FF71" s="173">
        <f>IF(REPAY_TYPE=3,BALLOON_PCT*FF69,0)</f>
        <v>0</v>
      </c>
      <c r="FG71" s="173">
        <f>IF(REPAY_TYPE=3,BALLOON_PCT*FG69,0)</f>
        <v>0</v>
      </c>
      <c r="FH71" s="173">
        <f>IF(REPAY_TYPE=3,BALLOON_PCT*FH69,0)</f>
        <v>0</v>
      </c>
      <c r="FI71" s="173">
        <f>IF(REPAY_TYPE=3,BALLOON_PCT*FI69,0)</f>
        <v>0</v>
      </c>
      <c r="FJ71" s="173">
        <f>IF(REPAY_TYPE=3,BALLOON_PCT*FJ69,0)</f>
        <v>0</v>
      </c>
      <c r="FK71" s="173">
        <f>IF(REPAY_TYPE=3,BALLOON_PCT*FK69,0)</f>
        <v>0</v>
      </c>
      <c r="FL71" s="173">
        <f>IF(REPAY_TYPE=3,BALLOON_PCT*FL69,0)</f>
        <v>0</v>
      </c>
      <c r="FM71" s="173">
        <f>IF(REPAY_TYPE=3,BALLOON_PCT*FM69,0)</f>
        <v>0</v>
      </c>
      <c r="FN71" s="173">
        <f>IF(REPAY_TYPE=3,BALLOON_PCT*FN69,0)</f>
        <v>0</v>
      </c>
      <c r="FO71" s="173">
        <f>IF(REPAY_TYPE=3,BALLOON_PCT*FO69,0)</f>
        <v>0</v>
      </c>
      <c r="FP71" s="173">
        <f>IF(REPAY_TYPE=3,BALLOON_PCT*FP69,0)</f>
        <v>0</v>
      </c>
      <c r="FQ71" s="173">
        <f>IF(REPAY_TYPE=3,BALLOON_PCT*FQ69,0)</f>
        <v>0</v>
      </c>
      <c r="FR71" s="173">
        <f>IF(REPAY_TYPE=3,BALLOON_PCT*FR69,0)</f>
        <v>0</v>
      </c>
      <c r="FS71" s="173">
        <f>IF(REPAY_TYPE=3,BALLOON_PCT*FS69,0)</f>
        <v>0</v>
      </c>
      <c r="FT71" s="173">
        <f>IF(REPAY_TYPE=3,BALLOON_PCT*FT69,0)</f>
        <v>0</v>
      </c>
      <c r="FU71" s="173">
        <f>IF(REPAY_TYPE=3,BALLOON_PCT*FU69,0)</f>
        <v>0</v>
      </c>
      <c r="FV71" s="173">
        <f>IF(REPAY_TYPE=3,BALLOON_PCT*FV69,0)</f>
        <v>0</v>
      </c>
      <c r="FW71" s="173">
        <f>IF(REPAY_TYPE=3,BALLOON_PCT*FW69,0)</f>
        <v>0</v>
      </c>
      <c r="FX71" s="173">
        <f>IF(REPAY_TYPE=3,BALLOON_PCT*FX69,0)</f>
        <v>0</v>
      </c>
      <c r="FY71" s="173">
        <f>IF(REPAY_TYPE=3,BALLOON_PCT*FY69,0)</f>
        <v>0</v>
      </c>
      <c r="FZ71" s="173">
        <f>IF(REPAY_TYPE=3,BALLOON_PCT*FZ69,0)</f>
        <v>0</v>
      </c>
      <c r="GA71" s="173">
        <f>IF(REPAY_TYPE=3,BALLOON_PCT*GA69,0)</f>
        <v>0</v>
      </c>
      <c r="GB71" s="173">
        <f>IF(REPAY_TYPE=3,BALLOON_PCT*GB69,0)</f>
        <v>0</v>
      </c>
      <c r="GC71" s="173">
        <f>IF(REPAY_TYPE=3,BALLOON_PCT*GC69,0)</f>
        <v>0</v>
      </c>
      <c r="GD71" s="173">
        <f>IF(REPAY_TYPE=3,BALLOON_PCT*GD69,0)</f>
        <v>0</v>
      </c>
      <c r="GE71" s="173">
        <f>IF(REPAY_TYPE=3,BALLOON_PCT*GE69,0)</f>
        <v>0</v>
      </c>
      <c r="GF71" s="173">
        <f>IF(REPAY_TYPE=3,BALLOON_PCT*GF69,0)</f>
        <v>0</v>
      </c>
      <c r="GG71" s="173">
        <f>IF(REPAY_TYPE=3,BALLOON_PCT*GG69,0)</f>
        <v>0</v>
      </c>
      <c r="GH71" s="173">
        <f>IF(REPAY_TYPE=3,BALLOON_PCT*GH69,0)</f>
        <v>0</v>
      </c>
      <c r="GI71" s="173">
        <f>IF(REPAY_TYPE=3,BALLOON_PCT*GI69,0)</f>
        <v>0</v>
      </c>
      <c r="GJ71" s="173">
        <f>IF(REPAY_TYPE=3,BALLOON_PCT*GJ69,0)</f>
        <v>0</v>
      </c>
      <c r="GK71" s="173">
        <f>IF(REPAY_TYPE=3,BALLOON_PCT*GK69,0)</f>
        <v>0</v>
      </c>
      <c r="GL71" s="173">
        <f>IF(REPAY_TYPE=3,BALLOON_PCT*GL69,0)</f>
        <v>0</v>
      </c>
      <c r="GM71" s="173">
        <f>IF(REPAY_TYPE=3,BALLOON_PCT*GM69,0)</f>
        <v>0</v>
      </c>
      <c r="GN71" s="173">
        <f>IF(REPAY_TYPE=3,BALLOON_PCT*GN69,0)</f>
        <v>0</v>
      </c>
      <c r="GO71" s="173">
        <f>IF(REPAY_TYPE=3,BALLOON_PCT*GO69,0)</f>
        <v>0</v>
      </c>
      <c r="GP71" s="173">
        <f>IF(REPAY_TYPE=3,BALLOON_PCT*GP69,0)</f>
        <v>0</v>
      </c>
      <c r="GQ71" s="173">
        <f>IF(REPAY_TYPE=3,BALLOON_PCT*GQ69,0)</f>
        <v>0</v>
      </c>
      <c r="GR71" s="173">
        <f>IF(REPAY_TYPE=3,BALLOON_PCT*GR69,0)</f>
        <v>0</v>
      </c>
      <c r="GS71" s="173">
        <f>IF(REPAY_TYPE=3,BALLOON_PCT*GS69,0)</f>
        <v>0</v>
      </c>
      <c r="GT71" s="173">
        <f>IF(REPAY_TYPE=3,BALLOON_PCT*GT69,0)</f>
        <v>0</v>
      </c>
      <c r="GU71" s="173">
        <f>IF(REPAY_TYPE=3,BALLOON_PCT*GU69,0)</f>
        <v>0</v>
      </c>
      <c r="GV71" s="173">
        <f>IF(REPAY_TYPE=3,BALLOON_PCT*GV69,0)</f>
        <v>0</v>
      </c>
      <c r="GW71" s="173">
        <f>IF(REPAY_TYPE=3,BALLOON_PCT*GW69,0)</f>
        <v>0</v>
      </c>
      <c r="GX71" s="173">
        <f>IF(REPAY_TYPE=3,BALLOON_PCT*GX69,0)</f>
        <v>0</v>
      </c>
      <c r="GY71" s="173">
        <f>IF(REPAY_TYPE=3,BALLOON_PCT*GY69,0)</f>
        <v>0</v>
      </c>
      <c r="GZ71" s="173">
        <f>IF(REPAY_TYPE=3,BALLOON_PCT*GZ69,0)</f>
        <v>0</v>
      </c>
      <c r="HA71" s="173">
        <f>IF(REPAY_TYPE=3,BALLOON_PCT*HA69,0)</f>
        <v>0</v>
      </c>
      <c r="HB71" s="173">
        <f>IF(REPAY_TYPE=3,BALLOON_PCT*HB69,0)</f>
        <v>0</v>
      </c>
      <c r="HC71" s="173">
        <f>IF(REPAY_TYPE=3,BALLOON_PCT*HC69,0)</f>
        <v>0</v>
      </c>
      <c r="HD71" s="173">
        <f>IF(REPAY_TYPE=3,BALLOON_PCT*HD69,0)</f>
        <v>0</v>
      </c>
      <c r="HE71" s="173">
        <f>IF(REPAY_TYPE=3,BALLOON_PCT*HE69,0)</f>
        <v>0</v>
      </c>
      <c r="HF71" s="173">
        <f>IF(REPAY_TYPE=3,BALLOON_PCT*HF69,0)</f>
        <v>0</v>
      </c>
      <c r="HG71" s="173">
        <f>IF(REPAY_TYPE=3,BALLOON_PCT*HG69,0)</f>
        <v>0</v>
      </c>
      <c r="HH71" s="173">
        <f>IF(REPAY_TYPE=3,BALLOON_PCT*HH69,0)</f>
        <v>0</v>
      </c>
      <c r="HI71" s="173">
        <f>IF(REPAY_TYPE=3,BALLOON_PCT*HI69,0)</f>
        <v>0</v>
      </c>
      <c r="HJ71" s="173">
        <f>IF(REPAY_TYPE=3,BALLOON_PCT*HJ69,0)</f>
        <v>0</v>
      </c>
      <c r="HK71" s="173">
        <f>IF(REPAY_TYPE=3,BALLOON_PCT*HK69,0)</f>
        <v>0</v>
      </c>
      <c r="HL71" s="173">
        <f>IF(REPAY_TYPE=3,BALLOON_PCT*HL69,0)</f>
        <v>0</v>
      </c>
      <c r="HM71" s="173">
        <f>IF(REPAY_TYPE=3,BALLOON_PCT*HM69,0)</f>
        <v>0</v>
      </c>
      <c r="HN71" s="173">
        <f>IF(REPAY_TYPE=3,BALLOON_PCT*HN69,0)</f>
        <v>0</v>
      </c>
      <c r="HO71" s="173">
        <f>IF(REPAY_TYPE=3,BALLOON_PCT*HO69,0)</f>
        <v>0</v>
      </c>
      <c r="HP71" s="173">
        <f>IF(REPAY_TYPE=3,BALLOON_PCT*HP69,0)</f>
        <v>0</v>
      </c>
      <c r="HQ71" s="173">
        <f>IF(REPAY_TYPE=3,BALLOON_PCT*HQ69,0)</f>
        <v>0</v>
      </c>
      <c r="HR71" s="173">
        <f>IF(REPAY_TYPE=3,BALLOON_PCT*HR69,0)</f>
        <v>0</v>
      </c>
      <c r="HS71" s="173">
        <f>IF(REPAY_TYPE=3,BALLOON_PCT*HS69,0)</f>
        <v>0</v>
      </c>
      <c r="HT71" s="173">
        <f>IF(REPAY_TYPE=3,BALLOON_PCT*HT69,0)</f>
        <v>0</v>
      </c>
      <c r="HU71" s="173">
        <f>IF(REPAY_TYPE=3,BALLOON_PCT*HU69,0)</f>
        <v>0</v>
      </c>
      <c r="HV71" s="173">
        <f>IF(REPAY_TYPE=3,BALLOON_PCT*HV69,0)</f>
        <v>0</v>
      </c>
      <c r="HW71" s="173">
        <f>IF(REPAY_TYPE=3,BALLOON_PCT*HW69,0)</f>
        <v>0</v>
      </c>
      <c r="HX71" s="173">
        <f>IF(REPAY_TYPE=3,BALLOON_PCT*HX69,0)</f>
        <v>0</v>
      </c>
      <c r="HY71" s="173">
        <f>IF(REPAY_TYPE=3,BALLOON_PCT*HY69,0)</f>
        <v>0</v>
      </c>
      <c r="HZ71" s="173">
        <f>IF(REPAY_TYPE=3,BALLOON_PCT*HZ69,0)</f>
        <v>0</v>
      </c>
      <c r="IA71" s="173">
        <f>IF(REPAY_TYPE=3,BALLOON_PCT*IA69,0)</f>
        <v>0</v>
      </c>
      <c r="IB71" s="173">
        <f>IF(REPAY_TYPE=3,BALLOON_PCT*IB69,0)</f>
        <v>0</v>
      </c>
      <c r="IC71" s="173">
        <f>IF(REPAY_TYPE=3,BALLOON_PCT*IC69,0)</f>
        <v>0</v>
      </c>
      <c r="ID71" s="173">
        <f>IF(REPAY_TYPE=3,BALLOON_PCT*ID69,0)</f>
        <v>0</v>
      </c>
      <c r="IE71" s="173">
        <f>IF(REPAY_TYPE=3,BALLOON_PCT*IE69,0)</f>
        <v>0</v>
      </c>
      <c r="IF71" s="173">
        <f>IF(REPAY_TYPE=3,BALLOON_PCT*IF69,0)</f>
        <v>0</v>
      </c>
      <c r="IG71" s="173">
        <f>IF(REPAY_TYPE=3,BALLOON_PCT*IG69,0)</f>
        <v>0</v>
      </c>
      <c r="IH71" s="173">
        <f>IF(REPAY_TYPE=3,BALLOON_PCT*IH69,0)</f>
        <v>0</v>
      </c>
      <c r="II71" s="173">
        <f>IF(REPAY_TYPE=3,BALLOON_PCT*II69,0)</f>
        <v>0</v>
      </c>
      <c r="IJ71" s="173">
        <f>IF(REPAY_TYPE=3,BALLOON_PCT*IJ69,0)</f>
        <v>0</v>
      </c>
      <c r="IK71" s="173">
        <f>IF(REPAY_TYPE=3,BALLOON_PCT*IK69,0)</f>
        <v>0</v>
      </c>
      <c r="IL71" s="173">
        <f>IF(REPAY_TYPE=3,BALLOON_PCT*IL69,0)</f>
        <v>0</v>
      </c>
      <c r="IM71" s="173">
        <f>IF(REPAY_TYPE=3,BALLOON_PCT*IM69,0)</f>
        <v>0</v>
      </c>
      <c r="IN71" s="173">
        <f>IF(REPAY_TYPE=3,BALLOON_PCT*IN69,0)</f>
        <v>0</v>
      </c>
      <c r="IO71" s="173">
        <f>IF(REPAY_TYPE=3,BALLOON_PCT*IO69,0)</f>
        <v>0</v>
      </c>
      <c r="IP71" s="173">
        <f>IF(REPAY_TYPE=3,BALLOON_PCT*IP69,0)</f>
        <v>0</v>
      </c>
      <c r="IQ71" s="173">
        <f>IF(REPAY_TYPE=3,BALLOON_PCT*IQ69,0)</f>
        <v>0</v>
      </c>
      <c r="IR71" s="173">
        <f>IF(REPAY_TYPE=3,BALLOON_PCT*IR69,0)</f>
        <v>0</v>
      </c>
      <c r="IS71" s="173">
        <f>IF(REPAY_TYPE=3,BALLOON_PCT*IS69,0)</f>
        <v>0</v>
      </c>
      <c r="IT71" s="173">
        <f>IF(REPAY_TYPE=3,BALLOON_PCT*IT69,0)</f>
        <v>0</v>
      </c>
      <c r="IU71" s="173">
        <f>IF(REPAY_TYPE=3,BALLOON_PCT*IU69,0)</f>
        <v>0</v>
      </c>
      <c r="IV71" s="173">
        <f>IF(REPAY_TYPE=3,BALLOON_PCT*IV69,0)</f>
        <v>0</v>
      </c>
      <c r="IW71" s="173">
        <f>IF(REPAY_TYPE=3,BALLOON_PCT*IW69,0)</f>
        <v>0</v>
      </c>
      <c r="IX71" s="173">
        <f>IF(REPAY_TYPE=3,BALLOON_PCT*IX69,0)</f>
        <v>0</v>
      </c>
      <c r="IY71" s="173">
        <f>IF(REPAY_TYPE=3,BALLOON_PCT*IY69,0)</f>
        <v>0</v>
      </c>
      <c r="IZ71" s="173">
        <f>IF(REPAY_TYPE=3,BALLOON_PCT*IZ69,0)</f>
        <v>0</v>
      </c>
      <c r="JA71" s="173">
        <f>IF(REPAY_TYPE=3,BALLOON_PCT*JA69,0)</f>
        <v>0</v>
      </c>
      <c r="JB71" s="173">
        <f>IF(REPAY_TYPE=3,BALLOON_PCT*JB69,0)</f>
        <v>0</v>
      </c>
      <c r="JC71" s="173">
        <f>IF(REPAY_TYPE=3,BALLOON_PCT*JC69,0)</f>
        <v>0</v>
      </c>
      <c r="JD71" s="173">
        <f>IF(REPAY_TYPE=3,BALLOON_PCT*JD69,0)</f>
        <v>0</v>
      </c>
      <c r="JE71" s="173">
        <f>IF(REPAY_TYPE=3,BALLOON_PCT*JE69,0)</f>
        <v>0</v>
      </c>
      <c r="JF71" s="173">
        <f>IF(REPAY_TYPE=3,BALLOON_PCT*JF69,0)</f>
        <v>0</v>
      </c>
      <c r="JG71" s="173">
        <f>IF(REPAY_TYPE=3,BALLOON_PCT*JG69,0)</f>
        <v>0</v>
      </c>
      <c r="JH71" s="173">
        <f>IF(REPAY_TYPE=3,BALLOON_PCT*JH69,0)</f>
        <v>0</v>
      </c>
      <c r="JI71" s="173">
        <f>IF(REPAY_TYPE=3,BALLOON_PCT*JI69,0)</f>
        <v>0</v>
      </c>
      <c r="JJ71" s="173">
        <f>IF(REPAY_TYPE=3,BALLOON_PCT*JJ69,0)</f>
        <v>0</v>
      </c>
      <c r="JK71" s="173">
        <f>IF(REPAY_TYPE=3,BALLOON_PCT*JK69,0)</f>
        <v>0</v>
      </c>
      <c r="JL71" s="173">
        <f>IF(REPAY_TYPE=3,BALLOON_PCT*JL69,0)</f>
        <v>0</v>
      </c>
      <c r="JM71" s="173">
        <f>IF(REPAY_TYPE=3,BALLOON_PCT*JM69,0)</f>
        <v>0</v>
      </c>
      <c r="JN71" s="173">
        <f>IF(REPAY_TYPE=3,BALLOON_PCT*JN69,0)</f>
        <v>0</v>
      </c>
      <c r="JO71" s="173">
        <f>IF(REPAY_TYPE=3,BALLOON_PCT*JO69,0)</f>
        <v>0</v>
      </c>
      <c r="JP71" s="173">
        <f>IF(REPAY_TYPE=3,BALLOON_PCT*JP69,0)</f>
        <v>0</v>
      </c>
      <c r="JQ71" s="173">
        <f>IF(REPAY_TYPE=3,BALLOON_PCT*JQ69,0)</f>
        <v>0</v>
      </c>
      <c r="JR71" s="173">
        <f>IF(REPAY_TYPE=3,BALLOON_PCT*JR69,0)</f>
        <v>0</v>
      </c>
      <c r="JS71" s="173">
        <f>IF(REPAY_TYPE=3,BALLOON_PCT*JS69,0)</f>
        <v>0</v>
      </c>
      <c r="JT71" s="173">
        <f>IF(REPAY_TYPE=3,BALLOON_PCT*JT69,0)</f>
        <v>0</v>
      </c>
      <c r="JU71" s="173">
        <f>IF(REPAY_TYPE=3,BALLOON_PCT*JU69,0)</f>
        <v>0</v>
      </c>
      <c r="JV71" s="173">
        <f>IF(REPAY_TYPE=3,BALLOON_PCT*JV69,0)</f>
        <v>0</v>
      </c>
      <c r="JW71" s="173">
        <f>IF(REPAY_TYPE=3,BALLOON_PCT*JW69,0)</f>
        <v>0</v>
      </c>
      <c r="JX71" s="173">
        <f>IF(REPAY_TYPE=3,BALLOON_PCT*JX69,0)</f>
        <v>0</v>
      </c>
      <c r="JY71" s="173">
        <f>IF(REPAY_TYPE=3,BALLOON_PCT*JY69,0)</f>
        <v>0</v>
      </c>
      <c r="JZ71" s="173">
        <f>IF(REPAY_TYPE=3,BALLOON_PCT*JZ69,0)</f>
        <v>0</v>
      </c>
      <c r="KA71" s="173">
        <f>IF(REPAY_TYPE=3,BALLOON_PCT*KA69,0)</f>
        <v>0</v>
      </c>
      <c r="KB71" s="173">
        <f>IF(REPAY_TYPE=3,BALLOON_PCT*KB69,0)</f>
        <v>0</v>
      </c>
      <c r="KC71" s="173">
        <f>IF(REPAY_TYPE=3,BALLOON_PCT*KC69,0)</f>
        <v>0</v>
      </c>
      <c r="KD71" s="173">
        <f>IF(REPAY_TYPE=3,BALLOON_PCT*KD69,0)</f>
        <v>0</v>
      </c>
      <c r="KE71" s="173">
        <f>IF(REPAY_TYPE=3,BALLOON_PCT*KE69,0)</f>
        <v>0</v>
      </c>
      <c r="KF71" s="173">
        <f>IF(REPAY_TYPE=3,BALLOON_PCT*KF69,0)</f>
        <v>0</v>
      </c>
    </row>
    <row r="72">
      <c r="B72" s="36" t="inlineStr">
        <is>
          <t>Scheduled principal</t>
        </is>
      </c>
      <c r="C72" s="117" t="inlineStr">
        <is>
          <t>ETB</t>
        </is>
      </c>
      <c r="D72" s="169">
        <f>SUM(E72:KF72)</f>
        <v>25486969.2325821</v>
      </c>
      <c r="E72" s="173">
        <f>IF(E60=1,IF(E61&lt;=1,E63+E67,MAX(0,MIN(E63+E67,IF(REPAY_TYPE=2,(E63-E71)/E61,PMT(E70,E61,-E63,E71)-E63*E70)))),0)</f>
        <v>0</v>
      </c>
      <c r="F72" s="173">
        <f>IF(F60=1,IF(F61&lt;=1,F63+F67,MAX(0,MIN(F63+F67,IF(REPAY_TYPE=2,(F63-F71)/F61,PMT(F70,F61,-F63,F71)-F63*F70)))),0)</f>
        <v>0</v>
      </c>
      <c r="G72" s="173">
        <f>IF(G60=1,IF(G61&lt;=1,G63+G67,MAX(0,MIN(G63+G67,IF(REPAY_TYPE=2,(G63-G71)/G61,PMT(G70,G61,-G63,G71)-G63*G70)))),0)</f>
        <v>0</v>
      </c>
      <c r="H72" s="173">
        <f>IF(H60=1,IF(H61&lt;=1,H63+H67,MAX(0,MIN(H63+H67,IF(REPAY_TYPE=2,(H63-H71)/H61,PMT(H70,H61,-H63,H71)-H63*H70)))),0)</f>
        <v>0</v>
      </c>
      <c r="I72" s="173">
        <f>IF(I60=1,IF(I61&lt;=1,I63+I67,MAX(0,MIN(I63+I67,IF(REPAY_TYPE=2,(I63-I71)/I61,PMT(I70,I61,-I63,I71)-I63*I70)))),0)</f>
        <v>0</v>
      </c>
      <c r="J72" s="173">
        <f>IF(J60=1,IF(J61&lt;=1,J63+J67,MAX(0,MIN(J63+J67,IF(REPAY_TYPE=2,(J63-J71)/J61,PMT(J70,J61,-J63,J71)-J63*J70)))),0)</f>
        <v>0</v>
      </c>
      <c r="K72" s="173">
        <f>IF(K60=1,IF(K61&lt;=1,K63+K67,MAX(0,MIN(K63+K67,IF(REPAY_TYPE=2,(K63-K71)/K61,PMT(K70,K61,-K63,K71)-K63*K70)))),0)</f>
        <v>0</v>
      </c>
      <c r="L72" s="173">
        <f>IF(L60=1,IF(L61&lt;=1,L63+L67,MAX(0,MIN(L63+L67,IF(REPAY_TYPE=2,(L63-L71)/L61,PMT(L70,L61,-L63,L71)-L63*L70)))),0)</f>
        <v>0</v>
      </c>
      <c r="M72" s="173">
        <f>IF(M60=1,IF(M61&lt;=1,M63+M67,MAX(0,MIN(M63+M67,IF(REPAY_TYPE=2,(M63-M71)/M61,PMT(M70,M61,-M63,M71)-M63*M70)))),0)</f>
        <v>0</v>
      </c>
      <c r="N72" s="173">
        <f>IF(N60=1,IF(N61&lt;=1,N63+N67,MAX(0,MIN(N63+N67,IF(REPAY_TYPE=2,(N63-N71)/N61,PMT(N70,N61,-N63,N71)-N63*N70)))),0)</f>
        <v>0</v>
      </c>
      <c r="O72" s="173">
        <f>IF(O60=1,IF(O61&lt;=1,O63+O67,MAX(0,MIN(O63+O67,IF(REPAY_TYPE=2,(O63-O71)/O61,PMT(O70,O61,-O63,O71)-O63*O70)))),0)</f>
        <v>0</v>
      </c>
      <c r="P72" s="173">
        <f>IF(P60=1,IF(P61&lt;=1,P63+P67,MAX(0,MIN(P63+P67,IF(REPAY_TYPE=2,(P63-P71)/P61,PMT(P70,P61,-P63,P71)-P63*P70)))),0)</f>
        <v>0</v>
      </c>
      <c r="Q72" s="173">
        <f>IF(Q60=1,IF(Q61&lt;=1,Q63+Q67,MAX(0,MIN(Q63+Q67,IF(REPAY_TYPE=2,(Q63-Q71)/Q61,PMT(Q70,Q61,-Q63,Q71)-Q63*Q70)))),0)</f>
        <v>0</v>
      </c>
      <c r="R72" s="173">
        <f>IF(R60=1,IF(R61&lt;=1,R63+R67,MAX(0,MIN(R63+R67,IF(REPAY_TYPE=2,(R63-R71)/R61,PMT(R70,R61,-R63,R71)-R63*R70)))),0)</f>
        <v>0</v>
      </c>
      <c r="S72" s="173">
        <f>IF(S60=1,IF(S61&lt;=1,S63+S67,MAX(0,MIN(S63+S67,IF(REPAY_TYPE=2,(S63-S71)/S61,PMT(S70,S61,-S63,S71)-S63*S70)))),0)</f>
        <v>0</v>
      </c>
      <c r="T72" s="173">
        <f>IF(T60=1,IF(T61&lt;=1,T63+T67,MAX(0,MIN(T63+T67,IF(REPAY_TYPE=2,(T63-T71)/T61,PMT(T70,T61,-T63,T71)-T63*T70)))),0)</f>
        <v>0</v>
      </c>
      <c r="U72" s="173">
        <f>IF(U60=1,IF(U61&lt;=1,U63+U67,MAX(0,MIN(U63+U67,IF(REPAY_TYPE=2,(U63-U71)/U61,PMT(U70,U61,-U63,U71)-U63*U70)))),0)</f>
        <v>0</v>
      </c>
      <c r="V72" s="173">
        <f>IF(V60=1,IF(V61&lt;=1,V63+V67,MAX(0,MIN(V63+V67,IF(REPAY_TYPE=2,(V63-V71)/V61,PMT(V70,V61,-V63,V71)-V63*V70)))),0)</f>
        <v>0</v>
      </c>
      <c r="W72" s="173">
        <f>IF(W60=1,IF(W61&lt;=1,W63+W67,MAX(0,MIN(W63+W67,IF(REPAY_TYPE=2,(W63-W71)/W61,PMT(W70,W61,-W63,W71)-W63*W70)))),0)</f>
        <v>0</v>
      </c>
      <c r="X72" s="173">
        <f>IF(X60=1,IF(X61&lt;=1,X63+X67,MAX(0,MIN(X63+X67,IF(REPAY_TYPE=2,(X63-X71)/X61,PMT(X70,X61,-X63,X71)-X63*X70)))),0)</f>
        <v>0</v>
      </c>
      <c r="Y72" s="173">
        <f>IF(Y60=1,IF(Y61&lt;=1,Y63+Y67,MAX(0,MIN(Y63+Y67,IF(REPAY_TYPE=2,(Y63-Y71)/Y61,PMT(Y70,Y61,-Y63,Y71)-Y63*Y70)))),0)</f>
        <v>0</v>
      </c>
      <c r="Z72" s="173">
        <f>IF(Z60=1,IF(Z61&lt;=1,Z63+Z67,MAX(0,MIN(Z63+Z67,IF(REPAY_TYPE=2,(Z63-Z71)/Z61,PMT(Z70,Z61,-Z63,Z71)-Z63*Z70)))),0)</f>
        <v>0</v>
      </c>
      <c r="AA72" s="173">
        <f>IF(AA60=1,IF(AA61&lt;=1,AA63+AA67,MAX(0,MIN(AA63+AA67,IF(REPAY_TYPE=2,(AA63-AA71)/AA61,PMT(AA70,AA61,-AA63,AA71)-AA63*AA70)))),0)</f>
        <v>0</v>
      </c>
      <c r="AB72" s="173">
        <f>IF(AB60=1,IF(AB61&lt;=1,AB63+AB67,MAX(0,MIN(AB63+AB67,IF(REPAY_TYPE=2,(AB63-AB71)/AB61,PMT(AB70,AB61,-AB63,AB71)-AB63*AB70)))),0)</f>
        <v>0</v>
      </c>
      <c r="AC72" s="173">
        <f>IF(AC60=1,IF(AC61&lt;=1,AC63+AC67,MAX(0,MIN(AC63+AC67,IF(REPAY_TYPE=2,(AC63-AC71)/AC61,PMT(AC70,AC61,-AC63,AC71)-AC63*AC70)))),0)</f>
        <v>0</v>
      </c>
      <c r="AD72" s="173">
        <f>IF(AD60=1,IF(AD61&lt;=1,AD63+AD67,MAX(0,MIN(AD63+AD67,IF(REPAY_TYPE=2,(AD63-AD71)/AD61,PMT(AD70,AD61,-AD63,AD71)-AD63*AD70)))),0)</f>
        <v>0</v>
      </c>
      <c r="AE72" s="173">
        <f>IF(AE60=1,IF(AE61&lt;=1,AE63+AE67,MAX(0,MIN(AE63+AE67,IF(REPAY_TYPE=2,(AE63-AE71)/AE61,PMT(AE70,AE61,-AE63,AE71)-AE63*AE70)))),0)</f>
        <v>0</v>
      </c>
      <c r="AF72" s="173">
        <f>IF(AF60=1,IF(AF61&lt;=1,AF63+AF67,MAX(0,MIN(AF63+AF67,IF(REPAY_TYPE=2,(AF63-AF71)/AF61,PMT(AF70,AF61,-AF63,AF71)-AF63*AF70)))),0)</f>
        <v>0</v>
      </c>
      <c r="AG72" s="173">
        <f>IF(AG60=1,IF(AG61&lt;=1,AG63+AG67,MAX(0,MIN(AG63+AG67,IF(REPAY_TYPE=2,(AG63-AG71)/AG61,PMT(AG70,AG61,-AG63,AG71)-AG63*AG70)))),0)</f>
        <v>0</v>
      </c>
      <c r="AH72" s="173">
        <f>IF(AH60=1,IF(AH61&lt;=1,AH63+AH67,MAX(0,MIN(AH63+AH67,IF(REPAY_TYPE=2,(AH63-AH71)/AH61,PMT(AH70,AH61,-AH63,AH71)-AH63*AH70)))),0)</f>
        <v>0</v>
      </c>
      <c r="AI72" s="173">
        <f>IF(AI60=1,IF(AI61&lt;=1,AI63+AI67,MAX(0,MIN(AI63+AI67,IF(REPAY_TYPE=2,(AI63-AI71)/AI61,PMT(AI70,AI61,-AI63,AI71)-AI63*AI70)))),0)</f>
        <v>0</v>
      </c>
      <c r="AJ72" s="173">
        <f>IF(AJ60=1,IF(AJ61&lt;=1,AJ63+AJ67,MAX(0,MIN(AJ63+AJ67,IF(REPAY_TYPE=2,(AJ63-AJ71)/AJ61,PMT(AJ70,AJ61,-AJ63,AJ71)-AJ63*AJ70)))),0)</f>
        <v>0</v>
      </c>
      <c r="AK72" s="173">
        <f>IF(AK60=1,IF(AK61&lt;=1,AK63+AK67,MAX(0,MIN(AK63+AK67,IF(REPAY_TYPE=2,(AK63-AK71)/AK61,PMT(AK70,AK61,-AK63,AK71)-AK63*AK70)))),0)</f>
        <v>0</v>
      </c>
      <c r="AL72" s="173">
        <f>IF(AL60=1,IF(AL61&lt;=1,AL63+AL67,MAX(0,MIN(AL63+AL67,IF(REPAY_TYPE=2,(AL63-AL71)/AL61,PMT(AL70,AL61,-AL63,AL71)-AL63*AL70)))),0)</f>
        <v>0</v>
      </c>
      <c r="AM72" s="173">
        <f>IF(AM60=1,IF(AM61&lt;=1,AM63+AM67,MAX(0,MIN(AM63+AM67,IF(REPAY_TYPE=2,(AM63-AM71)/AM61,PMT(AM70,AM61,-AM63,AM71)-AM63*AM70)))),0)</f>
        <v>0</v>
      </c>
      <c r="AN72" s="173">
        <f>IF(AN60=1,IF(AN61&lt;=1,AN63+AN67,MAX(0,MIN(AN63+AN67,IF(REPAY_TYPE=2,(AN63-AN71)/AN61,PMT(AN70,AN61,-AN63,AN71)-AN63*AN70)))),0)</f>
        <v>0</v>
      </c>
      <c r="AO72" s="173">
        <f>IF(AO60=1,IF(AO61&lt;=1,AO63+AO67,MAX(0,MIN(AO63+AO67,IF(REPAY_TYPE=2,(AO63-AO71)/AO61,PMT(AO70,AO61,-AO63,AO71)-AO63*AO70)))),0)</f>
        <v>0</v>
      </c>
      <c r="AP72" s="173">
        <f>IF(AP60=1,IF(AP61&lt;=1,AP63+AP67,MAX(0,MIN(AP63+AP67,IF(REPAY_TYPE=2,(AP63-AP71)/AP61,PMT(AP70,AP61,-AP63,AP71)-AP63*AP70)))),0)</f>
        <v>0</v>
      </c>
      <c r="AQ72" s="173">
        <f>IF(AQ60=1,IF(AQ61&lt;=1,AQ63+AQ67,MAX(0,MIN(AQ63+AQ67,IF(REPAY_TYPE=2,(AQ63-AQ71)/AQ61,PMT(AQ70,AQ61,-AQ63,AQ71)-AQ63*AQ70)))),0)</f>
        <v>0</v>
      </c>
      <c r="AR72" s="173">
        <f>IF(AR60=1,IF(AR61&lt;=1,AR63+AR67,MAX(0,MIN(AR63+AR67,IF(REPAY_TYPE=2,(AR63-AR71)/AR61,PMT(AR70,AR61,-AR63,AR71)-AR63*AR70)))),0)</f>
        <v>0</v>
      </c>
      <c r="AS72" s="173">
        <f>IF(AS60=1,IF(AS61&lt;=1,AS63+AS67,MAX(0,MIN(AS63+AS67,IF(REPAY_TYPE=2,(AS63-AS71)/AS61,PMT(AS70,AS61,-AS63,AS71)-AS63*AS70)))),0)</f>
        <v>0</v>
      </c>
      <c r="AT72" s="173">
        <f>IF(AT60=1,IF(AT61&lt;=1,AT63+AT67,MAX(0,MIN(AT63+AT67,IF(REPAY_TYPE=2,(AT63-AT71)/AT61,PMT(AT70,AT61,-AT63,AT71)-AT63*AT70)))),0)</f>
        <v>0</v>
      </c>
      <c r="AU72" s="173">
        <f>IF(AU60=1,IF(AU61&lt;=1,AU63+AU67,MAX(0,MIN(AU63+AU67,IF(REPAY_TYPE=2,(AU63-AU71)/AU61,PMT(AU70,AU61,-AU63,AU71)-AU63*AU70)))),0)</f>
        <v>0</v>
      </c>
      <c r="AV72" s="173">
        <f>IF(AV60=1,IF(AV61&lt;=1,AV63+AV67,MAX(0,MIN(AV63+AV67,IF(REPAY_TYPE=2,(AV63-AV71)/AV61,PMT(AV70,AV61,-AV63,AV71)-AV63*AV70)))),0)</f>
        <v>0</v>
      </c>
      <c r="AW72" s="173">
        <f>IF(AW60=1,IF(AW61&lt;=1,AW63+AW67,MAX(0,MIN(AW63+AW67,IF(REPAY_TYPE=2,(AW63-AW71)/AW61,PMT(AW70,AW61,-AW63,AW71)-AW63*AW70)))),0)</f>
        <v>738415.972485429</v>
      </c>
      <c r="AX72" s="173">
        <f>IF(AX60=1,IF(AX61&lt;=1,AX63+AX67,MAX(0,MIN(AX63+AX67,IF(REPAY_TYPE=2,(AX63-AX71)/AX61,PMT(AX70,AX61,-AX63,AX71)-AX63*AX70)))),0)</f>
        <v>0</v>
      </c>
      <c r="AY72" s="173">
        <f>IF(AY60=1,IF(AY61&lt;=1,AY63+AY67,MAX(0,MIN(AY63+AY67,IF(REPAY_TYPE=2,(AY63-AY71)/AY61,PMT(AY70,AY61,-AY63,AY71)-AY63*AY70)))),0)</f>
        <v>0</v>
      </c>
      <c r="AZ72" s="173">
        <f>IF(AZ60=1,IF(AZ61&lt;=1,AZ63+AZ67,MAX(0,MIN(AZ63+AZ67,IF(REPAY_TYPE=2,(AZ63-AZ71)/AZ61,PMT(AZ70,AZ61,-AZ63,AZ71)-AZ63*AZ70)))),0)</f>
        <v>766106.571453633</v>
      </c>
      <c r="BA72" s="173">
        <f>IF(BA60=1,IF(BA61&lt;=1,BA63+BA67,MAX(0,MIN(BA63+BA67,IF(REPAY_TYPE=2,(BA63-BA71)/BA61,PMT(BA70,BA61,-BA63,BA71)-BA63*BA70)))),0)</f>
        <v>0</v>
      </c>
      <c r="BB72" s="173">
        <f>IF(BB60=1,IF(BB61&lt;=1,BB63+BB67,MAX(0,MIN(BB63+BB67,IF(REPAY_TYPE=2,(BB63-BB71)/BB61,PMT(BB70,BB61,-BB63,BB71)-BB63*BB70)))),0)</f>
        <v>0</v>
      </c>
      <c r="BC72" s="173">
        <f>IF(BC60=1,IF(BC61&lt;=1,BC63+BC67,MAX(0,MIN(BC63+BC67,IF(REPAY_TYPE=2,(BC63-BC71)/BC61,PMT(BC70,BC61,-BC63,BC71)-BC63*BC70)))),0)</f>
        <v>794835.567883144</v>
      </c>
      <c r="BD72" s="173">
        <f>IF(BD60=1,IF(BD61&lt;=1,BD63+BD67,MAX(0,MIN(BD63+BD67,IF(REPAY_TYPE=2,(BD63-BD71)/BD61,PMT(BD70,BD61,-BD63,BD71)-BD63*BD70)))),0)</f>
        <v>0</v>
      </c>
      <c r="BE72" s="173">
        <f>IF(BE60=1,IF(BE61&lt;=1,BE63+BE67,MAX(0,MIN(BE63+BE67,IF(REPAY_TYPE=2,(BE63-BE71)/BE61,PMT(BE70,BE61,-BE63,BE71)-BE63*BE70)))),0)</f>
        <v>0</v>
      </c>
      <c r="BF72" s="173">
        <f>IF(BF60=1,IF(BF61&lt;=1,BF63+BF67,MAX(0,MIN(BF63+BF67,IF(REPAY_TYPE=2,(BF63-BF71)/BF61,PMT(BF70,BF61,-BF63,BF71)-BF63*BF70)))),0)</f>
        <v>824641.901678762</v>
      </c>
      <c r="BG72" s="173">
        <f>IF(BG60=1,IF(BG61&lt;=1,BG63+BG67,MAX(0,MIN(BG63+BG67,IF(REPAY_TYPE=2,(BG63-BG71)/BG61,PMT(BG70,BG61,-BG63,BG71)-BG63*BG70)))),0)</f>
        <v>0</v>
      </c>
      <c r="BH72" s="173">
        <f>IF(BH60=1,IF(BH61&lt;=1,BH63+BH67,MAX(0,MIN(BH63+BH67,IF(REPAY_TYPE=2,(BH63-BH71)/BH61,PMT(BH70,BH61,-BH63,BH71)-BH63*BH70)))),0)</f>
        <v>0</v>
      </c>
      <c r="BI72" s="173">
        <f>IF(BI60=1,IF(BI61&lt;=1,BI63+BI67,MAX(0,MIN(BI63+BI67,IF(REPAY_TYPE=2,(BI63-BI71)/BI61,PMT(BI70,BI61,-BI63,BI71)-BI63*BI70)))),0)</f>
        <v>373043.591926232</v>
      </c>
      <c r="BJ72" s="173">
        <f>IF(BJ60=1,IF(BJ61&lt;=1,BJ63+BJ67,MAX(0,MIN(BJ63+BJ67,IF(REPAY_TYPE=2,(BJ63-BJ71)/BJ61,PMT(BJ70,BJ61,-BJ63,BJ71)-BJ63*BJ70)))),0)</f>
        <v>0</v>
      </c>
      <c r="BK72" s="173">
        <f>IF(BK60=1,IF(BK61&lt;=1,BK63+BK67,MAX(0,MIN(BK63+BK67,IF(REPAY_TYPE=2,(BK63-BK71)/BK61,PMT(BK70,BK61,-BK63,BK71)-BK63*BK70)))),0)</f>
        <v>0</v>
      </c>
      <c r="BL72" s="173">
        <f>IF(BL60=1,IF(BL61&lt;=1,BL63+BL67,MAX(0,MIN(BL63+BL67,IF(REPAY_TYPE=2,(BL63-BL71)/BL61,PMT(BL70,BL61,-BL63,BL71)-BL63*BL70)))),0)</f>
        <v>387032.726623466</v>
      </c>
      <c r="BM72" s="173">
        <f>IF(BM60=1,IF(BM61&lt;=1,BM63+BM67,MAX(0,MIN(BM63+BM67,IF(REPAY_TYPE=2,(BM63-BM71)/BM61,PMT(BM70,BM61,-BM63,BM71)-BM63*BM70)))),0)</f>
        <v>0</v>
      </c>
      <c r="BN72" s="173">
        <f>IF(BN60=1,IF(BN61&lt;=1,BN63+BN67,MAX(0,MIN(BN63+BN67,IF(REPAY_TYPE=2,(BN63-BN71)/BN61,PMT(BN70,BN61,-BN63,BN71)-BN63*BN70)))),0)</f>
        <v>0</v>
      </c>
      <c r="BO72" s="173">
        <f>IF(BO60=1,IF(BO61&lt;=1,BO63+BO67,MAX(0,MIN(BO63+BO67,IF(REPAY_TYPE=2,(BO63-BO71)/BO61,PMT(BO70,BO61,-BO63,BO71)-BO63*BO70)))),0)</f>
        <v>401546.453871846</v>
      </c>
      <c r="BP72" s="173">
        <f>IF(BP60=1,IF(BP61&lt;=1,BP63+BP67,MAX(0,MIN(BP63+BP67,IF(REPAY_TYPE=2,(BP63-BP71)/BP61,PMT(BP70,BP61,-BP63,BP71)-BP63*BP70)))),0)</f>
        <v>0</v>
      </c>
      <c r="BQ72" s="173">
        <f>IF(BQ60=1,IF(BQ61&lt;=1,BQ63+BQ67,MAX(0,MIN(BQ63+BQ67,IF(REPAY_TYPE=2,(BQ63-BQ71)/BQ61,PMT(BQ70,BQ61,-BQ63,BQ71)-BQ63*BQ70)))),0)</f>
        <v>0</v>
      </c>
      <c r="BR72" s="173">
        <f>IF(BR60=1,IF(BR61&lt;=1,BR63+BR67,MAX(0,MIN(BR63+BR67,IF(REPAY_TYPE=2,(BR63-BR71)/BR61,PMT(BR70,BR61,-BR63,BR71)-BR63*BR70)))),0)</f>
        <v>416604.44589204</v>
      </c>
      <c r="BS72" s="173">
        <f>IF(BS60=1,IF(BS61&lt;=1,BS63+BS67,MAX(0,MIN(BS63+BS67,IF(REPAY_TYPE=2,(BS63-BS71)/BS61,PMT(BS70,BS61,-BS63,BS71)-BS63*BS70)))),0)</f>
        <v>0</v>
      </c>
      <c r="BT72" s="173">
        <f>IF(BT60=1,IF(BT61&lt;=1,BT63+BT67,MAX(0,MIN(BT63+BT67,IF(REPAY_TYPE=2,(BT63-BT71)/BT61,PMT(BT70,BT61,-BT63,BT71)-BT63*BT70)))),0)</f>
        <v>0</v>
      </c>
      <c r="BU72" s="173">
        <f>IF(BU60=1,IF(BU61&lt;=1,BU63+BU67,MAX(0,MIN(BU63+BU67,IF(REPAY_TYPE=2,(BU63-BU71)/BU61,PMT(BU70,BU61,-BU63,BU71)-BU63*BU70)))),0)</f>
        <v>432227.112612992</v>
      </c>
      <c r="BV72" s="173">
        <f>IF(BV60=1,IF(BV61&lt;=1,BV63+BV67,MAX(0,MIN(BV63+BV67,IF(REPAY_TYPE=2,(BV63-BV71)/BV61,PMT(BV70,BV61,-BV63,BV71)-BV63*BV70)))),0)</f>
        <v>0</v>
      </c>
      <c r="BW72" s="173">
        <f>IF(BW60=1,IF(BW61&lt;=1,BW63+BW67,MAX(0,MIN(BW63+BW67,IF(REPAY_TYPE=2,(BW63-BW71)/BW61,PMT(BW70,BW61,-BW63,BW71)-BW63*BW70)))),0)</f>
        <v>0</v>
      </c>
      <c r="BX72" s="173">
        <f>IF(BX60=1,IF(BX61&lt;=1,BX63+BX67,MAX(0,MIN(BX63+BX67,IF(REPAY_TYPE=2,(BX63-BX71)/BX61,PMT(BX70,BX61,-BX63,BX71)-BX63*BX70)))),0)</f>
        <v>448435.629335979</v>
      </c>
      <c r="BY72" s="173">
        <f>IF(BY60=1,IF(BY61&lt;=1,BY63+BY67,MAX(0,MIN(BY63+BY67,IF(REPAY_TYPE=2,(BY63-BY71)/BY61,PMT(BY70,BY61,-BY63,BY71)-BY63*BY70)))),0)</f>
        <v>0</v>
      </c>
      <c r="BZ72" s="173">
        <f>IF(BZ60=1,IF(BZ61&lt;=1,BZ63+BZ67,MAX(0,MIN(BZ63+BZ67,IF(REPAY_TYPE=2,(BZ63-BZ71)/BZ61,PMT(BZ70,BZ61,-BZ63,BZ71)-BZ63*BZ70)))),0)</f>
        <v>0</v>
      </c>
      <c r="CA72" s="173">
        <f>IF(CA60=1,IF(CA61&lt;=1,CA63+CA67,MAX(0,MIN(CA63+CA67,IF(REPAY_TYPE=2,(CA63-CA71)/CA61,PMT(CA70,CA61,-CA63,CA71)-CA63*CA70)))),0)</f>
        <v>465251.965436078</v>
      </c>
      <c r="CB72" s="173">
        <f>IF(CB60=1,IF(CB61&lt;=1,CB63+CB67,MAX(0,MIN(CB63+CB67,IF(REPAY_TYPE=2,(CB63-CB71)/CB61,PMT(CB70,CB61,-CB63,CB71)-CB63*CB70)))),0)</f>
        <v>0</v>
      </c>
      <c r="CC72" s="173">
        <f>IF(CC60=1,IF(CC61&lt;=1,CC63+CC67,MAX(0,MIN(CC63+CC67,IF(REPAY_TYPE=2,(CC63-CC71)/CC61,PMT(CC70,CC61,-CC63,CC71)-CC63*CC70)))),0)</f>
        <v>0</v>
      </c>
      <c r="CD72" s="173">
        <f>IF(CD60=1,IF(CD61&lt;=1,CD63+CD67,MAX(0,MIN(CD63+CD67,IF(REPAY_TYPE=2,(CD63-CD71)/CD61,PMT(CD70,CD61,-CD63,CD71)-CD63*CD70)))),0)</f>
        <v>482698.914139931</v>
      </c>
      <c r="CE72" s="173">
        <f>IF(CE60=1,IF(CE61&lt;=1,CE63+CE67,MAX(0,MIN(CE63+CE67,IF(REPAY_TYPE=2,(CE63-CE71)/CE61,PMT(CE70,CE61,-CE63,CE71)-CE63*CE70)))),0)</f>
        <v>0</v>
      </c>
      <c r="CF72" s="173">
        <f>IF(CF60=1,IF(CF61&lt;=1,CF63+CF67,MAX(0,MIN(CF63+CF67,IF(REPAY_TYPE=2,(CF63-CF71)/CF61,PMT(CF70,CF61,-CF63,CF71)-CF63*CF70)))),0)</f>
        <v>0</v>
      </c>
      <c r="CG72" s="173">
        <f>IF(CG60=1,IF(CG61&lt;=1,CG63+CG67,MAX(0,MIN(CG63+CG67,IF(REPAY_TYPE=2,(CG63-CG71)/CG61,PMT(CG70,CG61,-CG63,CG71)-CG63*CG70)))),0)</f>
        <v>500800.123420179</v>
      </c>
      <c r="CH72" s="173">
        <f>IF(CH60=1,IF(CH61&lt;=1,CH63+CH67,MAX(0,MIN(CH63+CH67,IF(REPAY_TYPE=2,(CH63-CH71)/CH61,PMT(CH70,CH61,-CH63,CH71)-CH63*CH70)))),0)</f>
        <v>0</v>
      </c>
      <c r="CI72" s="173">
        <f>IF(CI60=1,IF(CI61&lt;=1,CI63+CI67,MAX(0,MIN(CI63+CI67,IF(REPAY_TYPE=2,(CI63-CI71)/CI61,PMT(CI70,CI61,-CI63,CI71)-CI63*CI70)))),0)</f>
        <v>0</v>
      </c>
      <c r="CJ72" s="173">
        <f>IF(CJ60=1,IF(CJ61&lt;=1,CJ63+CJ67,MAX(0,MIN(CJ63+CJ67,IF(REPAY_TYPE=2,(CJ63-CJ71)/CJ61,PMT(CJ70,CJ61,-CJ63,CJ71)-CJ63*CJ70)))),0)</f>
        <v>519580.128048435</v>
      </c>
      <c r="CK72" s="173">
        <f>IF(CK60=1,IF(CK61&lt;=1,CK63+CK67,MAX(0,MIN(CK63+CK67,IF(REPAY_TYPE=2,(CK63-CK71)/CK61,PMT(CK70,CK61,-CK63,CK71)-CK63*CK70)))),0)</f>
        <v>0</v>
      </c>
      <c r="CL72" s="173">
        <f>IF(CL60=1,IF(CL61&lt;=1,CL63+CL67,MAX(0,MIN(CL63+CL67,IF(REPAY_TYPE=2,(CL63-CL71)/CL61,PMT(CL70,CL61,-CL63,CL71)-CL63*CL70)))),0)</f>
        <v>0</v>
      </c>
      <c r="CM72" s="173">
        <f>IF(CM60=1,IF(CM61&lt;=1,CM63+CM67,MAX(0,MIN(CM63+CM67,IF(REPAY_TYPE=2,(CM63-CM71)/CM61,PMT(CM70,CM61,-CM63,CM71)-CM63*CM70)))),0)</f>
        <v>539064.382850251</v>
      </c>
      <c r="CN72" s="173">
        <f>IF(CN60=1,IF(CN61&lt;=1,CN63+CN67,MAX(0,MIN(CN63+CN67,IF(REPAY_TYPE=2,(CN63-CN71)/CN61,PMT(CN70,CN61,-CN63,CN71)-CN63*CN70)))),0)</f>
        <v>0</v>
      </c>
      <c r="CO72" s="173">
        <f>IF(CO60=1,IF(CO61&lt;=1,CO63+CO67,MAX(0,MIN(CO63+CO67,IF(REPAY_TYPE=2,(CO63-CO71)/CO61,PMT(CO70,CO61,-CO63,CO71)-CO63*CO70)))),0)</f>
        <v>0</v>
      </c>
      <c r="CP72" s="173">
        <f>IF(CP60=1,IF(CP61&lt;=1,CP63+CP67,MAX(0,MIN(CP63+CP67,IF(REPAY_TYPE=2,(CP63-CP71)/CP61,PMT(CP70,CP61,-CP63,CP71)-CP63*CP70)))),0)</f>
        <v>559279.297207136</v>
      </c>
      <c r="CQ72" s="173">
        <f>IF(CQ60=1,IF(CQ61&lt;=1,CQ63+CQ67,MAX(0,MIN(CQ63+CQ67,IF(REPAY_TYPE=2,(CQ63-CQ71)/CQ61,PMT(CQ70,CQ61,-CQ63,CQ71)-CQ63*CQ70)))),0)</f>
        <v>0</v>
      </c>
      <c r="CR72" s="173">
        <f>IF(CR60=1,IF(CR61&lt;=1,CR63+CR67,MAX(0,MIN(CR63+CR67,IF(REPAY_TYPE=2,(CR63-CR71)/CR61,PMT(CR70,CR61,-CR63,CR71)-CR63*CR70)))),0)</f>
        <v>0</v>
      </c>
      <c r="CS72" s="173">
        <f>IF(CS60=1,IF(CS61&lt;=1,CS63+CS67,MAX(0,MIN(CS63+CS67,IF(REPAY_TYPE=2,(CS63-CS71)/CS61,PMT(CS70,CS61,-CS63,CS71)-CS63*CS70)))),0)</f>
        <v>580252.270852403</v>
      </c>
      <c r="CT72" s="173">
        <f>IF(CT60=1,IF(CT61&lt;=1,CT63+CT67,MAX(0,MIN(CT63+CT67,IF(REPAY_TYPE=2,(CT63-CT71)/CT61,PMT(CT70,CT61,-CT63,CT71)-CT63*CT70)))),0)</f>
        <v>0</v>
      </c>
      <c r="CU72" s="173">
        <f>IF(CU60=1,IF(CU61&lt;=1,CU63+CU67,MAX(0,MIN(CU63+CU67,IF(REPAY_TYPE=2,(CU63-CU71)/CU61,PMT(CU70,CU61,-CU63,CU71)-CU63*CU70)))),0)</f>
        <v>0</v>
      </c>
      <c r="CV72" s="173">
        <f>IF(CV60=1,IF(CV61&lt;=1,CV63+CV67,MAX(0,MIN(CV63+CV67,IF(REPAY_TYPE=2,(CV63-CV71)/CV61,PMT(CV70,CV61,-CV63,CV71)-CV63*CV70)))),0)</f>
        <v>602011.731009369</v>
      </c>
      <c r="CW72" s="173">
        <f>IF(CW60=1,IF(CW61&lt;=1,CW63+CW67,MAX(0,MIN(CW63+CW67,IF(REPAY_TYPE=2,(CW63-CW71)/CW61,PMT(CW70,CW61,-CW63,CW71)-CW63*CW70)))),0)</f>
        <v>0</v>
      </c>
      <c r="CX72" s="173">
        <f>IF(CX60=1,IF(CX61&lt;=1,CX63+CX67,MAX(0,MIN(CX63+CX67,IF(REPAY_TYPE=2,(CX63-CX71)/CX61,PMT(CX70,CX61,-CX63,CX71)-CX63*CX70)))),0)</f>
        <v>0</v>
      </c>
      <c r="CY72" s="173">
        <f>IF(CY60=1,IF(CY61&lt;=1,CY63+CY67,MAX(0,MIN(CY63+CY67,IF(REPAY_TYPE=2,(CY63-CY71)/CY61,PMT(CY70,CY61,-CY63,CY71)-CY63*CY70)))),0)</f>
        <v>624587.17092222</v>
      </c>
      <c r="CZ72" s="173">
        <f>IF(CZ60=1,IF(CZ61&lt;=1,CZ63+CZ67,MAX(0,MIN(CZ63+CZ67,IF(REPAY_TYPE=2,(CZ63-CZ71)/CZ61,PMT(CZ70,CZ61,-CZ63,CZ71)-CZ63*CZ70)))),0)</f>
        <v>0</v>
      </c>
      <c r="DA72" s="173">
        <f>IF(DA60=1,IF(DA61&lt;=1,DA63+DA67,MAX(0,MIN(DA63+DA67,IF(REPAY_TYPE=2,(DA63-DA71)/DA61,PMT(DA70,DA61,-DA63,DA71)-DA63*DA70)))),0)</f>
        <v>0</v>
      </c>
      <c r="DB72" s="173">
        <f>IF(DB60=1,IF(DB61&lt;=1,DB63+DB67,MAX(0,MIN(DB63+DB67,IF(REPAY_TYPE=2,(DB63-DB71)/DB61,PMT(DB70,DB61,-DB63,DB71)-DB63*DB70)))),0)</f>
        <v>648009.189831803</v>
      </c>
      <c r="DC72" s="173">
        <f>IF(DC60=1,IF(DC61&lt;=1,DC63+DC67,MAX(0,MIN(DC63+DC67,IF(REPAY_TYPE=2,(DC63-DC71)/DC61,PMT(DC70,DC61,-DC63,DC71)-DC63*DC70)))),0)</f>
        <v>0</v>
      </c>
      <c r="DD72" s="173">
        <f>IF(DD60=1,IF(DD61&lt;=1,DD63+DD67,MAX(0,MIN(DD63+DD67,IF(REPAY_TYPE=2,(DD63-DD71)/DD61,PMT(DD70,DD61,-DD63,DD71)-DD63*DD70)))),0)</f>
        <v>0</v>
      </c>
      <c r="DE72" s="173">
        <f>IF(DE60=1,IF(DE61&lt;=1,DE63+DE67,MAX(0,MIN(DE63+DE67,IF(REPAY_TYPE=2,(DE63-DE71)/DE61,PMT(DE70,DE61,-DE63,DE71)-DE63*DE70)))),0)</f>
        <v>672309.534450496</v>
      </c>
      <c r="DF72" s="173">
        <f>IF(DF60=1,IF(DF61&lt;=1,DF63+DF67,MAX(0,MIN(DF63+DF67,IF(REPAY_TYPE=2,(DF63-DF71)/DF61,PMT(DF70,DF61,-DF63,DF71)-DF63*DF70)))),0)</f>
        <v>0</v>
      </c>
      <c r="DG72" s="173">
        <f>IF(DG60=1,IF(DG61&lt;=1,DG63+DG67,MAX(0,MIN(DG63+DG67,IF(REPAY_TYPE=2,(DG63-DG71)/DG61,PMT(DG70,DG61,-DG63,DG71)-DG63*DG70)))),0)</f>
        <v>0</v>
      </c>
      <c r="DH72" s="173">
        <f>IF(DH60=1,IF(DH61&lt;=1,DH63+DH67,MAX(0,MIN(DH63+DH67,IF(REPAY_TYPE=2,(DH63-DH71)/DH61,PMT(DH70,DH61,-DH63,DH71)-DH63*DH70)))),0)</f>
        <v>697521.141992389</v>
      </c>
      <c r="DI72" s="173">
        <f>IF(DI60=1,IF(DI61&lt;=1,DI63+DI67,MAX(0,MIN(DI63+DI67,IF(REPAY_TYPE=2,(DI63-DI71)/DI61,PMT(DI70,DI61,-DI63,DI71)-DI63*DI70)))),0)</f>
        <v>0</v>
      </c>
      <c r="DJ72" s="173">
        <f>IF(DJ60=1,IF(DJ61&lt;=1,DJ63+DJ67,MAX(0,MIN(DJ63+DJ67,IF(REPAY_TYPE=2,(DJ63-DJ71)/DJ61,PMT(DJ70,DJ61,-DJ63,DJ71)-DJ63*DJ70)))),0)</f>
        <v>0</v>
      </c>
      <c r="DK72" s="173">
        <f>IF(DK60=1,IF(DK61&lt;=1,DK63+DK67,MAX(0,MIN(DK63+DK67,IF(REPAY_TYPE=2,(DK63-DK71)/DK61,PMT(DK70,DK61,-DK63,DK71)-DK63*DK70)))),0)</f>
        <v>723678.184817104</v>
      </c>
      <c r="DL72" s="173">
        <f>IF(DL60=1,IF(DL61&lt;=1,DL63+DL67,MAX(0,MIN(DL63+DL67,IF(REPAY_TYPE=2,(DL63-DL71)/DL61,PMT(DL70,DL61,-DL63,DL71)-DL63*DL70)))),0)</f>
        <v>0</v>
      </c>
      <c r="DM72" s="173">
        <f>IF(DM60=1,IF(DM61&lt;=1,DM63+DM67,MAX(0,MIN(DM63+DM67,IF(REPAY_TYPE=2,(DM63-DM71)/DM61,PMT(DM70,DM61,-DM63,DM71)-DM63*DM70)))),0)</f>
        <v>0</v>
      </c>
      <c r="DN72" s="173">
        <f>IF(DN60=1,IF(DN61&lt;=1,DN63+DN67,MAX(0,MIN(DN63+DN67,IF(REPAY_TYPE=2,(DN63-DN71)/DN61,PMT(DN70,DN61,-DN63,DN71)-DN63*DN70)))),0)</f>
        <v>750816.116747746</v>
      </c>
      <c r="DO72" s="173">
        <f>IF(DO60=1,IF(DO61&lt;=1,DO63+DO67,MAX(0,MIN(DO63+DO67,IF(REPAY_TYPE=2,(DO63-DO71)/DO61,PMT(DO70,DO61,-DO63,DO71)-DO63*DO70)))),0)</f>
        <v>0</v>
      </c>
      <c r="DP72" s="173">
        <f>IF(DP60=1,IF(DP61&lt;=1,DP63+DP67,MAX(0,MIN(DP63+DP67,IF(REPAY_TYPE=2,(DP63-DP71)/DP61,PMT(DP70,DP61,-DP63,DP71)-DP63*DP70)))),0)</f>
        <v>0</v>
      </c>
      <c r="DQ72" s="173">
        <f>IF(DQ60=1,IF(DQ61&lt;=1,DQ63+DQ67,MAX(0,MIN(DQ63+DQ67,IF(REPAY_TYPE=2,(DQ63-DQ71)/DQ61,PMT(DQ70,DQ61,-DQ63,DQ71)-DQ63*DQ70)))),0)</f>
        <v>778971.721125786</v>
      </c>
      <c r="DR72" s="173">
        <f>IF(DR60=1,IF(DR61&lt;=1,DR63+DR67,MAX(0,MIN(DR63+DR67,IF(REPAY_TYPE=2,(DR63-DR71)/DR61,PMT(DR70,DR61,-DR63,DR71)-DR63*DR70)))),0)</f>
        <v>0</v>
      </c>
      <c r="DS72" s="173">
        <f>IF(DS60=1,IF(DS61&lt;=1,DS63+DS67,MAX(0,MIN(DS63+DS67,IF(REPAY_TYPE=2,(DS63-DS71)/DS61,PMT(DS70,DS61,-DS63,DS71)-DS63*DS70)))),0)</f>
        <v>0</v>
      </c>
      <c r="DT72" s="173">
        <f>IF(DT60=1,IF(DT61&lt;=1,DT63+DT67,MAX(0,MIN(DT63+DT67,IF(REPAY_TYPE=2,(DT63-DT71)/DT61,PMT(DT70,DT61,-DT63,DT71)-DT63*DT70)))),0)</f>
        <v>808183.160668003</v>
      </c>
      <c r="DU72" s="173">
        <f>IF(DU60=1,IF(DU61&lt;=1,DU63+DU67,MAX(0,MIN(DU63+DU67,IF(REPAY_TYPE=2,(DU63-DU71)/DU61,PMT(DU70,DU61,-DU63,DU71)-DU63*DU70)))),0)</f>
        <v>0</v>
      </c>
      <c r="DV72" s="173">
        <f>IF(DV60=1,IF(DV61&lt;=1,DV63+DV67,MAX(0,MIN(DV63+DV67,IF(REPAY_TYPE=2,(DV63-DV71)/DV61,PMT(DV70,DV61,-DV63,DV71)-DV63*DV70)))),0)</f>
        <v>0</v>
      </c>
      <c r="DW72" s="173">
        <f>IF(DW60=1,IF(DW61&lt;=1,DW63+DW67,MAX(0,MIN(DW63+DW67,IF(REPAY_TYPE=2,(DW63-DW71)/DW61,PMT(DW70,DW61,-DW63,DW71)-DW63*DW70)))),0)</f>
        <v>838490.029193053</v>
      </c>
      <c r="DX72" s="173">
        <f>IF(DX60=1,IF(DX61&lt;=1,DX63+DX67,MAX(0,MIN(DX63+DX67,IF(REPAY_TYPE=2,(DX63-DX71)/DX61,PMT(DX70,DX61,-DX63,DX71)-DX63*DX70)))),0)</f>
        <v>0</v>
      </c>
      <c r="DY72" s="173">
        <f>IF(DY60=1,IF(DY61&lt;=1,DY63+DY67,MAX(0,MIN(DY63+DY67,IF(REPAY_TYPE=2,(DY63-DY71)/DY61,PMT(DY70,DY61,-DY63,DY71)-DY63*DY70)))),0)</f>
        <v>0</v>
      </c>
      <c r="DZ72" s="173">
        <f>IF(DZ60=1,IF(DZ61&lt;=1,DZ63+DZ67,MAX(0,MIN(DZ63+DZ67,IF(REPAY_TYPE=2,(DZ63-DZ71)/DZ61,PMT(DZ70,DZ61,-DZ63,DZ71)-DZ63*DZ70)))),0)</f>
        <v>869933.405287792</v>
      </c>
      <c r="EA72" s="173">
        <f>IF(EA60=1,IF(EA61&lt;=1,EA63+EA67,MAX(0,MIN(EA63+EA67,IF(REPAY_TYPE=2,(EA63-EA71)/EA61,PMT(EA70,EA61,-EA63,EA71)-EA63*EA70)))),0)</f>
        <v>0</v>
      </c>
      <c r="EB72" s="173">
        <f>IF(EB60=1,IF(EB61&lt;=1,EB63+EB67,MAX(0,MIN(EB63+EB67,IF(REPAY_TYPE=2,(EB63-EB71)/EB61,PMT(EB70,EB61,-EB63,EB71)-EB63*EB70)))),0)</f>
        <v>0</v>
      </c>
      <c r="EC72" s="173">
        <f>IF(EC60=1,IF(EC61&lt;=1,EC63+EC67,MAX(0,MIN(EC63+EC67,IF(REPAY_TYPE=2,(EC63-EC71)/EC61,PMT(EC70,EC61,-EC63,EC71)-EC63*EC70)))),0)</f>
        <v>902555.907986084</v>
      </c>
      <c r="ED72" s="173">
        <f>IF(ED60=1,IF(ED61&lt;=1,ED63+ED67,MAX(0,MIN(ED63+ED67,IF(REPAY_TYPE=2,(ED63-ED71)/ED61,PMT(ED70,ED61,-ED63,ED71)-ED63*ED70)))),0)</f>
        <v>0</v>
      </c>
      <c r="EE72" s="173">
        <f>IF(EE60=1,IF(EE61&lt;=1,EE63+EE67,MAX(0,MIN(EE63+EE67,IF(REPAY_TYPE=2,(EE63-EE71)/EE61,PMT(EE70,EE61,-EE63,EE71)-EE63*EE70)))),0)</f>
        <v>0</v>
      </c>
      <c r="EF72" s="173">
        <f>IF(EF60=1,IF(EF61&lt;=1,EF63+EF67,MAX(0,MIN(EF63+EF67,IF(REPAY_TYPE=2,(EF63-EF71)/EF61,PMT(EF70,EF61,-EF63,EF71)-EF63*EF70)))),0)</f>
        <v>936401.754535563</v>
      </c>
      <c r="EG72" s="173">
        <f>IF(EG60=1,IF(EG61&lt;=1,EG63+EG67,MAX(0,MIN(EG63+EG67,IF(REPAY_TYPE=2,(EG63-EG71)/EG61,PMT(EG70,EG61,-EG63,EG71)-EG63*EG70)))),0)</f>
        <v>0</v>
      </c>
      <c r="EH72" s="173">
        <f>IF(EH60=1,IF(EH61&lt;=1,EH63+EH67,MAX(0,MIN(EH63+EH67,IF(REPAY_TYPE=2,(EH63-EH71)/EH61,PMT(EH70,EH61,-EH63,EH71)-EH63*EH70)))),0)</f>
        <v>0</v>
      </c>
      <c r="EI72" s="173">
        <f>IF(EI60=1,IF(EI61&lt;=1,EI63+EI67,MAX(0,MIN(EI63+EI67,IF(REPAY_TYPE=2,(EI63-EI71)/EI61,PMT(EI70,EI61,-EI63,EI71)-EI63*EI70)))),0)</f>
        <v>971516.820330646</v>
      </c>
      <c r="EJ72" s="173">
        <f>IF(EJ60=1,IF(EJ61&lt;=1,EJ63+EJ67,MAX(0,MIN(EJ63+EJ67,IF(REPAY_TYPE=2,(EJ63-EJ71)/EJ61,PMT(EJ70,EJ61,-EJ63,EJ71)-EJ63*EJ70)))),0)</f>
        <v>0</v>
      </c>
      <c r="EK72" s="173">
        <f>IF(EK60=1,IF(EK61&lt;=1,EK63+EK67,MAX(0,MIN(EK63+EK67,IF(REPAY_TYPE=2,(EK63-EK71)/EK61,PMT(EK70,EK61,-EK63,EK71)-EK63*EK70)))),0)</f>
        <v>0</v>
      </c>
      <c r="EL72" s="173">
        <f>IF(EL60=1,IF(EL61&lt;=1,EL63+EL67,MAX(0,MIN(EL63+EL67,IF(REPAY_TYPE=2,(EL63-EL71)/EL61,PMT(EL70,EL61,-EL63,EL71)-EL63*EL70)))),0)</f>
        <v>1007948.70109305</v>
      </c>
      <c r="EM72" s="173">
        <f>IF(EM60=1,IF(EM61&lt;=1,EM63+EM67,MAX(0,MIN(EM63+EM67,IF(REPAY_TYPE=2,(EM63-EM71)/EM61,PMT(EM70,EM61,-EM63,EM71)-EM63*EM70)))),0)</f>
        <v>0</v>
      </c>
      <c r="EN72" s="173">
        <f>IF(EN60=1,IF(EN61&lt;=1,EN63+EN67,MAX(0,MIN(EN63+EN67,IF(REPAY_TYPE=2,(EN63-EN71)/EN61,PMT(EN70,EN61,-EN63,EN71)-EN63*EN70)))),0)</f>
        <v>0</v>
      </c>
      <c r="EO72" s="173">
        <f>IF(EO60=1,IF(EO61&lt;=1,EO63+EO67,MAX(0,MIN(EO63+EO67,IF(REPAY_TYPE=2,(EO63-EO71)/EO61,PMT(EO70,EO61,-EO63,EO71)-EO63*EO70)))),0)</f>
        <v>1045746.77738403</v>
      </c>
      <c r="EP72" s="173">
        <f>IF(EP60=1,IF(EP61&lt;=1,EP63+EP67,MAX(0,MIN(EP63+EP67,IF(REPAY_TYPE=2,(EP63-EP71)/EP61,PMT(EP70,EP61,-EP63,EP71)-EP63*EP70)))),0)</f>
        <v>0</v>
      </c>
      <c r="EQ72" s="173">
        <f>IF(EQ60=1,IF(EQ61&lt;=1,EQ63+EQ67,MAX(0,MIN(EQ63+EQ67,IF(REPAY_TYPE=2,(EQ63-EQ71)/EQ61,PMT(EQ70,EQ61,-EQ63,EQ71)-EQ63*EQ70)))),0)</f>
        <v>0</v>
      </c>
      <c r="ER72" s="173">
        <f>IF(ER60=1,IF(ER61&lt;=1,ER63+ER67,MAX(0,MIN(ER63+ER67,IF(REPAY_TYPE=2,(ER63-ER71)/ER61,PMT(ER70,ER61,-ER63,ER71)-ER63*ER70)))),0)</f>
        <v>1084962.28153594</v>
      </c>
      <c r="ES72" s="173">
        <f>IF(ES60=1,IF(ES61&lt;=1,ES63+ES67,MAX(0,MIN(ES63+ES67,IF(REPAY_TYPE=2,(ES63-ES71)/ES61,PMT(ES70,ES61,-ES63,ES71)-ES63*ES70)))),0)</f>
        <v>0</v>
      </c>
      <c r="ET72" s="173">
        <f>IF(ET60=1,IF(ET61&lt;=1,ET63+ET67,MAX(0,MIN(ET63+ET67,IF(REPAY_TYPE=2,(ET63-ET71)/ET61,PMT(ET70,ET61,-ET63,ET71)-ET63*ET70)))),0)</f>
        <v>0</v>
      </c>
      <c r="EU72" s="173">
        <f>IF(EU60=1,IF(EU61&lt;=1,EU63+EU67,MAX(0,MIN(EU63+EU67,IF(REPAY_TYPE=2,(EU63-EU71)/EU61,PMT(EU70,EU61,-EU63,EU71)-EU63*EU70)))),0)</f>
        <v>1125648.36709353</v>
      </c>
      <c r="EV72" s="173">
        <f>IF(EV60=1,IF(EV61&lt;=1,EV63+EV67,MAX(0,MIN(EV63+EV67,IF(REPAY_TYPE=2,(EV63-EV71)/EV61,PMT(EV70,EV61,-EV63,EV71)-EV63*EV70)))),0)</f>
        <v>0</v>
      </c>
      <c r="EW72" s="173">
        <f>IF(EW60=1,IF(EW61&lt;=1,EW63+EW67,MAX(0,MIN(EW63+EW67,IF(REPAY_TYPE=2,(EW63-EW71)/EW61,PMT(EW70,EW61,-EW63,EW71)-EW63*EW70)))),0)</f>
        <v>0</v>
      </c>
      <c r="EX72" s="173">
        <f>IF(EX60=1,IF(EX61&lt;=1,EX63+EX67,MAX(0,MIN(EX63+EX67,IF(REPAY_TYPE=2,(EX63-EX71)/EX61,PMT(EX70,EX61,-EX63,EX71)-EX63*EX70)))),0)</f>
        <v>1167860.18085954</v>
      </c>
      <c r="EY72" s="173">
        <f>IF(EY60=1,IF(EY61&lt;=1,EY63+EY67,MAX(0,MIN(EY63+EY67,IF(REPAY_TYPE=2,(EY63-EY71)/EY61,PMT(EY70,EY61,-EY63,EY71)-EY63*EY70)))),0)</f>
        <v>0</v>
      </c>
      <c r="EZ72" s="173">
        <f>IF(EZ60=1,IF(EZ61&lt;=1,EZ63+EZ67,MAX(0,MIN(EZ63+EZ67,IF(REPAY_TYPE=2,(EZ63-EZ71)/EZ61,PMT(EZ70,EZ61,-EZ63,EZ71)-EZ63*EZ70)))),0)</f>
        <v>0</v>
      </c>
      <c r="FA72" s="173">
        <f>IF(FA60=1,IF(FA61&lt;=1,FA63+FA67,MAX(0,MIN(FA63+FA67,IF(REPAY_TYPE=2,(FA63-FA71)/FA61,PMT(FA70,FA61,-FA63,FA71)-FA63*FA70)))),0)</f>
        <v>0</v>
      </c>
      <c r="FB72" s="173">
        <f>IF(FB60=1,IF(FB61&lt;=1,FB63+FB67,MAX(0,MIN(FB63+FB67,IF(REPAY_TYPE=2,(FB63-FB71)/FB61,PMT(FB70,FB61,-FB63,FB71)-FB63*FB70)))),0)</f>
        <v>0</v>
      </c>
      <c r="FC72" s="173">
        <f>IF(FC60=1,IF(FC61&lt;=1,FC63+FC67,MAX(0,MIN(FC63+FC67,IF(REPAY_TYPE=2,(FC63-FC71)/FC61,PMT(FC70,FC61,-FC63,FC71)-FC63*FC70)))),0)</f>
        <v>0</v>
      </c>
      <c r="FD72" s="173">
        <f>IF(FD60=1,IF(FD61&lt;=1,FD63+FD67,MAX(0,MIN(FD63+FD67,IF(REPAY_TYPE=2,(FD63-FD71)/FD61,PMT(FD70,FD61,-FD63,FD71)-FD63*FD70)))),0)</f>
        <v>0</v>
      </c>
      <c r="FE72" s="173">
        <f>IF(FE60=1,IF(FE61&lt;=1,FE63+FE67,MAX(0,MIN(FE63+FE67,IF(REPAY_TYPE=2,(FE63-FE71)/FE61,PMT(FE70,FE61,-FE63,FE71)-FE63*FE70)))),0)</f>
        <v>0</v>
      </c>
      <c r="FF72" s="173">
        <f>IF(FF60=1,IF(FF61&lt;=1,FF63+FF67,MAX(0,MIN(FF63+FF67,IF(REPAY_TYPE=2,(FF63-FF71)/FF61,PMT(FF70,FF61,-FF63,FF71)-FF63*FF70)))),0)</f>
        <v>0</v>
      </c>
      <c r="FG72" s="173">
        <f>IF(FG60=1,IF(FG61&lt;=1,FG63+FG67,MAX(0,MIN(FG63+FG67,IF(REPAY_TYPE=2,(FG63-FG71)/FG61,PMT(FG70,FG61,-FG63,FG71)-FG63*FG70)))),0)</f>
        <v>0</v>
      </c>
      <c r="FH72" s="173">
        <f>IF(FH60=1,IF(FH61&lt;=1,FH63+FH67,MAX(0,MIN(FH63+FH67,IF(REPAY_TYPE=2,(FH63-FH71)/FH61,PMT(FH70,FH61,-FH63,FH71)-FH63*FH70)))),0)</f>
        <v>0</v>
      </c>
      <c r="FI72" s="173">
        <f>IF(FI60=1,IF(FI61&lt;=1,FI63+FI67,MAX(0,MIN(FI63+FI67,IF(REPAY_TYPE=2,(FI63-FI71)/FI61,PMT(FI70,FI61,-FI63,FI71)-FI63*FI70)))),0)</f>
        <v>0</v>
      </c>
      <c r="FJ72" s="173">
        <f>IF(FJ60=1,IF(FJ61&lt;=1,FJ63+FJ67,MAX(0,MIN(FJ63+FJ67,IF(REPAY_TYPE=2,(FJ63-FJ71)/FJ61,PMT(FJ70,FJ61,-FJ63,FJ71)-FJ63*FJ70)))),0)</f>
        <v>0</v>
      </c>
      <c r="FK72" s="173">
        <f>IF(FK60=1,IF(FK61&lt;=1,FK63+FK67,MAX(0,MIN(FK63+FK67,IF(REPAY_TYPE=2,(FK63-FK71)/FK61,PMT(FK70,FK61,-FK63,FK71)-FK63*FK70)))),0)</f>
        <v>0</v>
      </c>
      <c r="FL72" s="173">
        <f>IF(FL60=1,IF(FL61&lt;=1,FL63+FL67,MAX(0,MIN(FL63+FL67,IF(REPAY_TYPE=2,(FL63-FL71)/FL61,PMT(FL70,FL61,-FL63,FL71)-FL63*FL70)))),0)</f>
        <v>0</v>
      </c>
      <c r="FM72" s="173">
        <f>IF(FM60=1,IF(FM61&lt;=1,FM63+FM67,MAX(0,MIN(FM63+FM67,IF(REPAY_TYPE=2,(FM63-FM71)/FM61,PMT(FM70,FM61,-FM63,FM71)-FM63*FM70)))),0)</f>
        <v>0</v>
      </c>
      <c r="FN72" s="173">
        <f>IF(FN60=1,IF(FN61&lt;=1,FN63+FN67,MAX(0,MIN(FN63+FN67,IF(REPAY_TYPE=2,(FN63-FN71)/FN61,PMT(FN70,FN61,-FN63,FN71)-FN63*FN70)))),0)</f>
        <v>0</v>
      </c>
      <c r="FO72" s="173">
        <f>IF(FO60=1,IF(FO61&lt;=1,FO63+FO67,MAX(0,MIN(FO63+FO67,IF(REPAY_TYPE=2,(FO63-FO71)/FO61,PMT(FO70,FO61,-FO63,FO71)-FO63*FO70)))),0)</f>
        <v>0</v>
      </c>
      <c r="FP72" s="173">
        <f>IF(FP60=1,IF(FP61&lt;=1,FP63+FP67,MAX(0,MIN(FP63+FP67,IF(REPAY_TYPE=2,(FP63-FP71)/FP61,PMT(FP70,FP61,-FP63,FP71)-FP63*FP70)))),0)</f>
        <v>0</v>
      </c>
      <c r="FQ72" s="173">
        <f>IF(FQ60=1,IF(FQ61&lt;=1,FQ63+FQ67,MAX(0,MIN(FQ63+FQ67,IF(REPAY_TYPE=2,(FQ63-FQ71)/FQ61,PMT(FQ70,FQ61,-FQ63,FQ71)-FQ63*FQ70)))),0)</f>
        <v>0</v>
      </c>
      <c r="FR72" s="173">
        <f>IF(FR60=1,IF(FR61&lt;=1,FR63+FR67,MAX(0,MIN(FR63+FR67,IF(REPAY_TYPE=2,(FR63-FR71)/FR61,PMT(FR70,FR61,-FR63,FR71)-FR63*FR70)))),0)</f>
        <v>0</v>
      </c>
      <c r="FS72" s="173">
        <f>IF(FS60=1,IF(FS61&lt;=1,FS63+FS67,MAX(0,MIN(FS63+FS67,IF(REPAY_TYPE=2,(FS63-FS71)/FS61,PMT(FS70,FS61,-FS63,FS71)-FS63*FS70)))),0)</f>
        <v>0</v>
      </c>
      <c r="FT72" s="173">
        <f>IF(FT60=1,IF(FT61&lt;=1,FT63+FT67,MAX(0,MIN(FT63+FT67,IF(REPAY_TYPE=2,(FT63-FT71)/FT61,PMT(FT70,FT61,-FT63,FT71)-FT63*FT70)))),0)</f>
        <v>0</v>
      </c>
      <c r="FU72" s="173">
        <f>IF(FU60=1,IF(FU61&lt;=1,FU63+FU67,MAX(0,MIN(FU63+FU67,IF(REPAY_TYPE=2,(FU63-FU71)/FU61,PMT(FU70,FU61,-FU63,FU71)-FU63*FU70)))),0)</f>
        <v>0</v>
      </c>
      <c r="FV72" s="173">
        <f>IF(FV60=1,IF(FV61&lt;=1,FV63+FV67,MAX(0,MIN(FV63+FV67,IF(REPAY_TYPE=2,(FV63-FV71)/FV61,PMT(FV70,FV61,-FV63,FV71)-FV63*FV70)))),0)</f>
        <v>0</v>
      </c>
      <c r="FW72" s="173">
        <f>IF(FW60=1,IF(FW61&lt;=1,FW63+FW67,MAX(0,MIN(FW63+FW67,IF(REPAY_TYPE=2,(FW63-FW71)/FW61,PMT(FW70,FW61,-FW63,FW71)-FW63*FW70)))),0)</f>
        <v>0</v>
      </c>
      <c r="FX72" s="173">
        <f>IF(FX60=1,IF(FX61&lt;=1,FX63+FX67,MAX(0,MIN(FX63+FX67,IF(REPAY_TYPE=2,(FX63-FX71)/FX61,PMT(FX70,FX61,-FX63,FX71)-FX63*FX70)))),0)</f>
        <v>0</v>
      </c>
      <c r="FY72" s="173">
        <f>IF(FY60=1,IF(FY61&lt;=1,FY63+FY67,MAX(0,MIN(FY63+FY67,IF(REPAY_TYPE=2,(FY63-FY71)/FY61,PMT(FY70,FY61,-FY63,FY71)-FY63*FY70)))),0)</f>
        <v>0</v>
      </c>
      <c r="FZ72" s="173">
        <f>IF(FZ60=1,IF(FZ61&lt;=1,FZ63+FZ67,MAX(0,MIN(FZ63+FZ67,IF(REPAY_TYPE=2,(FZ63-FZ71)/FZ61,PMT(FZ70,FZ61,-FZ63,FZ71)-FZ63*FZ70)))),0)</f>
        <v>0</v>
      </c>
      <c r="GA72" s="173">
        <f>IF(GA60=1,IF(GA61&lt;=1,GA63+GA67,MAX(0,MIN(GA63+GA67,IF(REPAY_TYPE=2,(GA63-GA71)/GA61,PMT(GA70,GA61,-GA63,GA71)-GA63*GA70)))),0)</f>
        <v>0</v>
      </c>
      <c r="GB72" s="173">
        <f>IF(GB60=1,IF(GB61&lt;=1,GB63+GB67,MAX(0,MIN(GB63+GB67,IF(REPAY_TYPE=2,(GB63-GB71)/GB61,PMT(GB70,GB61,-GB63,GB71)-GB63*GB70)))),0)</f>
        <v>0</v>
      </c>
      <c r="GC72" s="173">
        <f>IF(GC60=1,IF(GC61&lt;=1,GC63+GC67,MAX(0,MIN(GC63+GC67,IF(REPAY_TYPE=2,(GC63-GC71)/GC61,PMT(GC70,GC61,-GC63,GC71)-GC63*GC70)))),0)</f>
        <v>0</v>
      </c>
      <c r="GD72" s="173">
        <f>IF(GD60=1,IF(GD61&lt;=1,GD63+GD67,MAX(0,MIN(GD63+GD67,IF(REPAY_TYPE=2,(GD63-GD71)/GD61,PMT(GD70,GD61,-GD63,GD71)-GD63*GD70)))),0)</f>
        <v>0</v>
      </c>
      <c r="GE72" s="173">
        <f>IF(GE60=1,IF(GE61&lt;=1,GE63+GE67,MAX(0,MIN(GE63+GE67,IF(REPAY_TYPE=2,(GE63-GE71)/GE61,PMT(GE70,GE61,-GE63,GE71)-GE63*GE70)))),0)</f>
        <v>0</v>
      </c>
      <c r="GF72" s="173">
        <f>IF(GF60=1,IF(GF61&lt;=1,GF63+GF67,MAX(0,MIN(GF63+GF67,IF(REPAY_TYPE=2,(GF63-GF71)/GF61,PMT(GF70,GF61,-GF63,GF71)-GF63*GF70)))),0)</f>
        <v>0</v>
      </c>
      <c r="GG72" s="173">
        <f>IF(GG60=1,IF(GG61&lt;=1,GG63+GG67,MAX(0,MIN(GG63+GG67,IF(REPAY_TYPE=2,(GG63-GG71)/GG61,PMT(GG70,GG61,-GG63,GG71)-GG63*GG70)))),0)</f>
        <v>0</v>
      </c>
      <c r="GH72" s="173">
        <f>IF(GH60=1,IF(GH61&lt;=1,GH63+GH67,MAX(0,MIN(GH63+GH67,IF(REPAY_TYPE=2,(GH63-GH71)/GH61,PMT(GH70,GH61,-GH63,GH71)-GH63*GH70)))),0)</f>
        <v>0</v>
      </c>
      <c r="GI72" s="173">
        <f>IF(GI60=1,IF(GI61&lt;=1,GI63+GI67,MAX(0,MIN(GI63+GI67,IF(REPAY_TYPE=2,(GI63-GI71)/GI61,PMT(GI70,GI61,-GI63,GI71)-GI63*GI70)))),0)</f>
        <v>0</v>
      </c>
      <c r="GJ72" s="173">
        <f>IF(GJ60=1,IF(GJ61&lt;=1,GJ63+GJ67,MAX(0,MIN(GJ63+GJ67,IF(REPAY_TYPE=2,(GJ63-GJ71)/GJ61,PMT(GJ70,GJ61,-GJ63,GJ71)-GJ63*GJ70)))),0)</f>
        <v>0</v>
      </c>
      <c r="GK72" s="173">
        <f>IF(GK60=1,IF(GK61&lt;=1,GK63+GK67,MAX(0,MIN(GK63+GK67,IF(REPAY_TYPE=2,(GK63-GK71)/GK61,PMT(GK70,GK61,-GK63,GK71)-GK63*GK70)))),0)</f>
        <v>0</v>
      </c>
      <c r="GL72" s="173">
        <f>IF(GL60=1,IF(GL61&lt;=1,GL63+GL67,MAX(0,MIN(GL63+GL67,IF(REPAY_TYPE=2,(GL63-GL71)/GL61,PMT(GL70,GL61,-GL63,GL71)-GL63*GL70)))),0)</f>
        <v>0</v>
      </c>
      <c r="GM72" s="173">
        <f>IF(GM60=1,IF(GM61&lt;=1,GM63+GM67,MAX(0,MIN(GM63+GM67,IF(REPAY_TYPE=2,(GM63-GM71)/GM61,PMT(GM70,GM61,-GM63,GM71)-GM63*GM70)))),0)</f>
        <v>0</v>
      </c>
      <c r="GN72" s="173">
        <f>IF(GN60=1,IF(GN61&lt;=1,GN63+GN67,MAX(0,MIN(GN63+GN67,IF(REPAY_TYPE=2,(GN63-GN71)/GN61,PMT(GN70,GN61,-GN63,GN71)-GN63*GN70)))),0)</f>
        <v>0</v>
      </c>
      <c r="GO72" s="173">
        <f>IF(GO60=1,IF(GO61&lt;=1,GO63+GO67,MAX(0,MIN(GO63+GO67,IF(REPAY_TYPE=2,(GO63-GO71)/GO61,PMT(GO70,GO61,-GO63,GO71)-GO63*GO70)))),0)</f>
        <v>0</v>
      </c>
      <c r="GP72" s="173">
        <f>IF(GP60=1,IF(GP61&lt;=1,GP63+GP67,MAX(0,MIN(GP63+GP67,IF(REPAY_TYPE=2,(GP63-GP71)/GP61,PMT(GP70,GP61,-GP63,GP71)-GP63*GP70)))),0)</f>
        <v>0</v>
      </c>
      <c r="GQ72" s="173">
        <f>IF(GQ60=1,IF(GQ61&lt;=1,GQ63+GQ67,MAX(0,MIN(GQ63+GQ67,IF(REPAY_TYPE=2,(GQ63-GQ71)/GQ61,PMT(GQ70,GQ61,-GQ63,GQ71)-GQ63*GQ70)))),0)</f>
        <v>0</v>
      </c>
      <c r="GR72" s="173">
        <f>IF(GR60=1,IF(GR61&lt;=1,GR63+GR67,MAX(0,MIN(GR63+GR67,IF(REPAY_TYPE=2,(GR63-GR71)/GR61,PMT(GR70,GR61,-GR63,GR71)-GR63*GR70)))),0)</f>
        <v>0</v>
      </c>
      <c r="GS72" s="173">
        <f>IF(GS60=1,IF(GS61&lt;=1,GS63+GS67,MAX(0,MIN(GS63+GS67,IF(REPAY_TYPE=2,(GS63-GS71)/GS61,PMT(GS70,GS61,-GS63,GS71)-GS63*GS70)))),0)</f>
        <v>0</v>
      </c>
      <c r="GT72" s="173">
        <f>IF(GT60=1,IF(GT61&lt;=1,GT63+GT67,MAX(0,MIN(GT63+GT67,IF(REPAY_TYPE=2,(GT63-GT71)/GT61,PMT(GT70,GT61,-GT63,GT71)-GT63*GT70)))),0)</f>
        <v>0</v>
      </c>
      <c r="GU72" s="173">
        <f>IF(GU60=1,IF(GU61&lt;=1,GU63+GU67,MAX(0,MIN(GU63+GU67,IF(REPAY_TYPE=2,(GU63-GU71)/GU61,PMT(GU70,GU61,-GU63,GU71)-GU63*GU70)))),0)</f>
        <v>0</v>
      </c>
      <c r="GV72" s="173">
        <f>IF(GV60=1,IF(GV61&lt;=1,GV63+GV67,MAX(0,MIN(GV63+GV67,IF(REPAY_TYPE=2,(GV63-GV71)/GV61,PMT(GV70,GV61,-GV63,GV71)-GV63*GV70)))),0)</f>
        <v>0</v>
      </c>
      <c r="GW72" s="173">
        <f>IF(GW60=1,IF(GW61&lt;=1,GW63+GW67,MAX(0,MIN(GW63+GW67,IF(REPAY_TYPE=2,(GW63-GW71)/GW61,PMT(GW70,GW61,-GW63,GW71)-GW63*GW70)))),0)</f>
        <v>0</v>
      </c>
      <c r="GX72" s="173">
        <f>IF(GX60=1,IF(GX61&lt;=1,GX63+GX67,MAX(0,MIN(GX63+GX67,IF(REPAY_TYPE=2,(GX63-GX71)/GX61,PMT(GX70,GX61,-GX63,GX71)-GX63*GX70)))),0)</f>
        <v>0</v>
      </c>
      <c r="GY72" s="173">
        <f>IF(GY60=1,IF(GY61&lt;=1,GY63+GY67,MAX(0,MIN(GY63+GY67,IF(REPAY_TYPE=2,(GY63-GY71)/GY61,PMT(GY70,GY61,-GY63,GY71)-GY63*GY70)))),0)</f>
        <v>0</v>
      </c>
      <c r="GZ72" s="173">
        <f>IF(GZ60=1,IF(GZ61&lt;=1,GZ63+GZ67,MAX(0,MIN(GZ63+GZ67,IF(REPAY_TYPE=2,(GZ63-GZ71)/GZ61,PMT(GZ70,GZ61,-GZ63,GZ71)-GZ63*GZ70)))),0)</f>
        <v>0</v>
      </c>
      <c r="HA72" s="173">
        <f>IF(HA60=1,IF(HA61&lt;=1,HA63+HA67,MAX(0,MIN(HA63+HA67,IF(REPAY_TYPE=2,(HA63-HA71)/HA61,PMT(HA70,HA61,-HA63,HA71)-HA63*HA70)))),0)</f>
        <v>0</v>
      </c>
      <c r="HB72" s="173">
        <f>IF(HB60=1,IF(HB61&lt;=1,HB63+HB67,MAX(0,MIN(HB63+HB67,IF(REPAY_TYPE=2,(HB63-HB71)/HB61,PMT(HB70,HB61,-HB63,HB71)-HB63*HB70)))),0)</f>
        <v>0</v>
      </c>
      <c r="HC72" s="173">
        <f>IF(HC60=1,IF(HC61&lt;=1,HC63+HC67,MAX(0,MIN(HC63+HC67,IF(REPAY_TYPE=2,(HC63-HC71)/HC61,PMT(HC70,HC61,-HC63,HC71)-HC63*HC70)))),0)</f>
        <v>0</v>
      </c>
      <c r="HD72" s="173">
        <f>IF(HD60=1,IF(HD61&lt;=1,HD63+HD67,MAX(0,MIN(HD63+HD67,IF(REPAY_TYPE=2,(HD63-HD71)/HD61,PMT(HD70,HD61,-HD63,HD71)-HD63*HD70)))),0)</f>
        <v>0</v>
      </c>
      <c r="HE72" s="173">
        <f>IF(HE60=1,IF(HE61&lt;=1,HE63+HE67,MAX(0,MIN(HE63+HE67,IF(REPAY_TYPE=2,(HE63-HE71)/HE61,PMT(HE70,HE61,-HE63,HE71)-HE63*HE70)))),0)</f>
        <v>0</v>
      </c>
      <c r="HF72" s="173">
        <f>IF(HF60=1,IF(HF61&lt;=1,HF63+HF67,MAX(0,MIN(HF63+HF67,IF(REPAY_TYPE=2,(HF63-HF71)/HF61,PMT(HF70,HF61,-HF63,HF71)-HF63*HF70)))),0)</f>
        <v>0</v>
      </c>
      <c r="HG72" s="173">
        <f>IF(HG60=1,IF(HG61&lt;=1,HG63+HG67,MAX(0,MIN(HG63+HG67,IF(REPAY_TYPE=2,(HG63-HG71)/HG61,PMT(HG70,HG61,-HG63,HG71)-HG63*HG70)))),0)</f>
        <v>0</v>
      </c>
      <c r="HH72" s="173">
        <f>IF(HH60=1,IF(HH61&lt;=1,HH63+HH67,MAX(0,MIN(HH63+HH67,IF(REPAY_TYPE=2,(HH63-HH71)/HH61,PMT(HH70,HH61,-HH63,HH71)-HH63*HH70)))),0)</f>
        <v>0</v>
      </c>
      <c r="HI72" s="173">
        <f>IF(HI60=1,IF(HI61&lt;=1,HI63+HI67,MAX(0,MIN(HI63+HI67,IF(REPAY_TYPE=2,(HI63-HI71)/HI61,PMT(HI70,HI61,-HI63,HI71)-HI63*HI70)))),0)</f>
        <v>0</v>
      </c>
      <c r="HJ72" s="173">
        <f>IF(HJ60=1,IF(HJ61&lt;=1,HJ63+HJ67,MAX(0,MIN(HJ63+HJ67,IF(REPAY_TYPE=2,(HJ63-HJ71)/HJ61,PMT(HJ70,HJ61,-HJ63,HJ71)-HJ63*HJ70)))),0)</f>
        <v>0</v>
      </c>
      <c r="HK72" s="173">
        <f>IF(HK60=1,IF(HK61&lt;=1,HK63+HK67,MAX(0,MIN(HK63+HK67,IF(REPAY_TYPE=2,(HK63-HK71)/HK61,PMT(HK70,HK61,-HK63,HK71)-HK63*HK70)))),0)</f>
        <v>0</v>
      </c>
      <c r="HL72" s="173">
        <f>IF(HL60=1,IF(HL61&lt;=1,HL63+HL67,MAX(0,MIN(HL63+HL67,IF(REPAY_TYPE=2,(HL63-HL71)/HL61,PMT(HL70,HL61,-HL63,HL71)-HL63*HL70)))),0)</f>
        <v>0</v>
      </c>
      <c r="HM72" s="173">
        <f>IF(HM60=1,IF(HM61&lt;=1,HM63+HM67,MAX(0,MIN(HM63+HM67,IF(REPAY_TYPE=2,(HM63-HM71)/HM61,PMT(HM70,HM61,-HM63,HM71)-HM63*HM70)))),0)</f>
        <v>0</v>
      </c>
      <c r="HN72" s="173">
        <f>IF(HN60=1,IF(HN61&lt;=1,HN63+HN67,MAX(0,MIN(HN63+HN67,IF(REPAY_TYPE=2,(HN63-HN71)/HN61,PMT(HN70,HN61,-HN63,HN71)-HN63*HN70)))),0)</f>
        <v>0</v>
      </c>
      <c r="HO72" s="173">
        <f>IF(HO60=1,IF(HO61&lt;=1,HO63+HO67,MAX(0,MIN(HO63+HO67,IF(REPAY_TYPE=2,(HO63-HO71)/HO61,PMT(HO70,HO61,-HO63,HO71)-HO63*HO70)))),0)</f>
        <v>0</v>
      </c>
      <c r="HP72" s="173">
        <f>IF(HP60=1,IF(HP61&lt;=1,HP63+HP67,MAX(0,MIN(HP63+HP67,IF(REPAY_TYPE=2,(HP63-HP71)/HP61,PMT(HP70,HP61,-HP63,HP71)-HP63*HP70)))),0)</f>
        <v>0</v>
      </c>
      <c r="HQ72" s="173">
        <f>IF(HQ60=1,IF(HQ61&lt;=1,HQ63+HQ67,MAX(0,MIN(HQ63+HQ67,IF(REPAY_TYPE=2,(HQ63-HQ71)/HQ61,PMT(HQ70,HQ61,-HQ63,HQ71)-HQ63*HQ70)))),0)</f>
        <v>0</v>
      </c>
      <c r="HR72" s="173">
        <f>IF(HR60=1,IF(HR61&lt;=1,HR63+HR67,MAX(0,MIN(HR63+HR67,IF(REPAY_TYPE=2,(HR63-HR71)/HR61,PMT(HR70,HR61,-HR63,HR71)-HR63*HR70)))),0)</f>
        <v>0</v>
      </c>
      <c r="HS72" s="173">
        <f>IF(HS60=1,IF(HS61&lt;=1,HS63+HS67,MAX(0,MIN(HS63+HS67,IF(REPAY_TYPE=2,(HS63-HS71)/HS61,PMT(HS70,HS61,-HS63,HS71)-HS63*HS70)))),0)</f>
        <v>0</v>
      </c>
      <c r="HT72" s="173">
        <f>IF(HT60=1,IF(HT61&lt;=1,HT63+HT67,MAX(0,MIN(HT63+HT67,IF(REPAY_TYPE=2,(HT63-HT71)/HT61,PMT(HT70,HT61,-HT63,HT71)-HT63*HT70)))),0)</f>
        <v>0</v>
      </c>
      <c r="HU72" s="173">
        <f>IF(HU60=1,IF(HU61&lt;=1,HU63+HU67,MAX(0,MIN(HU63+HU67,IF(REPAY_TYPE=2,(HU63-HU71)/HU61,PMT(HU70,HU61,-HU63,HU71)-HU63*HU70)))),0)</f>
        <v>0</v>
      </c>
      <c r="HV72" s="173">
        <f>IF(HV60=1,IF(HV61&lt;=1,HV63+HV67,MAX(0,MIN(HV63+HV67,IF(REPAY_TYPE=2,(HV63-HV71)/HV61,PMT(HV70,HV61,-HV63,HV71)-HV63*HV70)))),0)</f>
        <v>0</v>
      </c>
      <c r="HW72" s="173">
        <f>IF(HW60=1,IF(HW61&lt;=1,HW63+HW67,MAX(0,MIN(HW63+HW67,IF(REPAY_TYPE=2,(HW63-HW71)/HW61,PMT(HW70,HW61,-HW63,HW71)-HW63*HW70)))),0)</f>
        <v>0</v>
      </c>
      <c r="HX72" s="173">
        <f>IF(HX60=1,IF(HX61&lt;=1,HX63+HX67,MAX(0,MIN(HX63+HX67,IF(REPAY_TYPE=2,(HX63-HX71)/HX61,PMT(HX70,HX61,-HX63,HX71)-HX63*HX70)))),0)</f>
        <v>0</v>
      </c>
      <c r="HY72" s="173">
        <f>IF(HY60=1,IF(HY61&lt;=1,HY63+HY67,MAX(0,MIN(HY63+HY67,IF(REPAY_TYPE=2,(HY63-HY71)/HY61,PMT(HY70,HY61,-HY63,HY71)-HY63*HY70)))),0)</f>
        <v>0</v>
      </c>
      <c r="HZ72" s="173">
        <f>IF(HZ60=1,IF(HZ61&lt;=1,HZ63+HZ67,MAX(0,MIN(HZ63+HZ67,IF(REPAY_TYPE=2,(HZ63-HZ71)/HZ61,PMT(HZ70,HZ61,-HZ63,HZ71)-HZ63*HZ70)))),0)</f>
        <v>0</v>
      </c>
      <c r="IA72" s="173">
        <f>IF(IA60=1,IF(IA61&lt;=1,IA63+IA67,MAX(0,MIN(IA63+IA67,IF(REPAY_TYPE=2,(IA63-IA71)/IA61,PMT(IA70,IA61,-IA63,IA71)-IA63*IA70)))),0)</f>
        <v>0</v>
      </c>
      <c r="IB72" s="173">
        <f>IF(IB60=1,IF(IB61&lt;=1,IB63+IB67,MAX(0,MIN(IB63+IB67,IF(REPAY_TYPE=2,(IB63-IB71)/IB61,PMT(IB70,IB61,-IB63,IB71)-IB63*IB70)))),0)</f>
        <v>0</v>
      </c>
      <c r="IC72" s="173">
        <f>IF(IC60=1,IF(IC61&lt;=1,IC63+IC67,MAX(0,MIN(IC63+IC67,IF(REPAY_TYPE=2,(IC63-IC71)/IC61,PMT(IC70,IC61,-IC63,IC71)-IC63*IC70)))),0)</f>
        <v>0</v>
      </c>
      <c r="ID72" s="173">
        <f>IF(ID60=1,IF(ID61&lt;=1,ID63+ID67,MAX(0,MIN(ID63+ID67,IF(REPAY_TYPE=2,(ID63-ID71)/ID61,PMT(ID70,ID61,-ID63,ID71)-ID63*ID70)))),0)</f>
        <v>0</v>
      </c>
      <c r="IE72" s="173">
        <f>IF(IE60=1,IF(IE61&lt;=1,IE63+IE67,MAX(0,MIN(IE63+IE67,IF(REPAY_TYPE=2,(IE63-IE71)/IE61,PMT(IE70,IE61,-IE63,IE71)-IE63*IE70)))),0)</f>
        <v>0</v>
      </c>
      <c r="IF72" s="173">
        <f>IF(IF60=1,IF(IF61&lt;=1,IF63+IF67,MAX(0,MIN(IF63+IF67,IF(REPAY_TYPE=2,(IF63-IF71)/IF61,PMT(IF70,IF61,-IF63,IF71)-IF63*IF70)))),0)</f>
        <v>0</v>
      </c>
      <c r="IG72" s="173">
        <f>IF(IG60=1,IF(IG61&lt;=1,IG63+IG67,MAX(0,MIN(IG63+IG67,IF(REPAY_TYPE=2,(IG63-IG71)/IG61,PMT(IG70,IG61,-IG63,IG71)-IG63*IG70)))),0)</f>
        <v>0</v>
      </c>
      <c r="IH72" s="173">
        <f>IF(IH60=1,IF(IH61&lt;=1,IH63+IH67,MAX(0,MIN(IH63+IH67,IF(REPAY_TYPE=2,(IH63-IH71)/IH61,PMT(IH70,IH61,-IH63,IH71)-IH63*IH70)))),0)</f>
        <v>0</v>
      </c>
      <c r="II72" s="173">
        <f>IF(II60=1,IF(II61&lt;=1,II63+II67,MAX(0,MIN(II63+II67,IF(REPAY_TYPE=2,(II63-II71)/II61,PMT(II70,II61,-II63,II71)-II63*II70)))),0)</f>
        <v>0</v>
      </c>
      <c r="IJ72" s="173">
        <f>IF(IJ60=1,IF(IJ61&lt;=1,IJ63+IJ67,MAX(0,MIN(IJ63+IJ67,IF(REPAY_TYPE=2,(IJ63-IJ71)/IJ61,PMT(IJ70,IJ61,-IJ63,IJ71)-IJ63*IJ70)))),0)</f>
        <v>0</v>
      </c>
      <c r="IK72" s="173">
        <f>IF(IK60=1,IF(IK61&lt;=1,IK63+IK67,MAX(0,MIN(IK63+IK67,IF(REPAY_TYPE=2,(IK63-IK71)/IK61,PMT(IK70,IK61,-IK63,IK71)-IK63*IK70)))),0)</f>
        <v>0</v>
      </c>
      <c r="IL72" s="173">
        <f>IF(IL60=1,IF(IL61&lt;=1,IL63+IL67,MAX(0,MIN(IL63+IL67,IF(REPAY_TYPE=2,(IL63-IL71)/IL61,PMT(IL70,IL61,-IL63,IL71)-IL63*IL70)))),0)</f>
        <v>0</v>
      </c>
      <c r="IM72" s="173">
        <f>IF(IM60=1,IF(IM61&lt;=1,IM63+IM67,MAX(0,MIN(IM63+IM67,IF(REPAY_TYPE=2,(IM63-IM71)/IM61,PMT(IM70,IM61,-IM63,IM71)-IM63*IM70)))),0)</f>
        <v>0</v>
      </c>
      <c r="IN72" s="173">
        <f>IF(IN60=1,IF(IN61&lt;=1,IN63+IN67,MAX(0,MIN(IN63+IN67,IF(REPAY_TYPE=2,(IN63-IN71)/IN61,PMT(IN70,IN61,-IN63,IN71)-IN63*IN70)))),0)</f>
        <v>0</v>
      </c>
      <c r="IO72" s="173">
        <f>IF(IO60=1,IF(IO61&lt;=1,IO63+IO67,MAX(0,MIN(IO63+IO67,IF(REPAY_TYPE=2,(IO63-IO71)/IO61,PMT(IO70,IO61,-IO63,IO71)-IO63*IO70)))),0)</f>
        <v>0</v>
      </c>
      <c r="IP72" s="173">
        <f>IF(IP60=1,IF(IP61&lt;=1,IP63+IP67,MAX(0,MIN(IP63+IP67,IF(REPAY_TYPE=2,(IP63-IP71)/IP61,PMT(IP70,IP61,-IP63,IP71)-IP63*IP70)))),0)</f>
        <v>0</v>
      </c>
      <c r="IQ72" s="173">
        <f>IF(IQ60=1,IF(IQ61&lt;=1,IQ63+IQ67,MAX(0,MIN(IQ63+IQ67,IF(REPAY_TYPE=2,(IQ63-IQ71)/IQ61,PMT(IQ70,IQ61,-IQ63,IQ71)-IQ63*IQ70)))),0)</f>
        <v>0</v>
      </c>
      <c r="IR72" s="173">
        <f>IF(IR60=1,IF(IR61&lt;=1,IR63+IR67,MAX(0,MIN(IR63+IR67,IF(REPAY_TYPE=2,(IR63-IR71)/IR61,PMT(IR70,IR61,-IR63,IR71)-IR63*IR70)))),0)</f>
        <v>0</v>
      </c>
      <c r="IS72" s="173">
        <f>IF(IS60=1,IF(IS61&lt;=1,IS63+IS67,MAX(0,MIN(IS63+IS67,IF(REPAY_TYPE=2,(IS63-IS71)/IS61,PMT(IS70,IS61,-IS63,IS71)-IS63*IS70)))),0)</f>
        <v>0</v>
      </c>
      <c r="IT72" s="173">
        <f>IF(IT60=1,IF(IT61&lt;=1,IT63+IT67,MAX(0,MIN(IT63+IT67,IF(REPAY_TYPE=2,(IT63-IT71)/IT61,PMT(IT70,IT61,-IT63,IT71)-IT63*IT70)))),0)</f>
        <v>0</v>
      </c>
      <c r="IU72" s="173">
        <f>IF(IU60=1,IF(IU61&lt;=1,IU63+IU67,MAX(0,MIN(IU63+IU67,IF(REPAY_TYPE=2,(IU63-IU71)/IU61,PMT(IU70,IU61,-IU63,IU71)-IU63*IU70)))),0)</f>
        <v>0</v>
      </c>
      <c r="IV72" s="173">
        <f>IF(IV60=1,IF(IV61&lt;=1,IV63+IV67,MAX(0,MIN(IV63+IV67,IF(REPAY_TYPE=2,(IV63-IV71)/IV61,PMT(IV70,IV61,-IV63,IV71)-IV63*IV70)))),0)</f>
        <v>0</v>
      </c>
      <c r="IW72" s="173">
        <f>IF(IW60=1,IF(IW61&lt;=1,IW63+IW67,MAX(0,MIN(IW63+IW67,IF(REPAY_TYPE=2,(IW63-IW71)/IW61,PMT(IW70,IW61,-IW63,IW71)-IW63*IW70)))),0)</f>
        <v>0</v>
      </c>
      <c r="IX72" s="173">
        <f>IF(IX60=1,IF(IX61&lt;=1,IX63+IX67,MAX(0,MIN(IX63+IX67,IF(REPAY_TYPE=2,(IX63-IX71)/IX61,PMT(IX70,IX61,-IX63,IX71)-IX63*IX70)))),0)</f>
        <v>0</v>
      </c>
      <c r="IY72" s="173">
        <f>IF(IY60=1,IF(IY61&lt;=1,IY63+IY67,MAX(0,MIN(IY63+IY67,IF(REPAY_TYPE=2,(IY63-IY71)/IY61,PMT(IY70,IY61,-IY63,IY71)-IY63*IY70)))),0)</f>
        <v>0</v>
      </c>
      <c r="IZ72" s="173">
        <f>IF(IZ60=1,IF(IZ61&lt;=1,IZ63+IZ67,MAX(0,MIN(IZ63+IZ67,IF(REPAY_TYPE=2,(IZ63-IZ71)/IZ61,PMT(IZ70,IZ61,-IZ63,IZ71)-IZ63*IZ70)))),0)</f>
        <v>0</v>
      </c>
      <c r="JA72" s="173">
        <f>IF(JA60=1,IF(JA61&lt;=1,JA63+JA67,MAX(0,MIN(JA63+JA67,IF(REPAY_TYPE=2,(JA63-JA71)/JA61,PMT(JA70,JA61,-JA63,JA71)-JA63*JA70)))),0)</f>
        <v>0</v>
      </c>
      <c r="JB72" s="173">
        <f>IF(JB60=1,IF(JB61&lt;=1,JB63+JB67,MAX(0,MIN(JB63+JB67,IF(REPAY_TYPE=2,(JB63-JB71)/JB61,PMT(JB70,JB61,-JB63,JB71)-JB63*JB70)))),0)</f>
        <v>0</v>
      </c>
      <c r="JC72" s="173">
        <f>IF(JC60=1,IF(JC61&lt;=1,JC63+JC67,MAX(0,MIN(JC63+JC67,IF(REPAY_TYPE=2,(JC63-JC71)/JC61,PMT(JC70,JC61,-JC63,JC71)-JC63*JC70)))),0)</f>
        <v>0</v>
      </c>
      <c r="JD72" s="173">
        <f>IF(JD60=1,IF(JD61&lt;=1,JD63+JD67,MAX(0,MIN(JD63+JD67,IF(REPAY_TYPE=2,(JD63-JD71)/JD61,PMT(JD70,JD61,-JD63,JD71)-JD63*JD70)))),0)</f>
        <v>0</v>
      </c>
      <c r="JE72" s="173">
        <f>IF(JE60=1,IF(JE61&lt;=1,JE63+JE67,MAX(0,MIN(JE63+JE67,IF(REPAY_TYPE=2,(JE63-JE71)/JE61,PMT(JE70,JE61,-JE63,JE71)-JE63*JE70)))),0)</f>
        <v>0</v>
      </c>
      <c r="JF72" s="173">
        <f>IF(JF60=1,IF(JF61&lt;=1,JF63+JF67,MAX(0,MIN(JF63+JF67,IF(REPAY_TYPE=2,(JF63-JF71)/JF61,PMT(JF70,JF61,-JF63,JF71)-JF63*JF70)))),0)</f>
        <v>0</v>
      </c>
      <c r="JG72" s="173">
        <f>IF(JG60=1,IF(JG61&lt;=1,JG63+JG67,MAX(0,MIN(JG63+JG67,IF(REPAY_TYPE=2,(JG63-JG71)/JG61,PMT(JG70,JG61,-JG63,JG71)-JG63*JG70)))),0)</f>
        <v>0</v>
      </c>
      <c r="JH72" s="173">
        <f>IF(JH60=1,IF(JH61&lt;=1,JH63+JH67,MAX(0,MIN(JH63+JH67,IF(REPAY_TYPE=2,(JH63-JH71)/JH61,PMT(JH70,JH61,-JH63,JH71)-JH63*JH70)))),0)</f>
        <v>0</v>
      </c>
      <c r="JI72" s="173">
        <f>IF(JI60=1,IF(JI61&lt;=1,JI63+JI67,MAX(0,MIN(JI63+JI67,IF(REPAY_TYPE=2,(JI63-JI71)/JI61,PMT(JI70,JI61,-JI63,JI71)-JI63*JI70)))),0)</f>
        <v>0</v>
      </c>
      <c r="JJ72" s="173">
        <f>IF(JJ60=1,IF(JJ61&lt;=1,JJ63+JJ67,MAX(0,MIN(JJ63+JJ67,IF(REPAY_TYPE=2,(JJ63-JJ71)/JJ61,PMT(JJ70,JJ61,-JJ63,JJ71)-JJ63*JJ70)))),0)</f>
        <v>0</v>
      </c>
      <c r="JK72" s="173">
        <f>IF(JK60=1,IF(JK61&lt;=1,JK63+JK67,MAX(0,MIN(JK63+JK67,IF(REPAY_TYPE=2,(JK63-JK71)/JK61,PMT(JK70,JK61,-JK63,JK71)-JK63*JK70)))),0)</f>
        <v>0</v>
      </c>
      <c r="JL72" s="173">
        <f>IF(JL60=1,IF(JL61&lt;=1,JL63+JL67,MAX(0,MIN(JL63+JL67,IF(REPAY_TYPE=2,(JL63-JL71)/JL61,PMT(JL70,JL61,-JL63,JL71)-JL63*JL70)))),0)</f>
        <v>0</v>
      </c>
      <c r="JM72" s="173">
        <f>IF(JM60=1,IF(JM61&lt;=1,JM63+JM67,MAX(0,MIN(JM63+JM67,IF(REPAY_TYPE=2,(JM63-JM71)/JM61,PMT(JM70,JM61,-JM63,JM71)-JM63*JM70)))),0)</f>
        <v>0</v>
      </c>
      <c r="JN72" s="173">
        <f>IF(JN60=1,IF(JN61&lt;=1,JN63+JN67,MAX(0,MIN(JN63+JN67,IF(REPAY_TYPE=2,(JN63-JN71)/JN61,PMT(JN70,JN61,-JN63,JN71)-JN63*JN70)))),0)</f>
        <v>0</v>
      </c>
      <c r="JO72" s="173">
        <f>IF(JO60=1,IF(JO61&lt;=1,JO63+JO67,MAX(0,MIN(JO63+JO67,IF(REPAY_TYPE=2,(JO63-JO71)/JO61,PMT(JO70,JO61,-JO63,JO71)-JO63*JO70)))),0)</f>
        <v>0</v>
      </c>
      <c r="JP72" s="173">
        <f>IF(JP60=1,IF(JP61&lt;=1,JP63+JP67,MAX(0,MIN(JP63+JP67,IF(REPAY_TYPE=2,(JP63-JP71)/JP61,PMT(JP70,JP61,-JP63,JP71)-JP63*JP70)))),0)</f>
        <v>0</v>
      </c>
      <c r="JQ72" s="173">
        <f>IF(JQ60=1,IF(JQ61&lt;=1,JQ63+JQ67,MAX(0,MIN(JQ63+JQ67,IF(REPAY_TYPE=2,(JQ63-JQ71)/JQ61,PMT(JQ70,JQ61,-JQ63,JQ71)-JQ63*JQ70)))),0)</f>
        <v>0</v>
      </c>
      <c r="JR72" s="173">
        <f>IF(JR60=1,IF(JR61&lt;=1,JR63+JR67,MAX(0,MIN(JR63+JR67,IF(REPAY_TYPE=2,(JR63-JR71)/JR61,PMT(JR70,JR61,-JR63,JR71)-JR63*JR70)))),0)</f>
        <v>0</v>
      </c>
      <c r="JS72" s="173">
        <f>IF(JS60=1,IF(JS61&lt;=1,JS63+JS67,MAX(0,MIN(JS63+JS67,IF(REPAY_TYPE=2,(JS63-JS71)/JS61,PMT(JS70,JS61,-JS63,JS71)-JS63*JS70)))),0)</f>
        <v>0</v>
      </c>
      <c r="JT72" s="173">
        <f>IF(JT60=1,IF(JT61&lt;=1,JT63+JT67,MAX(0,MIN(JT63+JT67,IF(REPAY_TYPE=2,(JT63-JT71)/JT61,PMT(JT70,JT61,-JT63,JT71)-JT63*JT70)))),0)</f>
        <v>0</v>
      </c>
      <c r="JU72" s="173">
        <f>IF(JU60=1,IF(JU61&lt;=1,JU63+JU67,MAX(0,MIN(JU63+JU67,IF(REPAY_TYPE=2,(JU63-JU71)/JU61,PMT(JU70,JU61,-JU63,JU71)-JU63*JU70)))),0)</f>
        <v>0</v>
      </c>
      <c r="JV72" s="173">
        <f>IF(JV60=1,IF(JV61&lt;=1,JV63+JV67,MAX(0,MIN(JV63+JV67,IF(REPAY_TYPE=2,(JV63-JV71)/JV61,PMT(JV70,JV61,-JV63,JV71)-JV63*JV70)))),0)</f>
        <v>0</v>
      </c>
      <c r="JW72" s="173">
        <f>IF(JW60=1,IF(JW61&lt;=1,JW63+JW67,MAX(0,MIN(JW63+JW67,IF(REPAY_TYPE=2,(JW63-JW71)/JW61,PMT(JW70,JW61,-JW63,JW71)-JW63*JW70)))),0)</f>
        <v>0</v>
      </c>
      <c r="JX72" s="173">
        <f>IF(JX60=1,IF(JX61&lt;=1,JX63+JX67,MAX(0,MIN(JX63+JX67,IF(REPAY_TYPE=2,(JX63-JX71)/JX61,PMT(JX70,JX61,-JX63,JX71)-JX63*JX70)))),0)</f>
        <v>0</v>
      </c>
      <c r="JY72" s="173">
        <f>IF(JY60=1,IF(JY61&lt;=1,JY63+JY67,MAX(0,MIN(JY63+JY67,IF(REPAY_TYPE=2,(JY63-JY71)/JY61,PMT(JY70,JY61,-JY63,JY71)-JY63*JY70)))),0)</f>
        <v>0</v>
      </c>
      <c r="JZ72" s="173">
        <f>IF(JZ60=1,IF(JZ61&lt;=1,JZ63+JZ67,MAX(0,MIN(JZ63+JZ67,IF(REPAY_TYPE=2,(JZ63-JZ71)/JZ61,PMT(JZ70,JZ61,-JZ63,JZ71)-JZ63*JZ70)))),0)</f>
        <v>0</v>
      </c>
      <c r="KA72" s="173">
        <f>IF(KA60=1,IF(KA61&lt;=1,KA63+KA67,MAX(0,MIN(KA63+KA67,IF(REPAY_TYPE=2,(KA63-KA71)/KA61,PMT(KA70,KA61,-KA63,KA71)-KA63*KA70)))),0)</f>
        <v>0</v>
      </c>
      <c r="KB72" s="173">
        <f>IF(KB60=1,IF(KB61&lt;=1,KB63+KB67,MAX(0,MIN(KB63+KB67,IF(REPAY_TYPE=2,(KB63-KB71)/KB61,PMT(KB70,KB61,-KB63,KB71)-KB63*KB70)))),0)</f>
        <v>0</v>
      </c>
      <c r="KC72" s="173">
        <f>IF(KC60=1,IF(KC61&lt;=1,KC63+KC67,MAX(0,MIN(KC63+KC67,IF(REPAY_TYPE=2,(KC63-KC71)/KC61,PMT(KC70,KC61,-KC63,KC71)-KC63*KC70)))),0)</f>
        <v>0</v>
      </c>
      <c r="KD72" s="173">
        <f>IF(KD60=1,IF(KD61&lt;=1,KD63+KD67,MAX(0,MIN(KD63+KD67,IF(REPAY_TYPE=2,(KD63-KD71)/KD61,PMT(KD70,KD61,-KD63,KD71)-KD63*KD70)))),0)</f>
        <v>0</v>
      </c>
      <c r="KE72" s="173">
        <f>IF(KE60=1,IF(KE61&lt;=1,KE63+KE67,MAX(0,MIN(KE63+KE67,IF(REPAY_TYPE=2,(KE63-KE71)/KE61,PMT(KE70,KE61,-KE63,KE71)-KE63*KE70)))),0)</f>
        <v>0</v>
      </c>
      <c r="KF72" s="173">
        <f>IF(KF60=1,IF(KF61&lt;=1,KF63+KF67,MAX(0,MIN(KF63+KF67,IF(REPAY_TYPE=2,(KF63-KF71)/KF61,PMT(KF70,KF61,-KF63,KF71)-KF63*KF70)))),0)</f>
        <v>0</v>
      </c>
    </row>
    <row r="73">
      <c r="B73" s="36" t="inlineStr">
        <is>
          <t>Cash sweep base (sales proceeds)</t>
        </is>
      </c>
      <c r="C73" s="117" t="inlineStr">
        <is>
          <t>ETB</t>
        </is>
      </c>
      <c r="D73" s="169">
        <f>SUM(E73:KF73)</f>
        <v>269157312.179047</v>
      </c>
      <c r="E73" s="173">
        <f>IF(E55=1,HAND_TOT,0)+IF(AND(E55&gt;=12,MOD(E55,12)=0,E55&lt;=12*OPS_YEARS),INDEX(SALES_COLL_OPS,MAX(1,MIN(10,E55/12))),0)</f>
        <v>0</v>
      </c>
      <c r="F73" s="173">
        <f>IF(F55=1,HAND_TOT,0)+IF(AND(F55&gt;=12,MOD(F55,12)=0,F55&lt;=12*OPS_YEARS),INDEX(SALES_COLL_OPS,MAX(1,MIN(10,F55/12))),0)</f>
        <v>0</v>
      </c>
      <c r="G73" s="173">
        <f>IF(G55=1,HAND_TOT,0)+IF(AND(G55&gt;=12,MOD(G55,12)=0,G55&lt;=12*OPS_YEARS),INDEX(SALES_COLL_OPS,MAX(1,MIN(10,G55/12))),0)</f>
        <v>0</v>
      </c>
      <c r="H73" s="173">
        <f>IF(H55=1,HAND_TOT,0)+IF(AND(H55&gt;=12,MOD(H55,12)=0,H55&lt;=12*OPS_YEARS),INDEX(SALES_COLL_OPS,MAX(1,MIN(10,H55/12))),0)</f>
        <v>0</v>
      </c>
      <c r="I73" s="173">
        <f>IF(I55=1,HAND_TOT,0)+IF(AND(I55&gt;=12,MOD(I55,12)=0,I55&lt;=12*OPS_YEARS),INDEX(SALES_COLL_OPS,MAX(1,MIN(10,I55/12))),0)</f>
        <v>0</v>
      </c>
      <c r="J73" s="173">
        <f>IF(J55=1,HAND_TOT,0)+IF(AND(J55&gt;=12,MOD(J55,12)=0,J55&lt;=12*OPS_YEARS),INDEX(SALES_COLL_OPS,MAX(1,MIN(10,J55/12))),0)</f>
        <v>0</v>
      </c>
      <c r="K73" s="173">
        <f>IF(K55=1,HAND_TOT,0)+IF(AND(K55&gt;=12,MOD(K55,12)=0,K55&lt;=12*OPS_YEARS),INDEX(SALES_COLL_OPS,MAX(1,MIN(10,K55/12))),0)</f>
        <v>0</v>
      </c>
      <c r="L73" s="173">
        <f>IF(L55=1,HAND_TOT,0)+IF(AND(L55&gt;=12,MOD(L55,12)=0,L55&lt;=12*OPS_YEARS),INDEX(SALES_COLL_OPS,MAX(1,MIN(10,L55/12))),0)</f>
        <v>0</v>
      </c>
      <c r="M73" s="173">
        <f>IF(M55=1,HAND_TOT,0)+IF(AND(M55&gt;=12,MOD(M55,12)=0,M55&lt;=12*OPS_YEARS),INDEX(SALES_COLL_OPS,MAX(1,MIN(10,M55/12))),0)</f>
        <v>0</v>
      </c>
      <c r="N73" s="173">
        <f>IF(N55=1,HAND_TOT,0)+IF(AND(N55&gt;=12,MOD(N55,12)=0,N55&lt;=12*OPS_YEARS),INDEX(SALES_COLL_OPS,MAX(1,MIN(10,N55/12))),0)</f>
        <v>0</v>
      </c>
      <c r="O73" s="173">
        <f>IF(O55=1,HAND_TOT,0)+IF(AND(O55&gt;=12,MOD(O55,12)=0,O55&lt;=12*OPS_YEARS),INDEX(SALES_COLL_OPS,MAX(1,MIN(10,O55/12))),0)</f>
        <v>0</v>
      </c>
      <c r="P73" s="173">
        <f>IF(P55=1,HAND_TOT,0)+IF(AND(P55&gt;=12,MOD(P55,12)=0,P55&lt;=12*OPS_YEARS),INDEX(SALES_COLL_OPS,MAX(1,MIN(10,P55/12))),0)</f>
        <v>0</v>
      </c>
      <c r="Q73" s="173">
        <f>IF(Q55=1,HAND_TOT,0)+IF(AND(Q55&gt;=12,MOD(Q55,12)=0,Q55&lt;=12*OPS_YEARS),INDEX(SALES_COLL_OPS,MAX(1,MIN(10,Q55/12))),0)</f>
        <v>0</v>
      </c>
      <c r="R73" s="173">
        <f>IF(R55=1,HAND_TOT,0)+IF(AND(R55&gt;=12,MOD(R55,12)=0,R55&lt;=12*OPS_YEARS),INDEX(SALES_COLL_OPS,MAX(1,MIN(10,R55/12))),0)</f>
        <v>0</v>
      </c>
      <c r="S73" s="173">
        <f>IF(S55=1,HAND_TOT,0)+IF(AND(S55&gt;=12,MOD(S55,12)=0,S55&lt;=12*OPS_YEARS),INDEX(SALES_COLL_OPS,MAX(1,MIN(10,S55/12))),0)</f>
        <v>0</v>
      </c>
      <c r="T73" s="173">
        <f>IF(T55=1,HAND_TOT,0)+IF(AND(T55&gt;=12,MOD(T55,12)=0,T55&lt;=12*OPS_YEARS),INDEX(SALES_COLL_OPS,MAX(1,MIN(10,T55/12))),0)</f>
        <v>0</v>
      </c>
      <c r="U73" s="173">
        <f>IF(U55=1,HAND_TOT,0)+IF(AND(U55&gt;=12,MOD(U55,12)=0,U55&lt;=12*OPS_YEARS),INDEX(SALES_COLL_OPS,MAX(1,MIN(10,U55/12))),0)</f>
        <v>0</v>
      </c>
      <c r="V73" s="173">
        <f>IF(V55=1,HAND_TOT,0)+IF(AND(V55&gt;=12,MOD(V55,12)=0,V55&lt;=12*OPS_YEARS),INDEX(SALES_COLL_OPS,MAX(1,MIN(10,V55/12))),0)</f>
        <v>0</v>
      </c>
      <c r="W73" s="173">
        <f>IF(W55=1,HAND_TOT,0)+IF(AND(W55&gt;=12,MOD(W55,12)=0,W55&lt;=12*OPS_YEARS),INDEX(SALES_COLL_OPS,MAX(1,MIN(10,W55/12))),0)</f>
        <v>0</v>
      </c>
      <c r="X73" s="173">
        <f>IF(X55=1,HAND_TOT,0)+IF(AND(X55&gt;=12,MOD(X55,12)=0,X55&lt;=12*OPS_YEARS),INDEX(SALES_COLL_OPS,MAX(1,MIN(10,X55/12))),0)</f>
        <v>0</v>
      </c>
      <c r="Y73" s="173">
        <f>IF(Y55=1,HAND_TOT,0)+IF(AND(Y55&gt;=12,MOD(Y55,12)=0,Y55&lt;=12*OPS_YEARS),INDEX(SALES_COLL_OPS,MAX(1,MIN(10,Y55/12))),0)</f>
        <v>0</v>
      </c>
      <c r="Z73" s="173">
        <f>IF(Z55=1,HAND_TOT,0)+IF(AND(Z55&gt;=12,MOD(Z55,12)=0,Z55&lt;=12*OPS_YEARS),INDEX(SALES_COLL_OPS,MAX(1,MIN(10,Z55/12))),0)</f>
        <v>0</v>
      </c>
      <c r="AA73" s="173">
        <f>IF(AA55=1,HAND_TOT,0)+IF(AND(AA55&gt;=12,MOD(AA55,12)=0,AA55&lt;=12*OPS_YEARS),INDEX(SALES_COLL_OPS,MAX(1,MIN(10,AA55/12))),0)</f>
        <v>0</v>
      </c>
      <c r="AB73" s="173">
        <f>IF(AB55=1,HAND_TOT,0)+IF(AND(AB55&gt;=12,MOD(AB55,12)=0,AB55&lt;=12*OPS_YEARS),INDEX(SALES_COLL_OPS,MAX(1,MIN(10,AB55/12))),0)</f>
        <v>0</v>
      </c>
      <c r="AC73" s="173">
        <f>IF(AC55=1,HAND_TOT,0)+IF(AND(AC55&gt;=12,MOD(AC55,12)=0,AC55&lt;=12*OPS_YEARS),INDEX(SALES_COLL_OPS,MAX(1,MIN(10,AC55/12))),0)</f>
        <v>0</v>
      </c>
      <c r="AD73" s="173">
        <f>IF(AD55=1,HAND_TOT,0)+IF(AND(AD55&gt;=12,MOD(AD55,12)=0,AD55&lt;=12*OPS_YEARS),INDEX(SALES_COLL_OPS,MAX(1,MIN(10,AD55/12))),0)</f>
        <v>0</v>
      </c>
      <c r="AE73" s="173">
        <f>IF(AE55=1,HAND_TOT,0)+IF(AND(AE55&gt;=12,MOD(AE55,12)=0,AE55&lt;=12*OPS_YEARS),INDEX(SALES_COLL_OPS,MAX(1,MIN(10,AE55/12))),0)</f>
        <v>0</v>
      </c>
      <c r="AF73" s="173">
        <f>IF(AF55=1,HAND_TOT,0)+IF(AND(AF55&gt;=12,MOD(AF55,12)=0,AF55&lt;=12*OPS_YEARS),INDEX(SALES_COLL_OPS,MAX(1,MIN(10,AF55/12))),0)</f>
        <v>0</v>
      </c>
      <c r="AG73" s="173">
        <f>IF(AG55=1,HAND_TOT,0)+IF(AND(AG55&gt;=12,MOD(AG55,12)=0,AG55&lt;=12*OPS_YEARS),INDEX(SALES_COLL_OPS,MAX(1,MIN(10,AG55/12))),0)</f>
        <v>0</v>
      </c>
      <c r="AH73" s="173">
        <f>IF(AH55=1,HAND_TOT,0)+IF(AND(AH55&gt;=12,MOD(AH55,12)=0,AH55&lt;=12*OPS_YEARS),INDEX(SALES_COLL_OPS,MAX(1,MIN(10,AH55/12))),0)</f>
        <v>0</v>
      </c>
      <c r="AI73" s="173">
        <f>IF(AI55=1,HAND_TOT,0)+IF(AND(AI55&gt;=12,MOD(AI55,12)=0,AI55&lt;=12*OPS_YEARS),INDEX(SALES_COLL_OPS,MAX(1,MIN(10,AI55/12))),0)</f>
        <v>98231356.9790472</v>
      </c>
      <c r="AJ73" s="173">
        <f>IF(AJ55=1,HAND_TOT,0)+IF(AND(AJ55&gt;=12,MOD(AJ55,12)=0,AJ55&lt;=12*OPS_YEARS),INDEX(SALES_COLL_OPS,MAX(1,MIN(10,AJ55/12))),0)</f>
        <v>0</v>
      </c>
      <c r="AK73" s="173">
        <f>IF(AK55=1,HAND_TOT,0)+IF(AND(AK55&gt;=12,MOD(AK55,12)=0,AK55&lt;=12*OPS_YEARS),INDEX(SALES_COLL_OPS,MAX(1,MIN(10,AK55/12))),0)</f>
        <v>0</v>
      </c>
      <c r="AL73" s="173">
        <f>IF(AL55=1,HAND_TOT,0)+IF(AND(AL55&gt;=12,MOD(AL55,12)=0,AL55&lt;=12*OPS_YEARS),INDEX(SALES_COLL_OPS,MAX(1,MIN(10,AL55/12))),0)</f>
        <v>0</v>
      </c>
      <c r="AM73" s="173">
        <f>IF(AM55=1,HAND_TOT,0)+IF(AND(AM55&gt;=12,MOD(AM55,12)=0,AM55&lt;=12*OPS_YEARS),INDEX(SALES_COLL_OPS,MAX(1,MIN(10,AM55/12))),0)</f>
        <v>0</v>
      </c>
      <c r="AN73" s="173">
        <f>IF(AN55=1,HAND_TOT,0)+IF(AND(AN55&gt;=12,MOD(AN55,12)=0,AN55&lt;=12*OPS_YEARS),INDEX(SALES_COLL_OPS,MAX(1,MIN(10,AN55/12))),0)</f>
        <v>0</v>
      </c>
      <c r="AO73" s="173">
        <f>IF(AO55=1,HAND_TOT,0)+IF(AND(AO55&gt;=12,MOD(AO55,12)=0,AO55&lt;=12*OPS_YEARS),INDEX(SALES_COLL_OPS,MAX(1,MIN(10,AO55/12))),0)</f>
        <v>0</v>
      </c>
      <c r="AP73" s="173">
        <f>IF(AP55=1,HAND_TOT,0)+IF(AND(AP55&gt;=12,MOD(AP55,12)=0,AP55&lt;=12*OPS_YEARS),INDEX(SALES_COLL_OPS,MAX(1,MIN(10,AP55/12))),0)</f>
        <v>0</v>
      </c>
      <c r="AQ73" s="173">
        <f>IF(AQ55=1,HAND_TOT,0)+IF(AND(AQ55&gt;=12,MOD(AQ55,12)=0,AQ55&lt;=12*OPS_YEARS),INDEX(SALES_COLL_OPS,MAX(1,MIN(10,AQ55/12))),0)</f>
        <v>0</v>
      </c>
      <c r="AR73" s="173">
        <f>IF(AR55=1,HAND_TOT,0)+IF(AND(AR55&gt;=12,MOD(AR55,12)=0,AR55&lt;=12*OPS_YEARS),INDEX(SALES_COLL_OPS,MAX(1,MIN(10,AR55/12))),0)</f>
        <v>0</v>
      </c>
      <c r="AS73" s="173">
        <f>IF(AS55=1,HAND_TOT,0)+IF(AND(AS55&gt;=12,MOD(AS55,12)=0,AS55&lt;=12*OPS_YEARS),INDEX(SALES_COLL_OPS,MAX(1,MIN(10,AS55/12))),0)</f>
        <v>0</v>
      </c>
      <c r="AT73" s="173">
        <f>IF(AT55=1,HAND_TOT,0)+IF(AND(AT55&gt;=12,MOD(AT55,12)=0,AT55&lt;=12*OPS_YEARS),INDEX(SALES_COLL_OPS,MAX(1,MIN(10,AT55/12))),0)</f>
        <v>98611128</v>
      </c>
      <c r="AU73" s="173">
        <f>IF(AU55=1,HAND_TOT,0)+IF(AND(AU55&gt;=12,MOD(AU55,12)=0,AU55&lt;=12*OPS_YEARS),INDEX(SALES_COLL_OPS,MAX(1,MIN(10,AU55/12))),0)</f>
        <v>0</v>
      </c>
      <c r="AV73" s="173">
        <f>IF(AV55=1,HAND_TOT,0)+IF(AND(AV55&gt;=12,MOD(AV55,12)=0,AV55&lt;=12*OPS_YEARS),INDEX(SALES_COLL_OPS,MAX(1,MIN(10,AV55/12))),0)</f>
        <v>0</v>
      </c>
      <c r="AW73" s="173">
        <f>IF(AW55=1,HAND_TOT,0)+IF(AND(AW55&gt;=12,MOD(AW55,12)=0,AW55&lt;=12*OPS_YEARS),INDEX(SALES_COLL_OPS,MAX(1,MIN(10,AW55/12))),0)</f>
        <v>0</v>
      </c>
      <c r="AX73" s="173">
        <f>IF(AX55=1,HAND_TOT,0)+IF(AND(AX55&gt;=12,MOD(AX55,12)=0,AX55&lt;=12*OPS_YEARS),INDEX(SALES_COLL_OPS,MAX(1,MIN(10,AX55/12))),0)</f>
        <v>0</v>
      </c>
      <c r="AY73" s="173">
        <f>IF(AY55=1,HAND_TOT,0)+IF(AND(AY55&gt;=12,MOD(AY55,12)=0,AY55&lt;=12*OPS_YEARS),INDEX(SALES_COLL_OPS,MAX(1,MIN(10,AY55/12))),0)</f>
        <v>0</v>
      </c>
      <c r="AZ73" s="173">
        <f>IF(AZ55=1,HAND_TOT,0)+IF(AND(AZ55&gt;=12,MOD(AZ55,12)=0,AZ55&lt;=12*OPS_YEARS),INDEX(SALES_COLL_OPS,MAX(1,MIN(10,AZ55/12))),0)</f>
        <v>0</v>
      </c>
      <c r="BA73" s="173">
        <f>IF(BA55=1,HAND_TOT,0)+IF(AND(BA55&gt;=12,MOD(BA55,12)=0,BA55&lt;=12*OPS_YEARS),INDEX(SALES_COLL_OPS,MAX(1,MIN(10,BA55/12))),0)</f>
        <v>0</v>
      </c>
      <c r="BB73" s="173">
        <f>IF(BB55=1,HAND_TOT,0)+IF(AND(BB55&gt;=12,MOD(BB55,12)=0,BB55&lt;=12*OPS_YEARS),INDEX(SALES_COLL_OPS,MAX(1,MIN(10,BB55/12))),0)</f>
        <v>0</v>
      </c>
      <c r="BC73" s="173">
        <f>IF(BC55=1,HAND_TOT,0)+IF(AND(BC55&gt;=12,MOD(BC55,12)=0,BC55&lt;=12*OPS_YEARS),INDEX(SALES_COLL_OPS,MAX(1,MIN(10,BC55/12))),0)</f>
        <v>0</v>
      </c>
      <c r="BD73" s="173">
        <f>IF(BD55=1,HAND_TOT,0)+IF(AND(BD55&gt;=12,MOD(BD55,12)=0,BD55&lt;=12*OPS_YEARS),INDEX(SALES_COLL_OPS,MAX(1,MIN(10,BD55/12))),0)</f>
        <v>0</v>
      </c>
      <c r="BE73" s="173">
        <f>IF(BE55=1,HAND_TOT,0)+IF(AND(BE55&gt;=12,MOD(BE55,12)=0,BE55&lt;=12*OPS_YEARS),INDEX(SALES_COLL_OPS,MAX(1,MIN(10,BE55/12))),0)</f>
        <v>0</v>
      </c>
      <c r="BF73" s="173">
        <f>IF(BF55=1,HAND_TOT,0)+IF(AND(BF55&gt;=12,MOD(BF55,12)=0,BF55&lt;=12*OPS_YEARS),INDEX(SALES_COLL_OPS,MAX(1,MIN(10,BF55/12))),0)</f>
        <v>72314827.2</v>
      </c>
      <c r="BG73" s="173">
        <f>IF(BG55=1,HAND_TOT,0)+IF(AND(BG55&gt;=12,MOD(BG55,12)=0,BG55&lt;=12*OPS_YEARS),INDEX(SALES_COLL_OPS,MAX(1,MIN(10,BG55/12))),0)</f>
        <v>0</v>
      </c>
      <c r="BH73" s="173">
        <f>IF(BH55=1,HAND_TOT,0)+IF(AND(BH55&gt;=12,MOD(BH55,12)=0,BH55&lt;=12*OPS_YEARS),INDEX(SALES_COLL_OPS,MAX(1,MIN(10,BH55/12))),0)</f>
        <v>0</v>
      </c>
      <c r="BI73" s="173">
        <f>IF(BI55=1,HAND_TOT,0)+IF(AND(BI55&gt;=12,MOD(BI55,12)=0,BI55&lt;=12*OPS_YEARS),INDEX(SALES_COLL_OPS,MAX(1,MIN(10,BI55/12))),0)</f>
        <v>0</v>
      </c>
      <c r="BJ73" s="173">
        <f>IF(BJ55=1,HAND_TOT,0)+IF(AND(BJ55&gt;=12,MOD(BJ55,12)=0,BJ55&lt;=12*OPS_YEARS),INDEX(SALES_COLL_OPS,MAX(1,MIN(10,BJ55/12))),0)</f>
        <v>0</v>
      </c>
      <c r="BK73" s="173">
        <f>IF(BK55=1,HAND_TOT,0)+IF(AND(BK55&gt;=12,MOD(BK55,12)=0,BK55&lt;=12*OPS_YEARS),INDEX(SALES_COLL_OPS,MAX(1,MIN(10,BK55/12))),0)</f>
        <v>0</v>
      </c>
      <c r="BL73" s="173">
        <f>IF(BL55=1,HAND_TOT,0)+IF(AND(BL55&gt;=12,MOD(BL55,12)=0,BL55&lt;=12*OPS_YEARS),INDEX(SALES_COLL_OPS,MAX(1,MIN(10,BL55/12))),0)</f>
        <v>0</v>
      </c>
      <c r="BM73" s="173">
        <f>IF(BM55=1,HAND_TOT,0)+IF(AND(BM55&gt;=12,MOD(BM55,12)=0,BM55&lt;=12*OPS_YEARS),INDEX(SALES_COLL_OPS,MAX(1,MIN(10,BM55/12))),0)</f>
        <v>0</v>
      </c>
      <c r="BN73" s="173">
        <f>IF(BN55=1,HAND_TOT,0)+IF(AND(BN55&gt;=12,MOD(BN55,12)=0,BN55&lt;=12*OPS_YEARS),INDEX(SALES_COLL_OPS,MAX(1,MIN(10,BN55/12))),0)</f>
        <v>0</v>
      </c>
      <c r="BO73" s="173">
        <f>IF(BO55=1,HAND_TOT,0)+IF(AND(BO55&gt;=12,MOD(BO55,12)=0,BO55&lt;=12*OPS_YEARS),INDEX(SALES_COLL_OPS,MAX(1,MIN(10,BO55/12))),0)</f>
        <v>0</v>
      </c>
      <c r="BP73" s="173">
        <f>IF(BP55=1,HAND_TOT,0)+IF(AND(BP55&gt;=12,MOD(BP55,12)=0,BP55&lt;=12*OPS_YEARS),INDEX(SALES_COLL_OPS,MAX(1,MIN(10,BP55/12))),0)</f>
        <v>0</v>
      </c>
      <c r="BQ73" s="173">
        <f>IF(BQ55=1,HAND_TOT,0)+IF(AND(BQ55&gt;=12,MOD(BQ55,12)=0,BQ55&lt;=12*OPS_YEARS),INDEX(SALES_COLL_OPS,MAX(1,MIN(10,BQ55/12))),0)</f>
        <v>0</v>
      </c>
      <c r="BR73" s="173">
        <f>IF(BR55=1,HAND_TOT,0)+IF(AND(BR55&gt;=12,MOD(BR55,12)=0,BR55&lt;=12*OPS_YEARS),INDEX(SALES_COLL_OPS,MAX(1,MIN(10,BR55/12))),0)</f>
        <v>0</v>
      </c>
      <c r="BS73" s="173">
        <f>IF(BS55=1,HAND_TOT,0)+IF(AND(BS55&gt;=12,MOD(BS55,12)=0,BS55&lt;=12*OPS_YEARS),INDEX(SALES_COLL_OPS,MAX(1,MIN(10,BS55/12))),0)</f>
        <v>0</v>
      </c>
      <c r="BT73" s="173">
        <f>IF(BT55=1,HAND_TOT,0)+IF(AND(BT55&gt;=12,MOD(BT55,12)=0,BT55&lt;=12*OPS_YEARS),INDEX(SALES_COLL_OPS,MAX(1,MIN(10,BT55/12))),0)</f>
        <v>0</v>
      </c>
      <c r="BU73" s="173">
        <f>IF(BU55=1,HAND_TOT,0)+IF(AND(BU55&gt;=12,MOD(BU55,12)=0,BU55&lt;=12*OPS_YEARS),INDEX(SALES_COLL_OPS,MAX(1,MIN(10,BU55/12))),0)</f>
        <v>0</v>
      </c>
      <c r="BV73" s="173">
        <f>IF(BV55=1,HAND_TOT,0)+IF(AND(BV55&gt;=12,MOD(BV55,12)=0,BV55&lt;=12*OPS_YEARS),INDEX(SALES_COLL_OPS,MAX(1,MIN(10,BV55/12))),0)</f>
        <v>0</v>
      </c>
      <c r="BW73" s="173">
        <f>IF(BW55=1,HAND_TOT,0)+IF(AND(BW55&gt;=12,MOD(BW55,12)=0,BW55&lt;=12*OPS_YEARS),INDEX(SALES_COLL_OPS,MAX(1,MIN(10,BW55/12))),0)</f>
        <v>0</v>
      </c>
      <c r="BX73" s="173">
        <f>IF(BX55=1,HAND_TOT,0)+IF(AND(BX55&gt;=12,MOD(BX55,12)=0,BX55&lt;=12*OPS_YEARS),INDEX(SALES_COLL_OPS,MAX(1,MIN(10,BX55/12))),0)</f>
        <v>0</v>
      </c>
      <c r="BY73" s="173">
        <f>IF(BY55=1,HAND_TOT,0)+IF(AND(BY55&gt;=12,MOD(BY55,12)=0,BY55&lt;=12*OPS_YEARS),INDEX(SALES_COLL_OPS,MAX(1,MIN(10,BY55/12))),0)</f>
        <v>0</v>
      </c>
      <c r="BZ73" s="173">
        <f>IF(BZ55=1,HAND_TOT,0)+IF(AND(BZ55&gt;=12,MOD(BZ55,12)=0,BZ55&lt;=12*OPS_YEARS),INDEX(SALES_COLL_OPS,MAX(1,MIN(10,BZ55/12))),0)</f>
        <v>0</v>
      </c>
      <c r="CA73" s="173">
        <f>IF(CA55=1,HAND_TOT,0)+IF(AND(CA55&gt;=12,MOD(CA55,12)=0,CA55&lt;=12*OPS_YEARS),INDEX(SALES_COLL_OPS,MAX(1,MIN(10,CA55/12))),0)</f>
        <v>0</v>
      </c>
      <c r="CB73" s="173">
        <f>IF(CB55=1,HAND_TOT,0)+IF(AND(CB55&gt;=12,MOD(CB55,12)=0,CB55&lt;=12*OPS_YEARS),INDEX(SALES_COLL_OPS,MAX(1,MIN(10,CB55/12))),0)</f>
        <v>0</v>
      </c>
      <c r="CC73" s="173">
        <f>IF(CC55=1,HAND_TOT,0)+IF(AND(CC55&gt;=12,MOD(CC55,12)=0,CC55&lt;=12*OPS_YEARS),INDEX(SALES_COLL_OPS,MAX(1,MIN(10,CC55/12))),0)</f>
        <v>0</v>
      </c>
      <c r="CD73" s="173">
        <f>IF(CD55=1,HAND_TOT,0)+IF(AND(CD55&gt;=12,MOD(CD55,12)=0,CD55&lt;=12*OPS_YEARS),INDEX(SALES_COLL_OPS,MAX(1,MIN(10,CD55/12))),0)</f>
        <v>0</v>
      </c>
      <c r="CE73" s="173">
        <f>IF(CE55=1,HAND_TOT,0)+IF(AND(CE55&gt;=12,MOD(CE55,12)=0,CE55&lt;=12*OPS_YEARS),INDEX(SALES_COLL_OPS,MAX(1,MIN(10,CE55/12))),0)</f>
        <v>0</v>
      </c>
      <c r="CF73" s="173">
        <f>IF(CF55=1,HAND_TOT,0)+IF(AND(CF55&gt;=12,MOD(CF55,12)=0,CF55&lt;=12*OPS_YEARS),INDEX(SALES_COLL_OPS,MAX(1,MIN(10,CF55/12))),0)</f>
        <v>0</v>
      </c>
      <c r="CG73" s="173">
        <f>IF(CG55=1,HAND_TOT,0)+IF(AND(CG55&gt;=12,MOD(CG55,12)=0,CG55&lt;=12*OPS_YEARS),INDEX(SALES_COLL_OPS,MAX(1,MIN(10,CG55/12))),0)</f>
        <v>0</v>
      </c>
      <c r="CH73" s="173">
        <f>IF(CH55=1,HAND_TOT,0)+IF(AND(CH55&gt;=12,MOD(CH55,12)=0,CH55&lt;=12*OPS_YEARS),INDEX(SALES_COLL_OPS,MAX(1,MIN(10,CH55/12))),0)</f>
        <v>0</v>
      </c>
      <c r="CI73" s="173">
        <f>IF(CI55=1,HAND_TOT,0)+IF(AND(CI55&gt;=12,MOD(CI55,12)=0,CI55&lt;=12*OPS_YEARS),INDEX(SALES_COLL_OPS,MAX(1,MIN(10,CI55/12))),0)</f>
        <v>0</v>
      </c>
      <c r="CJ73" s="173">
        <f>IF(CJ55=1,HAND_TOT,0)+IF(AND(CJ55&gt;=12,MOD(CJ55,12)=0,CJ55&lt;=12*OPS_YEARS),INDEX(SALES_COLL_OPS,MAX(1,MIN(10,CJ55/12))),0)</f>
        <v>0</v>
      </c>
      <c r="CK73" s="173">
        <f>IF(CK55=1,HAND_TOT,0)+IF(AND(CK55&gt;=12,MOD(CK55,12)=0,CK55&lt;=12*OPS_YEARS),INDEX(SALES_COLL_OPS,MAX(1,MIN(10,CK55/12))),0)</f>
        <v>0</v>
      </c>
      <c r="CL73" s="173">
        <f>IF(CL55=1,HAND_TOT,0)+IF(AND(CL55&gt;=12,MOD(CL55,12)=0,CL55&lt;=12*OPS_YEARS),INDEX(SALES_COLL_OPS,MAX(1,MIN(10,CL55/12))),0)</f>
        <v>0</v>
      </c>
      <c r="CM73" s="173">
        <f>IF(CM55=1,HAND_TOT,0)+IF(AND(CM55&gt;=12,MOD(CM55,12)=0,CM55&lt;=12*OPS_YEARS),INDEX(SALES_COLL_OPS,MAX(1,MIN(10,CM55/12))),0)</f>
        <v>0</v>
      </c>
      <c r="CN73" s="173">
        <f>IF(CN55=1,HAND_TOT,0)+IF(AND(CN55&gt;=12,MOD(CN55,12)=0,CN55&lt;=12*OPS_YEARS),INDEX(SALES_COLL_OPS,MAX(1,MIN(10,CN55/12))),0)</f>
        <v>0</v>
      </c>
      <c r="CO73" s="173">
        <f>IF(CO55=1,HAND_TOT,0)+IF(AND(CO55&gt;=12,MOD(CO55,12)=0,CO55&lt;=12*OPS_YEARS),INDEX(SALES_COLL_OPS,MAX(1,MIN(10,CO55/12))),0)</f>
        <v>0</v>
      </c>
      <c r="CP73" s="173">
        <f>IF(CP55=1,HAND_TOT,0)+IF(AND(CP55&gt;=12,MOD(CP55,12)=0,CP55&lt;=12*OPS_YEARS),INDEX(SALES_COLL_OPS,MAX(1,MIN(10,CP55/12))),0)</f>
        <v>0</v>
      </c>
      <c r="CQ73" s="173">
        <f>IF(CQ55=1,HAND_TOT,0)+IF(AND(CQ55&gt;=12,MOD(CQ55,12)=0,CQ55&lt;=12*OPS_YEARS),INDEX(SALES_COLL_OPS,MAX(1,MIN(10,CQ55/12))),0)</f>
        <v>0</v>
      </c>
      <c r="CR73" s="173">
        <f>IF(CR55=1,HAND_TOT,0)+IF(AND(CR55&gt;=12,MOD(CR55,12)=0,CR55&lt;=12*OPS_YEARS),INDEX(SALES_COLL_OPS,MAX(1,MIN(10,CR55/12))),0)</f>
        <v>0</v>
      </c>
      <c r="CS73" s="173">
        <f>IF(CS55=1,HAND_TOT,0)+IF(AND(CS55&gt;=12,MOD(CS55,12)=0,CS55&lt;=12*OPS_YEARS),INDEX(SALES_COLL_OPS,MAX(1,MIN(10,CS55/12))),0)</f>
        <v>0</v>
      </c>
      <c r="CT73" s="173">
        <f>IF(CT55=1,HAND_TOT,0)+IF(AND(CT55&gt;=12,MOD(CT55,12)=0,CT55&lt;=12*OPS_YEARS),INDEX(SALES_COLL_OPS,MAX(1,MIN(10,CT55/12))),0)</f>
        <v>0</v>
      </c>
      <c r="CU73" s="173">
        <f>IF(CU55=1,HAND_TOT,0)+IF(AND(CU55&gt;=12,MOD(CU55,12)=0,CU55&lt;=12*OPS_YEARS),INDEX(SALES_COLL_OPS,MAX(1,MIN(10,CU55/12))),0)</f>
        <v>0</v>
      </c>
      <c r="CV73" s="173">
        <f>IF(CV55=1,HAND_TOT,0)+IF(AND(CV55&gt;=12,MOD(CV55,12)=0,CV55&lt;=12*OPS_YEARS),INDEX(SALES_COLL_OPS,MAX(1,MIN(10,CV55/12))),0)</f>
        <v>0</v>
      </c>
      <c r="CW73" s="173">
        <f>IF(CW55=1,HAND_TOT,0)+IF(AND(CW55&gt;=12,MOD(CW55,12)=0,CW55&lt;=12*OPS_YEARS),INDEX(SALES_COLL_OPS,MAX(1,MIN(10,CW55/12))),0)</f>
        <v>0</v>
      </c>
      <c r="CX73" s="173">
        <f>IF(CX55=1,HAND_TOT,0)+IF(AND(CX55&gt;=12,MOD(CX55,12)=0,CX55&lt;=12*OPS_YEARS),INDEX(SALES_COLL_OPS,MAX(1,MIN(10,CX55/12))),0)</f>
        <v>0</v>
      </c>
      <c r="CY73" s="173">
        <f>IF(CY55=1,HAND_TOT,0)+IF(AND(CY55&gt;=12,MOD(CY55,12)=0,CY55&lt;=12*OPS_YEARS),INDEX(SALES_COLL_OPS,MAX(1,MIN(10,CY55/12))),0)</f>
        <v>0</v>
      </c>
      <c r="CZ73" s="173">
        <f>IF(CZ55=1,HAND_TOT,0)+IF(AND(CZ55&gt;=12,MOD(CZ55,12)=0,CZ55&lt;=12*OPS_YEARS),INDEX(SALES_COLL_OPS,MAX(1,MIN(10,CZ55/12))),0)</f>
        <v>0</v>
      </c>
      <c r="DA73" s="173">
        <f>IF(DA55=1,HAND_TOT,0)+IF(AND(DA55&gt;=12,MOD(DA55,12)=0,DA55&lt;=12*OPS_YEARS),INDEX(SALES_COLL_OPS,MAX(1,MIN(10,DA55/12))),0)</f>
        <v>0</v>
      </c>
      <c r="DB73" s="173">
        <f>IF(DB55=1,HAND_TOT,0)+IF(AND(DB55&gt;=12,MOD(DB55,12)=0,DB55&lt;=12*OPS_YEARS),INDEX(SALES_COLL_OPS,MAX(1,MIN(10,DB55/12))),0)</f>
        <v>0</v>
      </c>
      <c r="DC73" s="173">
        <f>IF(DC55=1,HAND_TOT,0)+IF(AND(DC55&gt;=12,MOD(DC55,12)=0,DC55&lt;=12*OPS_YEARS),INDEX(SALES_COLL_OPS,MAX(1,MIN(10,DC55/12))),0)</f>
        <v>0</v>
      </c>
      <c r="DD73" s="173">
        <f>IF(DD55=1,HAND_TOT,0)+IF(AND(DD55&gt;=12,MOD(DD55,12)=0,DD55&lt;=12*OPS_YEARS),INDEX(SALES_COLL_OPS,MAX(1,MIN(10,DD55/12))),0)</f>
        <v>0</v>
      </c>
      <c r="DE73" s="173">
        <f>IF(DE55=1,HAND_TOT,0)+IF(AND(DE55&gt;=12,MOD(DE55,12)=0,DE55&lt;=12*OPS_YEARS),INDEX(SALES_COLL_OPS,MAX(1,MIN(10,DE55/12))),0)</f>
        <v>0</v>
      </c>
      <c r="DF73" s="173">
        <f>IF(DF55=1,HAND_TOT,0)+IF(AND(DF55&gt;=12,MOD(DF55,12)=0,DF55&lt;=12*OPS_YEARS),INDEX(SALES_COLL_OPS,MAX(1,MIN(10,DF55/12))),0)</f>
        <v>0</v>
      </c>
      <c r="DG73" s="173">
        <f>IF(DG55=1,HAND_TOT,0)+IF(AND(DG55&gt;=12,MOD(DG55,12)=0,DG55&lt;=12*OPS_YEARS),INDEX(SALES_COLL_OPS,MAX(1,MIN(10,DG55/12))),0)</f>
        <v>0</v>
      </c>
      <c r="DH73" s="173">
        <f>IF(DH55=1,HAND_TOT,0)+IF(AND(DH55&gt;=12,MOD(DH55,12)=0,DH55&lt;=12*OPS_YEARS),INDEX(SALES_COLL_OPS,MAX(1,MIN(10,DH55/12))),0)</f>
        <v>0</v>
      </c>
      <c r="DI73" s="173">
        <f>IF(DI55=1,HAND_TOT,0)+IF(AND(DI55&gt;=12,MOD(DI55,12)=0,DI55&lt;=12*OPS_YEARS),INDEX(SALES_COLL_OPS,MAX(1,MIN(10,DI55/12))),0)</f>
        <v>0</v>
      </c>
      <c r="DJ73" s="173">
        <f>IF(DJ55=1,HAND_TOT,0)+IF(AND(DJ55&gt;=12,MOD(DJ55,12)=0,DJ55&lt;=12*OPS_YEARS),INDEX(SALES_COLL_OPS,MAX(1,MIN(10,DJ55/12))),0)</f>
        <v>0</v>
      </c>
      <c r="DK73" s="173">
        <f>IF(DK55=1,HAND_TOT,0)+IF(AND(DK55&gt;=12,MOD(DK55,12)=0,DK55&lt;=12*OPS_YEARS),INDEX(SALES_COLL_OPS,MAX(1,MIN(10,DK55/12))),0)</f>
        <v>0</v>
      </c>
      <c r="DL73" s="173">
        <f>IF(DL55=1,HAND_TOT,0)+IF(AND(DL55&gt;=12,MOD(DL55,12)=0,DL55&lt;=12*OPS_YEARS),INDEX(SALES_COLL_OPS,MAX(1,MIN(10,DL55/12))),0)</f>
        <v>0</v>
      </c>
      <c r="DM73" s="173">
        <f>IF(DM55=1,HAND_TOT,0)+IF(AND(DM55&gt;=12,MOD(DM55,12)=0,DM55&lt;=12*OPS_YEARS),INDEX(SALES_COLL_OPS,MAX(1,MIN(10,DM55/12))),0)</f>
        <v>0</v>
      </c>
      <c r="DN73" s="173">
        <f>IF(DN55=1,HAND_TOT,0)+IF(AND(DN55&gt;=12,MOD(DN55,12)=0,DN55&lt;=12*OPS_YEARS),INDEX(SALES_COLL_OPS,MAX(1,MIN(10,DN55/12))),0)</f>
        <v>0</v>
      </c>
      <c r="DO73" s="173">
        <f>IF(DO55=1,HAND_TOT,0)+IF(AND(DO55&gt;=12,MOD(DO55,12)=0,DO55&lt;=12*OPS_YEARS),INDEX(SALES_COLL_OPS,MAX(1,MIN(10,DO55/12))),0)</f>
        <v>0</v>
      </c>
      <c r="DP73" s="173">
        <f>IF(DP55=1,HAND_TOT,0)+IF(AND(DP55&gt;=12,MOD(DP55,12)=0,DP55&lt;=12*OPS_YEARS),INDEX(SALES_COLL_OPS,MAX(1,MIN(10,DP55/12))),0)</f>
        <v>0</v>
      </c>
      <c r="DQ73" s="173">
        <f>IF(DQ55=1,HAND_TOT,0)+IF(AND(DQ55&gt;=12,MOD(DQ55,12)=0,DQ55&lt;=12*OPS_YEARS),INDEX(SALES_COLL_OPS,MAX(1,MIN(10,DQ55/12))),0)</f>
        <v>0</v>
      </c>
      <c r="DR73" s="173">
        <f>IF(DR55=1,HAND_TOT,0)+IF(AND(DR55&gt;=12,MOD(DR55,12)=0,DR55&lt;=12*OPS_YEARS),INDEX(SALES_COLL_OPS,MAX(1,MIN(10,DR55/12))),0)</f>
        <v>0</v>
      </c>
      <c r="DS73" s="173">
        <f>IF(DS55=1,HAND_TOT,0)+IF(AND(DS55&gt;=12,MOD(DS55,12)=0,DS55&lt;=12*OPS_YEARS),INDEX(SALES_COLL_OPS,MAX(1,MIN(10,DS55/12))),0)</f>
        <v>0</v>
      </c>
      <c r="DT73" s="173">
        <f>IF(DT55=1,HAND_TOT,0)+IF(AND(DT55&gt;=12,MOD(DT55,12)=0,DT55&lt;=12*OPS_YEARS),INDEX(SALES_COLL_OPS,MAX(1,MIN(10,DT55/12))),0)</f>
        <v>0</v>
      </c>
      <c r="DU73" s="173">
        <f>IF(DU55=1,HAND_TOT,0)+IF(AND(DU55&gt;=12,MOD(DU55,12)=0,DU55&lt;=12*OPS_YEARS),INDEX(SALES_COLL_OPS,MAX(1,MIN(10,DU55/12))),0)</f>
        <v>0</v>
      </c>
      <c r="DV73" s="173">
        <f>IF(DV55=1,HAND_TOT,0)+IF(AND(DV55&gt;=12,MOD(DV55,12)=0,DV55&lt;=12*OPS_YEARS),INDEX(SALES_COLL_OPS,MAX(1,MIN(10,DV55/12))),0)</f>
        <v>0</v>
      </c>
      <c r="DW73" s="173">
        <f>IF(DW55=1,HAND_TOT,0)+IF(AND(DW55&gt;=12,MOD(DW55,12)=0,DW55&lt;=12*OPS_YEARS),INDEX(SALES_COLL_OPS,MAX(1,MIN(10,DW55/12))),0)</f>
        <v>0</v>
      </c>
      <c r="DX73" s="173">
        <f>IF(DX55=1,HAND_TOT,0)+IF(AND(DX55&gt;=12,MOD(DX55,12)=0,DX55&lt;=12*OPS_YEARS),INDEX(SALES_COLL_OPS,MAX(1,MIN(10,DX55/12))),0)</f>
        <v>0</v>
      </c>
      <c r="DY73" s="173">
        <f>IF(DY55=1,HAND_TOT,0)+IF(AND(DY55&gt;=12,MOD(DY55,12)=0,DY55&lt;=12*OPS_YEARS),INDEX(SALES_COLL_OPS,MAX(1,MIN(10,DY55/12))),0)</f>
        <v>0</v>
      </c>
      <c r="DZ73" s="173">
        <f>IF(DZ55=1,HAND_TOT,0)+IF(AND(DZ55&gt;=12,MOD(DZ55,12)=0,DZ55&lt;=12*OPS_YEARS),INDEX(SALES_COLL_OPS,MAX(1,MIN(10,DZ55/12))),0)</f>
        <v>0</v>
      </c>
      <c r="EA73" s="173">
        <f>IF(EA55=1,HAND_TOT,0)+IF(AND(EA55&gt;=12,MOD(EA55,12)=0,EA55&lt;=12*OPS_YEARS),INDEX(SALES_COLL_OPS,MAX(1,MIN(10,EA55/12))),0)</f>
        <v>0</v>
      </c>
      <c r="EB73" s="173">
        <f>IF(EB55=1,HAND_TOT,0)+IF(AND(EB55&gt;=12,MOD(EB55,12)=0,EB55&lt;=12*OPS_YEARS),INDEX(SALES_COLL_OPS,MAX(1,MIN(10,EB55/12))),0)</f>
        <v>0</v>
      </c>
      <c r="EC73" s="173">
        <f>IF(EC55=1,HAND_TOT,0)+IF(AND(EC55&gt;=12,MOD(EC55,12)=0,EC55&lt;=12*OPS_YEARS),INDEX(SALES_COLL_OPS,MAX(1,MIN(10,EC55/12))),0)</f>
        <v>0</v>
      </c>
      <c r="ED73" s="173">
        <f>IF(ED55=1,HAND_TOT,0)+IF(AND(ED55&gt;=12,MOD(ED55,12)=0,ED55&lt;=12*OPS_YEARS),INDEX(SALES_COLL_OPS,MAX(1,MIN(10,ED55/12))),0)</f>
        <v>0</v>
      </c>
      <c r="EE73" s="173">
        <f>IF(EE55=1,HAND_TOT,0)+IF(AND(EE55&gt;=12,MOD(EE55,12)=0,EE55&lt;=12*OPS_YEARS),INDEX(SALES_COLL_OPS,MAX(1,MIN(10,EE55/12))),0)</f>
        <v>0</v>
      </c>
      <c r="EF73" s="173">
        <f>IF(EF55=1,HAND_TOT,0)+IF(AND(EF55&gt;=12,MOD(EF55,12)=0,EF55&lt;=12*OPS_YEARS),INDEX(SALES_COLL_OPS,MAX(1,MIN(10,EF55/12))),0)</f>
        <v>0</v>
      </c>
      <c r="EG73" s="173">
        <f>IF(EG55=1,HAND_TOT,0)+IF(AND(EG55&gt;=12,MOD(EG55,12)=0,EG55&lt;=12*OPS_YEARS),INDEX(SALES_COLL_OPS,MAX(1,MIN(10,EG55/12))),0)</f>
        <v>0</v>
      </c>
      <c r="EH73" s="173">
        <f>IF(EH55=1,HAND_TOT,0)+IF(AND(EH55&gt;=12,MOD(EH55,12)=0,EH55&lt;=12*OPS_YEARS),INDEX(SALES_COLL_OPS,MAX(1,MIN(10,EH55/12))),0)</f>
        <v>0</v>
      </c>
      <c r="EI73" s="173">
        <f>IF(EI55=1,HAND_TOT,0)+IF(AND(EI55&gt;=12,MOD(EI55,12)=0,EI55&lt;=12*OPS_YEARS),INDEX(SALES_COLL_OPS,MAX(1,MIN(10,EI55/12))),0)</f>
        <v>0</v>
      </c>
      <c r="EJ73" s="173">
        <f>IF(EJ55=1,HAND_TOT,0)+IF(AND(EJ55&gt;=12,MOD(EJ55,12)=0,EJ55&lt;=12*OPS_YEARS),INDEX(SALES_COLL_OPS,MAX(1,MIN(10,EJ55/12))),0)</f>
        <v>0</v>
      </c>
      <c r="EK73" s="173">
        <f>IF(EK55=1,HAND_TOT,0)+IF(AND(EK55&gt;=12,MOD(EK55,12)=0,EK55&lt;=12*OPS_YEARS),INDEX(SALES_COLL_OPS,MAX(1,MIN(10,EK55/12))),0)</f>
        <v>0</v>
      </c>
      <c r="EL73" s="173">
        <f>IF(EL55=1,HAND_TOT,0)+IF(AND(EL55&gt;=12,MOD(EL55,12)=0,EL55&lt;=12*OPS_YEARS),INDEX(SALES_COLL_OPS,MAX(1,MIN(10,EL55/12))),0)</f>
        <v>0</v>
      </c>
      <c r="EM73" s="173">
        <f>IF(EM55=1,HAND_TOT,0)+IF(AND(EM55&gt;=12,MOD(EM55,12)=0,EM55&lt;=12*OPS_YEARS),INDEX(SALES_COLL_OPS,MAX(1,MIN(10,EM55/12))),0)</f>
        <v>0</v>
      </c>
      <c r="EN73" s="173">
        <f>IF(EN55=1,HAND_TOT,0)+IF(AND(EN55&gt;=12,MOD(EN55,12)=0,EN55&lt;=12*OPS_YEARS),INDEX(SALES_COLL_OPS,MAX(1,MIN(10,EN55/12))),0)</f>
        <v>0</v>
      </c>
      <c r="EO73" s="173">
        <f>IF(EO55=1,HAND_TOT,0)+IF(AND(EO55&gt;=12,MOD(EO55,12)=0,EO55&lt;=12*OPS_YEARS),INDEX(SALES_COLL_OPS,MAX(1,MIN(10,EO55/12))),0)</f>
        <v>0</v>
      </c>
      <c r="EP73" s="173">
        <f>IF(EP55=1,HAND_TOT,0)+IF(AND(EP55&gt;=12,MOD(EP55,12)=0,EP55&lt;=12*OPS_YEARS),INDEX(SALES_COLL_OPS,MAX(1,MIN(10,EP55/12))),0)</f>
        <v>0</v>
      </c>
      <c r="EQ73" s="173">
        <f>IF(EQ55=1,HAND_TOT,0)+IF(AND(EQ55&gt;=12,MOD(EQ55,12)=0,EQ55&lt;=12*OPS_YEARS),INDEX(SALES_COLL_OPS,MAX(1,MIN(10,EQ55/12))),0)</f>
        <v>0</v>
      </c>
      <c r="ER73" s="173">
        <f>IF(ER55=1,HAND_TOT,0)+IF(AND(ER55&gt;=12,MOD(ER55,12)=0,ER55&lt;=12*OPS_YEARS),INDEX(SALES_COLL_OPS,MAX(1,MIN(10,ER55/12))),0)</f>
        <v>0</v>
      </c>
      <c r="ES73" s="173">
        <f>IF(ES55=1,HAND_TOT,0)+IF(AND(ES55&gt;=12,MOD(ES55,12)=0,ES55&lt;=12*OPS_YEARS),INDEX(SALES_COLL_OPS,MAX(1,MIN(10,ES55/12))),0)</f>
        <v>0</v>
      </c>
      <c r="ET73" s="173">
        <f>IF(ET55=1,HAND_TOT,0)+IF(AND(ET55&gt;=12,MOD(ET55,12)=0,ET55&lt;=12*OPS_YEARS),INDEX(SALES_COLL_OPS,MAX(1,MIN(10,ET55/12))),0)</f>
        <v>0</v>
      </c>
      <c r="EU73" s="173">
        <f>IF(EU55=1,HAND_TOT,0)+IF(AND(EU55&gt;=12,MOD(EU55,12)=0,EU55&lt;=12*OPS_YEARS),INDEX(SALES_COLL_OPS,MAX(1,MIN(10,EU55/12))),0)</f>
        <v>0</v>
      </c>
      <c r="EV73" s="173">
        <f>IF(EV55=1,HAND_TOT,0)+IF(AND(EV55&gt;=12,MOD(EV55,12)=0,EV55&lt;=12*OPS_YEARS),INDEX(SALES_COLL_OPS,MAX(1,MIN(10,EV55/12))),0)</f>
        <v>0</v>
      </c>
      <c r="EW73" s="173">
        <f>IF(EW55=1,HAND_TOT,0)+IF(AND(EW55&gt;=12,MOD(EW55,12)=0,EW55&lt;=12*OPS_YEARS),INDEX(SALES_COLL_OPS,MAX(1,MIN(10,EW55/12))),0)</f>
        <v>0</v>
      </c>
      <c r="EX73" s="173">
        <f>IF(EX55=1,HAND_TOT,0)+IF(AND(EX55&gt;=12,MOD(EX55,12)=0,EX55&lt;=12*OPS_YEARS),INDEX(SALES_COLL_OPS,MAX(1,MIN(10,EX55/12))),0)</f>
        <v>0</v>
      </c>
      <c r="EY73" s="173">
        <f>IF(EY55=1,HAND_TOT,0)+IF(AND(EY55&gt;=12,MOD(EY55,12)=0,EY55&lt;=12*OPS_YEARS),INDEX(SALES_COLL_OPS,MAX(1,MIN(10,EY55/12))),0)</f>
        <v>0</v>
      </c>
      <c r="EZ73" s="173">
        <f>IF(EZ55=1,HAND_TOT,0)+IF(AND(EZ55&gt;=12,MOD(EZ55,12)=0,EZ55&lt;=12*OPS_YEARS),INDEX(SALES_COLL_OPS,MAX(1,MIN(10,EZ55/12))),0)</f>
        <v>0</v>
      </c>
      <c r="FA73" s="173">
        <f>IF(FA55=1,HAND_TOT,0)+IF(AND(FA55&gt;=12,MOD(FA55,12)=0,FA55&lt;=12*OPS_YEARS),INDEX(SALES_COLL_OPS,MAX(1,MIN(10,FA55/12))),0)</f>
        <v>0</v>
      </c>
      <c r="FB73" s="173">
        <f>IF(FB55=1,HAND_TOT,0)+IF(AND(FB55&gt;=12,MOD(FB55,12)=0,FB55&lt;=12*OPS_YEARS),INDEX(SALES_COLL_OPS,MAX(1,MIN(10,FB55/12))),0)</f>
        <v>0</v>
      </c>
      <c r="FC73" s="173">
        <f>IF(FC55=1,HAND_TOT,0)+IF(AND(FC55&gt;=12,MOD(FC55,12)=0,FC55&lt;=12*OPS_YEARS),INDEX(SALES_COLL_OPS,MAX(1,MIN(10,FC55/12))),0)</f>
        <v>0</v>
      </c>
      <c r="FD73" s="173">
        <f>IF(FD55=1,HAND_TOT,0)+IF(AND(FD55&gt;=12,MOD(FD55,12)=0,FD55&lt;=12*OPS_YEARS),INDEX(SALES_COLL_OPS,MAX(1,MIN(10,FD55/12))),0)</f>
        <v>0</v>
      </c>
      <c r="FE73" s="173">
        <f>IF(FE55=1,HAND_TOT,0)+IF(AND(FE55&gt;=12,MOD(FE55,12)=0,FE55&lt;=12*OPS_YEARS),INDEX(SALES_COLL_OPS,MAX(1,MIN(10,FE55/12))),0)</f>
        <v>0</v>
      </c>
      <c r="FF73" s="173">
        <f>IF(FF55=1,HAND_TOT,0)+IF(AND(FF55&gt;=12,MOD(FF55,12)=0,FF55&lt;=12*OPS_YEARS),INDEX(SALES_COLL_OPS,MAX(1,MIN(10,FF55/12))),0)</f>
        <v>0</v>
      </c>
      <c r="FG73" s="173">
        <f>IF(FG55=1,HAND_TOT,0)+IF(AND(FG55&gt;=12,MOD(FG55,12)=0,FG55&lt;=12*OPS_YEARS),INDEX(SALES_COLL_OPS,MAX(1,MIN(10,FG55/12))),0)</f>
        <v>0</v>
      </c>
      <c r="FH73" s="173">
        <f>IF(FH55=1,HAND_TOT,0)+IF(AND(FH55&gt;=12,MOD(FH55,12)=0,FH55&lt;=12*OPS_YEARS),INDEX(SALES_COLL_OPS,MAX(1,MIN(10,FH55/12))),0)</f>
        <v>0</v>
      </c>
      <c r="FI73" s="173">
        <f>IF(FI55=1,HAND_TOT,0)+IF(AND(FI55&gt;=12,MOD(FI55,12)=0,FI55&lt;=12*OPS_YEARS),INDEX(SALES_COLL_OPS,MAX(1,MIN(10,FI55/12))),0)</f>
        <v>0</v>
      </c>
      <c r="FJ73" s="173">
        <f>IF(FJ55=1,HAND_TOT,0)+IF(AND(FJ55&gt;=12,MOD(FJ55,12)=0,FJ55&lt;=12*OPS_YEARS),INDEX(SALES_COLL_OPS,MAX(1,MIN(10,FJ55/12))),0)</f>
        <v>0</v>
      </c>
      <c r="FK73" s="173">
        <f>IF(FK55=1,HAND_TOT,0)+IF(AND(FK55&gt;=12,MOD(FK55,12)=0,FK55&lt;=12*OPS_YEARS),INDEX(SALES_COLL_OPS,MAX(1,MIN(10,FK55/12))),0)</f>
        <v>0</v>
      </c>
      <c r="FL73" s="173">
        <f>IF(FL55=1,HAND_TOT,0)+IF(AND(FL55&gt;=12,MOD(FL55,12)=0,FL55&lt;=12*OPS_YEARS),INDEX(SALES_COLL_OPS,MAX(1,MIN(10,FL55/12))),0)</f>
        <v>0</v>
      </c>
      <c r="FM73" s="173">
        <f>IF(FM55=1,HAND_TOT,0)+IF(AND(FM55&gt;=12,MOD(FM55,12)=0,FM55&lt;=12*OPS_YEARS),INDEX(SALES_COLL_OPS,MAX(1,MIN(10,FM55/12))),0)</f>
        <v>0</v>
      </c>
      <c r="FN73" s="173">
        <f>IF(FN55=1,HAND_TOT,0)+IF(AND(FN55&gt;=12,MOD(FN55,12)=0,FN55&lt;=12*OPS_YEARS),INDEX(SALES_COLL_OPS,MAX(1,MIN(10,FN55/12))),0)</f>
        <v>0</v>
      </c>
      <c r="FO73" s="173">
        <f>IF(FO55=1,HAND_TOT,0)+IF(AND(FO55&gt;=12,MOD(FO55,12)=0,FO55&lt;=12*OPS_YEARS),INDEX(SALES_COLL_OPS,MAX(1,MIN(10,FO55/12))),0)</f>
        <v>0</v>
      </c>
      <c r="FP73" s="173">
        <f>IF(FP55=1,HAND_TOT,0)+IF(AND(FP55&gt;=12,MOD(FP55,12)=0,FP55&lt;=12*OPS_YEARS),INDEX(SALES_COLL_OPS,MAX(1,MIN(10,FP55/12))),0)</f>
        <v>0</v>
      </c>
      <c r="FQ73" s="173">
        <f>IF(FQ55=1,HAND_TOT,0)+IF(AND(FQ55&gt;=12,MOD(FQ55,12)=0,FQ55&lt;=12*OPS_YEARS),INDEX(SALES_COLL_OPS,MAX(1,MIN(10,FQ55/12))),0)</f>
        <v>0</v>
      </c>
      <c r="FR73" s="173">
        <f>IF(FR55=1,HAND_TOT,0)+IF(AND(FR55&gt;=12,MOD(FR55,12)=0,FR55&lt;=12*OPS_YEARS),INDEX(SALES_COLL_OPS,MAX(1,MIN(10,FR55/12))),0)</f>
        <v>0</v>
      </c>
      <c r="FS73" s="173">
        <f>IF(FS55=1,HAND_TOT,0)+IF(AND(FS55&gt;=12,MOD(FS55,12)=0,FS55&lt;=12*OPS_YEARS),INDEX(SALES_COLL_OPS,MAX(1,MIN(10,FS55/12))),0)</f>
        <v>0</v>
      </c>
      <c r="FT73" s="173">
        <f>IF(FT55=1,HAND_TOT,0)+IF(AND(FT55&gt;=12,MOD(FT55,12)=0,FT55&lt;=12*OPS_YEARS),INDEX(SALES_COLL_OPS,MAX(1,MIN(10,FT55/12))),0)</f>
        <v>0</v>
      </c>
      <c r="FU73" s="173">
        <f>IF(FU55=1,HAND_TOT,0)+IF(AND(FU55&gt;=12,MOD(FU55,12)=0,FU55&lt;=12*OPS_YEARS),INDEX(SALES_COLL_OPS,MAX(1,MIN(10,FU55/12))),0)</f>
        <v>0</v>
      </c>
      <c r="FV73" s="173">
        <f>IF(FV55=1,HAND_TOT,0)+IF(AND(FV55&gt;=12,MOD(FV55,12)=0,FV55&lt;=12*OPS_YEARS),INDEX(SALES_COLL_OPS,MAX(1,MIN(10,FV55/12))),0)</f>
        <v>0</v>
      </c>
      <c r="FW73" s="173">
        <f>IF(FW55=1,HAND_TOT,0)+IF(AND(FW55&gt;=12,MOD(FW55,12)=0,FW55&lt;=12*OPS_YEARS),INDEX(SALES_COLL_OPS,MAX(1,MIN(10,FW55/12))),0)</f>
        <v>0</v>
      </c>
      <c r="FX73" s="173">
        <f>IF(FX55=1,HAND_TOT,0)+IF(AND(FX55&gt;=12,MOD(FX55,12)=0,FX55&lt;=12*OPS_YEARS),INDEX(SALES_COLL_OPS,MAX(1,MIN(10,FX55/12))),0)</f>
        <v>0</v>
      </c>
      <c r="FY73" s="173">
        <f>IF(FY55=1,HAND_TOT,0)+IF(AND(FY55&gt;=12,MOD(FY55,12)=0,FY55&lt;=12*OPS_YEARS),INDEX(SALES_COLL_OPS,MAX(1,MIN(10,FY55/12))),0)</f>
        <v>0</v>
      </c>
      <c r="FZ73" s="173">
        <f>IF(FZ55=1,HAND_TOT,0)+IF(AND(FZ55&gt;=12,MOD(FZ55,12)=0,FZ55&lt;=12*OPS_YEARS),INDEX(SALES_COLL_OPS,MAX(1,MIN(10,FZ55/12))),0)</f>
        <v>0</v>
      </c>
      <c r="GA73" s="173">
        <f>IF(GA55=1,HAND_TOT,0)+IF(AND(GA55&gt;=12,MOD(GA55,12)=0,GA55&lt;=12*OPS_YEARS),INDEX(SALES_COLL_OPS,MAX(1,MIN(10,GA55/12))),0)</f>
        <v>0</v>
      </c>
      <c r="GB73" s="173">
        <f>IF(GB55=1,HAND_TOT,0)+IF(AND(GB55&gt;=12,MOD(GB55,12)=0,GB55&lt;=12*OPS_YEARS),INDEX(SALES_COLL_OPS,MAX(1,MIN(10,GB55/12))),0)</f>
        <v>0</v>
      </c>
      <c r="GC73" s="173">
        <f>IF(GC55=1,HAND_TOT,0)+IF(AND(GC55&gt;=12,MOD(GC55,12)=0,GC55&lt;=12*OPS_YEARS),INDEX(SALES_COLL_OPS,MAX(1,MIN(10,GC55/12))),0)</f>
        <v>0</v>
      </c>
      <c r="GD73" s="173">
        <f>IF(GD55=1,HAND_TOT,0)+IF(AND(GD55&gt;=12,MOD(GD55,12)=0,GD55&lt;=12*OPS_YEARS),INDEX(SALES_COLL_OPS,MAX(1,MIN(10,GD55/12))),0)</f>
        <v>0</v>
      </c>
      <c r="GE73" s="173">
        <f>IF(GE55=1,HAND_TOT,0)+IF(AND(GE55&gt;=12,MOD(GE55,12)=0,GE55&lt;=12*OPS_YEARS),INDEX(SALES_COLL_OPS,MAX(1,MIN(10,GE55/12))),0)</f>
        <v>0</v>
      </c>
      <c r="GF73" s="173">
        <f>IF(GF55=1,HAND_TOT,0)+IF(AND(GF55&gt;=12,MOD(GF55,12)=0,GF55&lt;=12*OPS_YEARS),INDEX(SALES_COLL_OPS,MAX(1,MIN(10,GF55/12))),0)</f>
        <v>0</v>
      </c>
      <c r="GG73" s="173">
        <f>IF(GG55=1,HAND_TOT,0)+IF(AND(GG55&gt;=12,MOD(GG55,12)=0,GG55&lt;=12*OPS_YEARS),INDEX(SALES_COLL_OPS,MAX(1,MIN(10,GG55/12))),0)</f>
        <v>0</v>
      </c>
      <c r="GH73" s="173">
        <f>IF(GH55=1,HAND_TOT,0)+IF(AND(GH55&gt;=12,MOD(GH55,12)=0,GH55&lt;=12*OPS_YEARS),INDEX(SALES_COLL_OPS,MAX(1,MIN(10,GH55/12))),0)</f>
        <v>0</v>
      </c>
      <c r="GI73" s="173">
        <f>IF(GI55=1,HAND_TOT,0)+IF(AND(GI55&gt;=12,MOD(GI55,12)=0,GI55&lt;=12*OPS_YEARS),INDEX(SALES_COLL_OPS,MAX(1,MIN(10,GI55/12))),0)</f>
        <v>0</v>
      </c>
      <c r="GJ73" s="173">
        <f>IF(GJ55=1,HAND_TOT,0)+IF(AND(GJ55&gt;=12,MOD(GJ55,12)=0,GJ55&lt;=12*OPS_YEARS),INDEX(SALES_COLL_OPS,MAX(1,MIN(10,GJ55/12))),0)</f>
        <v>0</v>
      </c>
      <c r="GK73" s="173">
        <f>IF(GK55=1,HAND_TOT,0)+IF(AND(GK55&gt;=12,MOD(GK55,12)=0,GK55&lt;=12*OPS_YEARS),INDEX(SALES_COLL_OPS,MAX(1,MIN(10,GK55/12))),0)</f>
        <v>0</v>
      </c>
      <c r="GL73" s="173">
        <f>IF(GL55=1,HAND_TOT,0)+IF(AND(GL55&gt;=12,MOD(GL55,12)=0,GL55&lt;=12*OPS_YEARS),INDEX(SALES_COLL_OPS,MAX(1,MIN(10,GL55/12))),0)</f>
        <v>0</v>
      </c>
      <c r="GM73" s="173">
        <f>IF(GM55=1,HAND_TOT,0)+IF(AND(GM55&gt;=12,MOD(GM55,12)=0,GM55&lt;=12*OPS_YEARS),INDEX(SALES_COLL_OPS,MAX(1,MIN(10,GM55/12))),0)</f>
        <v>0</v>
      </c>
      <c r="GN73" s="173">
        <f>IF(GN55=1,HAND_TOT,0)+IF(AND(GN55&gt;=12,MOD(GN55,12)=0,GN55&lt;=12*OPS_YEARS),INDEX(SALES_COLL_OPS,MAX(1,MIN(10,GN55/12))),0)</f>
        <v>0</v>
      </c>
      <c r="GO73" s="173">
        <f>IF(GO55=1,HAND_TOT,0)+IF(AND(GO55&gt;=12,MOD(GO55,12)=0,GO55&lt;=12*OPS_YEARS),INDEX(SALES_COLL_OPS,MAX(1,MIN(10,GO55/12))),0)</f>
        <v>0</v>
      </c>
      <c r="GP73" s="173">
        <f>IF(GP55=1,HAND_TOT,0)+IF(AND(GP55&gt;=12,MOD(GP55,12)=0,GP55&lt;=12*OPS_YEARS),INDEX(SALES_COLL_OPS,MAX(1,MIN(10,GP55/12))),0)</f>
        <v>0</v>
      </c>
      <c r="GQ73" s="173">
        <f>IF(GQ55=1,HAND_TOT,0)+IF(AND(GQ55&gt;=12,MOD(GQ55,12)=0,GQ55&lt;=12*OPS_YEARS),INDEX(SALES_COLL_OPS,MAX(1,MIN(10,GQ55/12))),0)</f>
        <v>0</v>
      </c>
      <c r="GR73" s="173">
        <f>IF(GR55=1,HAND_TOT,0)+IF(AND(GR55&gt;=12,MOD(GR55,12)=0,GR55&lt;=12*OPS_YEARS),INDEX(SALES_COLL_OPS,MAX(1,MIN(10,GR55/12))),0)</f>
        <v>0</v>
      </c>
      <c r="GS73" s="173">
        <f>IF(GS55=1,HAND_TOT,0)+IF(AND(GS55&gt;=12,MOD(GS55,12)=0,GS55&lt;=12*OPS_YEARS),INDEX(SALES_COLL_OPS,MAX(1,MIN(10,GS55/12))),0)</f>
        <v>0</v>
      </c>
      <c r="GT73" s="173">
        <f>IF(GT55=1,HAND_TOT,0)+IF(AND(GT55&gt;=12,MOD(GT55,12)=0,GT55&lt;=12*OPS_YEARS),INDEX(SALES_COLL_OPS,MAX(1,MIN(10,GT55/12))),0)</f>
        <v>0</v>
      </c>
      <c r="GU73" s="173">
        <f>IF(GU55=1,HAND_TOT,0)+IF(AND(GU55&gt;=12,MOD(GU55,12)=0,GU55&lt;=12*OPS_YEARS),INDEX(SALES_COLL_OPS,MAX(1,MIN(10,GU55/12))),0)</f>
        <v>0</v>
      </c>
      <c r="GV73" s="173">
        <f>IF(GV55=1,HAND_TOT,0)+IF(AND(GV55&gt;=12,MOD(GV55,12)=0,GV55&lt;=12*OPS_YEARS),INDEX(SALES_COLL_OPS,MAX(1,MIN(10,GV55/12))),0)</f>
        <v>0</v>
      </c>
      <c r="GW73" s="173">
        <f>IF(GW55=1,HAND_TOT,0)+IF(AND(GW55&gt;=12,MOD(GW55,12)=0,GW55&lt;=12*OPS_YEARS),INDEX(SALES_COLL_OPS,MAX(1,MIN(10,GW55/12))),0)</f>
        <v>0</v>
      </c>
      <c r="GX73" s="173">
        <f>IF(GX55=1,HAND_TOT,0)+IF(AND(GX55&gt;=12,MOD(GX55,12)=0,GX55&lt;=12*OPS_YEARS),INDEX(SALES_COLL_OPS,MAX(1,MIN(10,GX55/12))),0)</f>
        <v>0</v>
      </c>
      <c r="GY73" s="173">
        <f>IF(GY55=1,HAND_TOT,0)+IF(AND(GY55&gt;=12,MOD(GY55,12)=0,GY55&lt;=12*OPS_YEARS),INDEX(SALES_COLL_OPS,MAX(1,MIN(10,GY55/12))),0)</f>
        <v>0</v>
      </c>
      <c r="GZ73" s="173">
        <f>IF(GZ55=1,HAND_TOT,0)+IF(AND(GZ55&gt;=12,MOD(GZ55,12)=0,GZ55&lt;=12*OPS_YEARS),INDEX(SALES_COLL_OPS,MAX(1,MIN(10,GZ55/12))),0)</f>
        <v>0</v>
      </c>
      <c r="HA73" s="173">
        <f>IF(HA55=1,HAND_TOT,0)+IF(AND(HA55&gt;=12,MOD(HA55,12)=0,HA55&lt;=12*OPS_YEARS),INDEX(SALES_COLL_OPS,MAX(1,MIN(10,HA55/12))),0)</f>
        <v>0</v>
      </c>
      <c r="HB73" s="173">
        <f>IF(HB55=1,HAND_TOT,0)+IF(AND(HB55&gt;=12,MOD(HB55,12)=0,HB55&lt;=12*OPS_YEARS),INDEX(SALES_COLL_OPS,MAX(1,MIN(10,HB55/12))),0)</f>
        <v>0</v>
      </c>
      <c r="HC73" s="173">
        <f>IF(HC55=1,HAND_TOT,0)+IF(AND(HC55&gt;=12,MOD(HC55,12)=0,HC55&lt;=12*OPS_YEARS),INDEX(SALES_COLL_OPS,MAX(1,MIN(10,HC55/12))),0)</f>
        <v>0</v>
      </c>
      <c r="HD73" s="173">
        <f>IF(HD55=1,HAND_TOT,0)+IF(AND(HD55&gt;=12,MOD(HD55,12)=0,HD55&lt;=12*OPS_YEARS),INDEX(SALES_COLL_OPS,MAX(1,MIN(10,HD55/12))),0)</f>
        <v>0</v>
      </c>
      <c r="HE73" s="173">
        <f>IF(HE55=1,HAND_TOT,0)+IF(AND(HE55&gt;=12,MOD(HE55,12)=0,HE55&lt;=12*OPS_YEARS),INDEX(SALES_COLL_OPS,MAX(1,MIN(10,HE55/12))),0)</f>
        <v>0</v>
      </c>
      <c r="HF73" s="173">
        <f>IF(HF55=1,HAND_TOT,0)+IF(AND(HF55&gt;=12,MOD(HF55,12)=0,HF55&lt;=12*OPS_YEARS),INDEX(SALES_COLL_OPS,MAX(1,MIN(10,HF55/12))),0)</f>
        <v>0</v>
      </c>
      <c r="HG73" s="173">
        <f>IF(HG55=1,HAND_TOT,0)+IF(AND(HG55&gt;=12,MOD(HG55,12)=0,HG55&lt;=12*OPS_YEARS),INDEX(SALES_COLL_OPS,MAX(1,MIN(10,HG55/12))),0)</f>
        <v>0</v>
      </c>
      <c r="HH73" s="173">
        <f>IF(HH55=1,HAND_TOT,0)+IF(AND(HH55&gt;=12,MOD(HH55,12)=0,HH55&lt;=12*OPS_YEARS),INDEX(SALES_COLL_OPS,MAX(1,MIN(10,HH55/12))),0)</f>
        <v>0</v>
      </c>
      <c r="HI73" s="173">
        <f>IF(HI55=1,HAND_TOT,0)+IF(AND(HI55&gt;=12,MOD(HI55,12)=0,HI55&lt;=12*OPS_YEARS),INDEX(SALES_COLL_OPS,MAX(1,MIN(10,HI55/12))),0)</f>
        <v>0</v>
      </c>
      <c r="HJ73" s="173">
        <f>IF(HJ55=1,HAND_TOT,0)+IF(AND(HJ55&gt;=12,MOD(HJ55,12)=0,HJ55&lt;=12*OPS_YEARS),INDEX(SALES_COLL_OPS,MAX(1,MIN(10,HJ55/12))),0)</f>
        <v>0</v>
      </c>
      <c r="HK73" s="173">
        <f>IF(HK55=1,HAND_TOT,0)+IF(AND(HK55&gt;=12,MOD(HK55,12)=0,HK55&lt;=12*OPS_YEARS),INDEX(SALES_COLL_OPS,MAX(1,MIN(10,HK55/12))),0)</f>
        <v>0</v>
      </c>
      <c r="HL73" s="173">
        <f>IF(HL55=1,HAND_TOT,0)+IF(AND(HL55&gt;=12,MOD(HL55,12)=0,HL55&lt;=12*OPS_YEARS),INDEX(SALES_COLL_OPS,MAX(1,MIN(10,HL55/12))),0)</f>
        <v>0</v>
      </c>
      <c r="HM73" s="173">
        <f>IF(HM55=1,HAND_TOT,0)+IF(AND(HM55&gt;=12,MOD(HM55,12)=0,HM55&lt;=12*OPS_YEARS),INDEX(SALES_COLL_OPS,MAX(1,MIN(10,HM55/12))),0)</f>
        <v>0</v>
      </c>
      <c r="HN73" s="173">
        <f>IF(HN55=1,HAND_TOT,0)+IF(AND(HN55&gt;=12,MOD(HN55,12)=0,HN55&lt;=12*OPS_YEARS),INDEX(SALES_COLL_OPS,MAX(1,MIN(10,HN55/12))),0)</f>
        <v>0</v>
      </c>
      <c r="HO73" s="173">
        <f>IF(HO55=1,HAND_TOT,0)+IF(AND(HO55&gt;=12,MOD(HO55,12)=0,HO55&lt;=12*OPS_YEARS),INDEX(SALES_COLL_OPS,MAX(1,MIN(10,HO55/12))),0)</f>
        <v>0</v>
      </c>
      <c r="HP73" s="173">
        <f>IF(HP55=1,HAND_TOT,0)+IF(AND(HP55&gt;=12,MOD(HP55,12)=0,HP55&lt;=12*OPS_YEARS),INDEX(SALES_COLL_OPS,MAX(1,MIN(10,HP55/12))),0)</f>
        <v>0</v>
      </c>
      <c r="HQ73" s="173">
        <f>IF(HQ55=1,HAND_TOT,0)+IF(AND(HQ55&gt;=12,MOD(HQ55,12)=0,HQ55&lt;=12*OPS_YEARS),INDEX(SALES_COLL_OPS,MAX(1,MIN(10,HQ55/12))),0)</f>
        <v>0</v>
      </c>
      <c r="HR73" s="173">
        <f>IF(HR55=1,HAND_TOT,0)+IF(AND(HR55&gt;=12,MOD(HR55,12)=0,HR55&lt;=12*OPS_YEARS),INDEX(SALES_COLL_OPS,MAX(1,MIN(10,HR55/12))),0)</f>
        <v>0</v>
      </c>
      <c r="HS73" s="173">
        <f>IF(HS55=1,HAND_TOT,0)+IF(AND(HS55&gt;=12,MOD(HS55,12)=0,HS55&lt;=12*OPS_YEARS),INDEX(SALES_COLL_OPS,MAX(1,MIN(10,HS55/12))),0)</f>
        <v>0</v>
      </c>
      <c r="HT73" s="173">
        <f>IF(HT55=1,HAND_TOT,0)+IF(AND(HT55&gt;=12,MOD(HT55,12)=0,HT55&lt;=12*OPS_YEARS),INDEX(SALES_COLL_OPS,MAX(1,MIN(10,HT55/12))),0)</f>
        <v>0</v>
      </c>
      <c r="HU73" s="173">
        <f>IF(HU55=1,HAND_TOT,0)+IF(AND(HU55&gt;=12,MOD(HU55,12)=0,HU55&lt;=12*OPS_YEARS),INDEX(SALES_COLL_OPS,MAX(1,MIN(10,HU55/12))),0)</f>
        <v>0</v>
      </c>
      <c r="HV73" s="173">
        <f>IF(HV55=1,HAND_TOT,0)+IF(AND(HV55&gt;=12,MOD(HV55,12)=0,HV55&lt;=12*OPS_YEARS),INDEX(SALES_COLL_OPS,MAX(1,MIN(10,HV55/12))),0)</f>
        <v>0</v>
      </c>
      <c r="HW73" s="173">
        <f>IF(HW55=1,HAND_TOT,0)+IF(AND(HW55&gt;=12,MOD(HW55,12)=0,HW55&lt;=12*OPS_YEARS),INDEX(SALES_COLL_OPS,MAX(1,MIN(10,HW55/12))),0)</f>
        <v>0</v>
      </c>
      <c r="HX73" s="173">
        <f>IF(HX55=1,HAND_TOT,0)+IF(AND(HX55&gt;=12,MOD(HX55,12)=0,HX55&lt;=12*OPS_YEARS),INDEX(SALES_COLL_OPS,MAX(1,MIN(10,HX55/12))),0)</f>
        <v>0</v>
      </c>
      <c r="HY73" s="173">
        <f>IF(HY55=1,HAND_TOT,0)+IF(AND(HY55&gt;=12,MOD(HY55,12)=0,HY55&lt;=12*OPS_YEARS),INDEX(SALES_COLL_OPS,MAX(1,MIN(10,HY55/12))),0)</f>
        <v>0</v>
      </c>
      <c r="HZ73" s="173">
        <f>IF(HZ55=1,HAND_TOT,0)+IF(AND(HZ55&gt;=12,MOD(HZ55,12)=0,HZ55&lt;=12*OPS_YEARS),INDEX(SALES_COLL_OPS,MAX(1,MIN(10,HZ55/12))),0)</f>
        <v>0</v>
      </c>
      <c r="IA73" s="173">
        <f>IF(IA55=1,HAND_TOT,0)+IF(AND(IA55&gt;=12,MOD(IA55,12)=0,IA55&lt;=12*OPS_YEARS),INDEX(SALES_COLL_OPS,MAX(1,MIN(10,IA55/12))),0)</f>
        <v>0</v>
      </c>
      <c r="IB73" s="173">
        <f>IF(IB55=1,HAND_TOT,0)+IF(AND(IB55&gt;=12,MOD(IB55,12)=0,IB55&lt;=12*OPS_YEARS),INDEX(SALES_COLL_OPS,MAX(1,MIN(10,IB55/12))),0)</f>
        <v>0</v>
      </c>
      <c r="IC73" s="173">
        <f>IF(IC55=1,HAND_TOT,0)+IF(AND(IC55&gt;=12,MOD(IC55,12)=0,IC55&lt;=12*OPS_YEARS),INDEX(SALES_COLL_OPS,MAX(1,MIN(10,IC55/12))),0)</f>
        <v>0</v>
      </c>
      <c r="ID73" s="173">
        <f>IF(ID55=1,HAND_TOT,0)+IF(AND(ID55&gt;=12,MOD(ID55,12)=0,ID55&lt;=12*OPS_YEARS),INDEX(SALES_COLL_OPS,MAX(1,MIN(10,ID55/12))),0)</f>
        <v>0</v>
      </c>
      <c r="IE73" s="173">
        <f>IF(IE55=1,HAND_TOT,0)+IF(AND(IE55&gt;=12,MOD(IE55,12)=0,IE55&lt;=12*OPS_YEARS),INDEX(SALES_COLL_OPS,MAX(1,MIN(10,IE55/12))),0)</f>
        <v>0</v>
      </c>
      <c r="IF73" s="173">
        <f>IF(IF55=1,HAND_TOT,0)+IF(AND(IF55&gt;=12,MOD(IF55,12)=0,IF55&lt;=12*OPS_YEARS),INDEX(SALES_COLL_OPS,MAX(1,MIN(10,IF55/12))),0)</f>
        <v>0</v>
      </c>
      <c r="IG73" s="173">
        <f>IF(IG55=1,HAND_TOT,0)+IF(AND(IG55&gt;=12,MOD(IG55,12)=0,IG55&lt;=12*OPS_YEARS),INDEX(SALES_COLL_OPS,MAX(1,MIN(10,IG55/12))),0)</f>
        <v>0</v>
      </c>
      <c r="IH73" s="173">
        <f>IF(IH55=1,HAND_TOT,0)+IF(AND(IH55&gt;=12,MOD(IH55,12)=0,IH55&lt;=12*OPS_YEARS),INDEX(SALES_COLL_OPS,MAX(1,MIN(10,IH55/12))),0)</f>
        <v>0</v>
      </c>
      <c r="II73" s="173">
        <f>IF(II55=1,HAND_TOT,0)+IF(AND(II55&gt;=12,MOD(II55,12)=0,II55&lt;=12*OPS_YEARS),INDEX(SALES_COLL_OPS,MAX(1,MIN(10,II55/12))),0)</f>
        <v>0</v>
      </c>
      <c r="IJ73" s="173">
        <f>IF(IJ55=1,HAND_TOT,0)+IF(AND(IJ55&gt;=12,MOD(IJ55,12)=0,IJ55&lt;=12*OPS_YEARS),INDEX(SALES_COLL_OPS,MAX(1,MIN(10,IJ55/12))),0)</f>
        <v>0</v>
      </c>
      <c r="IK73" s="173">
        <f>IF(IK55=1,HAND_TOT,0)+IF(AND(IK55&gt;=12,MOD(IK55,12)=0,IK55&lt;=12*OPS_YEARS),INDEX(SALES_COLL_OPS,MAX(1,MIN(10,IK55/12))),0)</f>
        <v>0</v>
      </c>
      <c r="IL73" s="173">
        <f>IF(IL55=1,HAND_TOT,0)+IF(AND(IL55&gt;=12,MOD(IL55,12)=0,IL55&lt;=12*OPS_YEARS),INDEX(SALES_COLL_OPS,MAX(1,MIN(10,IL55/12))),0)</f>
        <v>0</v>
      </c>
      <c r="IM73" s="173">
        <f>IF(IM55=1,HAND_TOT,0)+IF(AND(IM55&gt;=12,MOD(IM55,12)=0,IM55&lt;=12*OPS_YEARS),INDEX(SALES_COLL_OPS,MAX(1,MIN(10,IM55/12))),0)</f>
        <v>0</v>
      </c>
      <c r="IN73" s="173">
        <f>IF(IN55=1,HAND_TOT,0)+IF(AND(IN55&gt;=12,MOD(IN55,12)=0,IN55&lt;=12*OPS_YEARS),INDEX(SALES_COLL_OPS,MAX(1,MIN(10,IN55/12))),0)</f>
        <v>0</v>
      </c>
      <c r="IO73" s="173">
        <f>IF(IO55=1,HAND_TOT,0)+IF(AND(IO55&gt;=12,MOD(IO55,12)=0,IO55&lt;=12*OPS_YEARS),INDEX(SALES_COLL_OPS,MAX(1,MIN(10,IO55/12))),0)</f>
        <v>0</v>
      </c>
      <c r="IP73" s="173">
        <f>IF(IP55=1,HAND_TOT,0)+IF(AND(IP55&gt;=12,MOD(IP55,12)=0,IP55&lt;=12*OPS_YEARS),INDEX(SALES_COLL_OPS,MAX(1,MIN(10,IP55/12))),0)</f>
        <v>0</v>
      </c>
      <c r="IQ73" s="173">
        <f>IF(IQ55=1,HAND_TOT,0)+IF(AND(IQ55&gt;=12,MOD(IQ55,12)=0,IQ55&lt;=12*OPS_YEARS),INDEX(SALES_COLL_OPS,MAX(1,MIN(10,IQ55/12))),0)</f>
        <v>0</v>
      </c>
      <c r="IR73" s="173">
        <f>IF(IR55=1,HAND_TOT,0)+IF(AND(IR55&gt;=12,MOD(IR55,12)=0,IR55&lt;=12*OPS_YEARS),INDEX(SALES_COLL_OPS,MAX(1,MIN(10,IR55/12))),0)</f>
        <v>0</v>
      </c>
      <c r="IS73" s="173">
        <f>IF(IS55=1,HAND_TOT,0)+IF(AND(IS55&gt;=12,MOD(IS55,12)=0,IS55&lt;=12*OPS_YEARS),INDEX(SALES_COLL_OPS,MAX(1,MIN(10,IS55/12))),0)</f>
        <v>0</v>
      </c>
      <c r="IT73" s="173">
        <f>IF(IT55=1,HAND_TOT,0)+IF(AND(IT55&gt;=12,MOD(IT55,12)=0,IT55&lt;=12*OPS_YEARS),INDEX(SALES_COLL_OPS,MAX(1,MIN(10,IT55/12))),0)</f>
        <v>0</v>
      </c>
      <c r="IU73" s="173">
        <f>IF(IU55=1,HAND_TOT,0)+IF(AND(IU55&gt;=12,MOD(IU55,12)=0,IU55&lt;=12*OPS_YEARS),INDEX(SALES_COLL_OPS,MAX(1,MIN(10,IU55/12))),0)</f>
        <v>0</v>
      </c>
      <c r="IV73" s="173">
        <f>IF(IV55=1,HAND_TOT,0)+IF(AND(IV55&gt;=12,MOD(IV55,12)=0,IV55&lt;=12*OPS_YEARS),INDEX(SALES_COLL_OPS,MAX(1,MIN(10,IV55/12))),0)</f>
        <v>0</v>
      </c>
      <c r="IW73" s="173">
        <f>IF(IW55=1,HAND_TOT,0)+IF(AND(IW55&gt;=12,MOD(IW55,12)=0,IW55&lt;=12*OPS_YEARS),INDEX(SALES_COLL_OPS,MAX(1,MIN(10,IW55/12))),0)</f>
        <v>0</v>
      </c>
      <c r="IX73" s="173">
        <f>IF(IX55=1,HAND_TOT,0)+IF(AND(IX55&gt;=12,MOD(IX55,12)=0,IX55&lt;=12*OPS_YEARS),INDEX(SALES_COLL_OPS,MAX(1,MIN(10,IX55/12))),0)</f>
        <v>0</v>
      </c>
      <c r="IY73" s="173">
        <f>IF(IY55=1,HAND_TOT,0)+IF(AND(IY55&gt;=12,MOD(IY55,12)=0,IY55&lt;=12*OPS_YEARS),INDEX(SALES_COLL_OPS,MAX(1,MIN(10,IY55/12))),0)</f>
        <v>0</v>
      </c>
      <c r="IZ73" s="173">
        <f>IF(IZ55=1,HAND_TOT,0)+IF(AND(IZ55&gt;=12,MOD(IZ55,12)=0,IZ55&lt;=12*OPS_YEARS),INDEX(SALES_COLL_OPS,MAX(1,MIN(10,IZ55/12))),0)</f>
        <v>0</v>
      </c>
      <c r="JA73" s="173">
        <f>IF(JA55=1,HAND_TOT,0)+IF(AND(JA55&gt;=12,MOD(JA55,12)=0,JA55&lt;=12*OPS_YEARS),INDEX(SALES_COLL_OPS,MAX(1,MIN(10,JA55/12))),0)</f>
        <v>0</v>
      </c>
      <c r="JB73" s="173">
        <f>IF(JB55=1,HAND_TOT,0)+IF(AND(JB55&gt;=12,MOD(JB55,12)=0,JB55&lt;=12*OPS_YEARS),INDEX(SALES_COLL_OPS,MAX(1,MIN(10,JB55/12))),0)</f>
        <v>0</v>
      </c>
      <c r="JC73" s="173">
        <f>IF(JC55=1,HAND_TOT,0)+IF(AND(JC55&gt;=12,MOD(JC55,12)=0,JC55&lt;=12*OPS_YEARS),INDEX(SALES_COLL_OPS,MAX(1,MIN(10,JC55/12))),0)</f>
        <v>0</v>
      </c>
      <c r="JD73" s="173">
        <f>IF(JD55=1,HAND_TOT,0)+IF(AND(JD55&gt;=12,MOD(JD55,12)=0,JD55&lt;=12*OPS_YEARS),INDEX(SALES_COLL_OPS,MAX(1,MIN(10,JD55/12))),0)</f>
        <v>0</v>
      </c>
      <c r="JE73" s="173">
        <f>IF(JE55=1,HAND_TOT,0)+IF(AND(JE55&gt;=12,MOD(JE55,12)=0,JE55&lt;=12*OPS_YEARS),INDEX(SALES_COLL_OPS,MAX(1,MIN(10,JE55/12))),0)</f>
        <v>0</v>
      </c>
      <c r="JF73" s="173">
        <f>IF(JF55=1,HAND_TOT,0)+IF(AND(JF55&gt;=12,MOD(JF55,12)=0,JF55&lt;=12*OPS_YEARS),INDEX(SALES_COLL_OPS,MAX(1,MIN(10,JF55/12))),0)</f>
        <v>0</v>
      </c>
      <c r="JG73" s="173">
        <f>IF(JG55=1,HAND_TOT,0)+IF(AND(JG55&gt;=12,MOD(JG55,12)=0,JG55&lt;=12*OPS_YEARS),INDEX(SALES_COLL_OPS,MAX(1,MIN(10,JG55/12))),0)</f>
        <v>0</v>
      </c>
      <c r="JH73" s="173">
        <f>IF(JH55=1,HAND_TOT,0)+IF(AND(JH55&gt;=12,MOD(JH55,12)=0,JH55&lt;=12*OPS_YEARS),INDEX(SALES_COLL_OPS,MAX(1,MIN(10,JH55/12))),0)</f>
        <v>0</v>
      </c>
      <c r="JI73" s="173">
        <f>IF(JI55=1,HAND_TOT,0)+IF(AND(JI55&gt;=12,MOD(JI55,12)=0,JI55&lt;=12*OPS_YEARS),INDEX(SALES_COLL_OPS,MAX(1,MIN(10,JI55/12))),0)</f>
        <v>0</v>
      </c>
      <c r="JJ73" s="173">
        <f>IF(JJ55=1,HAND_TOT,0)+IF(AND(JJ55&gt;=12,MOD(JJ55,12)=0,JJ55&lt;=12*OPS_YEARS),INDEX(SALES_COLL_OPS,MAX(1,MIN(10,JJ55/12))),0)</f>
        <v>0</v>
      </c>
      <c r="JK73" s="173">
        <f>IF(JK55=1,HAND_TOT,0)+IF(AND(JK55&gt;=12,MOD(JK55,12)=0,JK55&lt;=12*OPS_YEARS),INDEX(SALES_COLL_OPS,MAX(1,MIN(10,JK55/12))),0)</f>
        <v>0</v>
      </c>
      <c r="JL73" s="173">
        <f>IF(JL55=1,HAND_TOT,0)+IF(AND(JL55&gt;=12,MOD(JL55,12)=0,JL55&lt;=12*OPS_YEARS),INDEX(SALES_COLL_OPS,MAX(1,MIN(10,JL55/12))),0)</f>
        <v>0</v>
      </c>
      <c r="JM73" s="173">
        <f>IF(JM55=1,HAND_TOT,0)+IF(AND(JM55&gt;=12,MOD(JM55,12)=0,JM55&lt;=12*OPS_YEARS),INDEX(SALES_COLL_OPS,MAX(1,MIN(10,JM55/12))),0)</f>
        <v>0</v>
      </c>
      <c r="JN73" s="173">
        <f>IF(JN55=1,HAND_TOT,0)+IF(AND(JN55&gt;=12,MOD(JN55,12)=0,JN55&lt;=12*OPS_YEARS),INDEX(SALES_COLL_OPS,MAX(1,MIN(10,JN55/12))),0)</f>
        <v>0</v>
      </c>
      <c r="JO73" s="173">
        <f>IF(JO55=1,HAND_TOT,0)+IF(AND(JO55&gt;=12,MOD(JO55,12)=0,JO55&lt;=12*OPS_YEARS),INDEX(SALES_COLL_OPS,MAX(1,MIN(10,JO55/12))),0)</f>
        <v>0</v>
      </c>
      <c r="JP73" s="173">
        <f>IF(JP55=1,HAND_TOT,0)+IF(AND(JP55&gt;=12,MOD(JP55,12)=0,JP55&lt;=12*OPS_YEARS),INDEX(SALES_COLL_OPS,MAX(1,MIN(10,JP55/12))),0)</f>
        <v>0</v>
      </c>
      <c r="JQ73" s="173">
        <f>IF(JQ55=1,HAND_TOT,0)+IF(AND(JQ55&gt;=12,MOD(JQ55,12)=0,JQ55&lt;=12*OPS_YEARS),INDEX(SALES_COLL_OPS,MAX(1,MIN(10,JQ55/12))),0)</f>
        <v>0</v>
      </c>
      <c r="JR73" s="173">
        <f>IF(JR55=1,HAND_TOT,0)+IF(AND(JR55&gt;=12,MOD(JR55,12)=0,JR55&lt;=12*OPS_YEARS),INDEX(SALES_COLL_OPS,MAX(1,MIN(10,JR55/12))),0)</f>
        <v>0</v>
      </c>
      <c r="JS73" s="173">
        <f>IF(JS55=1,HAND_TOT,0)+IF(AND(JS55&gt;=12,MOD(JS55,12)=0,JS55&lt;=12*OPS_YEARS),INDEX(SALES_COLL_OPS,MAX(1,MIN(10,JS55/12))),0)</f>
        <v>0</v>
      </c>
      <c r="JT73" s="173">
        <f>IF(JT55=1,HAND_TOT,0)+IF(AND(JT55&gt;=12,MOD(JT55,12)=0,JT55&lt;=12*OPS_YEARS),INDEX(SALES_COLL_OPS,MAX(1,MIN(10,JT55/12))),0)</f>
        <v>0</v>
      </c>
      <c r="JU73" s="173">
        <f>IF(JU55=1,HAND_TOT,0)+IF(AND(JU55&gt;=12,MOD(JU55,12)=0,JU55&lt;=12*OPS_YEARS),INDEX(SALES_COLL_OPS,MAX(1,MIN(10,JU55/12))),0)</f>
        <v>0</v>
      </c>
      <c r="JV73" s="173">
        <f>IF(JV55=1,HAND_TOT,0)+IF(AND(JV55&gt;=12,MOD(JV55,12)=0,JV55&lt;=12*OPS_YEARS),INDEX(SALES_COLL_OPS,MAX(1,MIN(10,JV55/12))),0)</f>
        <v>0</v>
      </c>
      <c r="JW73" s="173">
        <f>IF(JW55=1,HAND_TOT,0)+IF(AND(JW55&gt;=12,MOD(JW55,12)=0,JW55&lt;=12*OPS_YEARS),INDEX(SALES_COLL_OPS,MAX(1,MIN(10,JW55/12))),0)</f>
        <v>0</v>
      </c>
      <c r="JX73" s="173">
        <f>IF(JX55=1,HAND_TOT,0)+IF(AND(JX55&gt;=12,MOD(JX55,12)=0,JX55&lt;=12*OPS_YEARS),INDEX(SALES_COLL_OPS,MAX(1,MIN(10,JX55/12))),0)</f>
        <v>0</v>
      </c>
      <c r="JY73" s="173">
        <f>IF(JY55=1,HAND_TOT,0)+IF(AND(JY55&gt;=12,MOD(JY55,12)=0,JY55&lt;=12*OPS_YEARS),INDEX(SALES_COLL_OPS,MAX(1,MIN(10,JY55/12))),0)</f>
        <v>0</v>
      </c>
      <c r="JZ73" s="173">
        <f>IF(JZ55=1,HAND_TOT,0)+IF(AND(JZ55&gt;=12,MOD(JZ55,12)=0,JZ55&lt;=12*OPS_YEARS),INDEX(SALES_COLL_OPS,MAX(1,MIN(10,JZ55/12))),0)</f>
        <v>0</v>
      </c>
      <c r="KA73" s="173">
        <f>IF(KA55=1,HAND_TOT,0)+IF(AND(KA55&gt;=12,MOD(KA55,12)=0,KA55&lt;=12*OPS_YEARS),INDEX(SALES_COLL_OPS,MAX(1,MIN(10,KA55/12))),0)</f>
        <v>0</v>
      </c>
      <c r="KB73" s="173">
        <f>IF(KB55=1,HAND_TOT,0)+IF(AND(KB55&gt;=12,MOD(KB55,12)=0,KB55&lt;=12*OPS_YEARS),INDEX(SALES_COLL_OPS,MAX(1,MIN(10,KB55/12))),0)</f>
        <v>0</v>
      </c>
      <c r="KC73" s="173">
        <f>IF(KC55=1,HAND_TOT,0)+IF(AND(KC55&gt;=12,MOD(KC55,12)=0,KC55&lt;=12*OPS_YEARS),INDEX(SALES_COLL_OPS,MAX(1,MIN(10,KC55/12))),0)</f>
        <v>0</v>
      </c>
      <c r="KD73" s="173">
        <f>IF(KD55=1,HAND_TOT,0)+IF(AND(KD55&gt;=12,MOD(KD55,12)=0,KD55&lt;=12*OPS_YEARS),INDEX(SALES_COLL_OPS,MAX(1,MIN(10,KD55/12))),0)</f>
        <v>0</v>
      </c>
      <c r="KE73" s="173">
        <f>IF(KE55=1,HAND_TOT,0)+IF(AND(KE55&gt;=12,MOD(KE55,12)=0,KE55&lt;=12*OPS_YEARS),INDEX(SALES_COLL_OPS,MAX(1,MIN(10,KE55/12))),0)</f>
        <v>0</v>
      </c>
      <c r="KF73" s="173">
        <f>IF(KF55=1,HAND_TOT,0)+IF(AND(KF55&gt;=12,MOD(KF55,12)=0,KF55&lt;=12*OPS_YEARS),INDEX(SALES_COLL_OPS,MAX(1,MIN(10,KF55/12))),0)</f>
        <v>0</v>
      </c>
    </row>
    <row r="74">
      <c r="B74" s="36" t="inlineStr">
        <is>
          <t>Cash sweep prepayment</t>
        </is>
      </c>
      <c r="C74" s="117" t="inlineStr">
        <is>
          <t>ETB</t>
        </is>
      </c>
      <c r="D74" s="169">
        <f>SUM(E74:KF74)</f>
        <v>107662924.871619</v>
      </c>
      <c r="E74" s="173">
        <f>MIN(MAX(0,E63+E64+E66+E67-E72),SWEEP*E73)</f>
        <v>0</v>
      </c>
      <c r="F74" s="173">
        <f>MIN(MAX(0,F63+F64+F66+F67-F72),SWEEP*F73)</f>
        <v>0</v>
      </c>
      <c r="G74" s="173">
        <f>MIN(MAX(0,G63+G64+G66+G67-G72),SWEEP*G73)</f>
        <v>0</v>
      </c>
      <c r="H74" s="173">
        <f>MIN(MAX(0,H63+H64+H66+H67-H72),SWEEP*H73)</f>
        <v>0</v>
      </c>
      <c r="I74" s="173">
        <f>MIN(MAX(0,I63+I64+I66+I67-I72),SWEEP*I73)</f>
        <v>0</v>
      </c>
      <c r="J74" s="173">
        <f>MIN(MAX(0,J63+J64+J66+J67-J72),SWEEP*J73)</f>
        <v>0</v>
      </c>
      <c r="K74" s="173">
        <f>MIN(MAX(0,K63+K64+K66+K67-K72),SWEEP*K73)</f>
        <v>0</v>
      </c>
      <c r="L74" s="173">
        <f>MIN(MAX(0,L63+L64+L66+L67-L72),SWEEP*L73)</f>
        <v>0</v>
      </c>
      <c r="M74" s="173">
        <f>MIN(MAX(0,M63+M64+M66+M67-M72),SWEEP*M73)</f>
        <v>0</v>
      </c>
      <c r="N74" s="173">
        <f>MIN(MAX(0,N63+N64+N66+N67-N72),SWEEP*N73)</f>
        <v>0</v>
      </c>
      <c r="O74" s="173">
        <f>MIN(MAX(0,O63+O64+O66+O67-O72),SWEEP*O73)</f>
        <v>0</v>
      </c>
      <c r="P74" s="173">
        <f>MIN(MAX(0,P63+P64+P66+P67-P72),SWEEP*P73)</f>
        <v>0</v>
      </c>
      <c r="Q74" s="173">
        <f>MIN(MAX(0,Q63+Q64+Q66+Q67-Q72),SWEEP*Q73)</f>
        <v>0</v>
      </c>
      <c r="R74" s="173">
        <f>MIN(MAX(0,R63+R64+R66+R67-R72),SWEEP*R73)</f>
        <v>0</v>
      </c>
      <c r="S74" s="173">
        <f>MIN(MAX(0,S63+S64+S66+S67-S72),SWEEP*S73)</f>
        <v>0</v>
      </c>
      <c r="T74" s="173">
        <f>MIN(MAX(0,T63+T64+T66+T67-T72),SWEEP*T73)</f>
        <v>0</v>
      </c>
      <c r="U74" s="173">
        <f>MIN(MAX(0,U63+U64+U66+U67-U72),SWEEP*U73)</f>
        <v>0</v>
      </c>
      <c r="V74" s="173">
        <f>MIN(MAX(0,V63+V64+V66+V67-V72),SWEEP*V73)</f>
        <v>0</v>
      </c>
      <c r="W74" s="173">
        <f>MIN(MAX(0,W63+W64+W66+W67-W72),SWEEP*W73)</f>
        <v>0</v>
      </c>
      <c r="X74" s="173">
        <f>MIN(MAX(0,X63+X64+X66+X67-X72),SWEEP*X73)</f>
        <v>0</v>
      </c>
      <c r="Y74" s="173">
        <f>MIN(MAX(0,Y63+Y64+Y66+Y67-Y72),SWEEP*Y73)</f>
        <v>0</v>
      </c>
      <c r="Z74" s="173">
        <f>MIN(MAX(0,Z63+Z64+Z66+Z67-Z72),SWEEP*Z73)</f>
        <v>0</v>
      </c>
      <c r="AA74" s="173">
        <f>MIN(MAX(0,AA63+AA64+AA66+AA67-AA72),SWEEP*AA73)</f>
        <v>0</v>
      </c>
      <c r="AB74" s="173">
        <f>MIN(MAX(0,AB63+AB64+AB66+AB67-AB72),SWEEP*AB73)</f>
        <v>0</v>
      </c>
      <c r="AC74" s="173">
        <f>MIN(MAX(0,AC63+AC64+AC66+AC67-AC72),SWEEP*AC73)</f>
        <v>0</v>
      </c>
      <c r="AD74" s="173">
        <f>MIN(MAX(0,AD63+AD64+AD66+AD67-AD72),SWEEP*AD73)</f>
        <v>0</v>
      </c>
      <c r="AE74" s="173">
        <f>MIN(MAX(0,AE63+AE64+AE66+AE67-AE72),SWEEP*AE73)</f>
        <v>0</v>
      </c>
      <c r="AF74" s="173">
        <f>MIN(MAX(0,AF63+AF64+AF66+AF67-AF72),SWEEP*AF73)</f>
        <v>0</v>
      </c>
      <c r="AG74" s="173">
        <f>MIN(MAX(0,AG63+AG64+AG66+AG67-AG72),SWEEP*AG73)</f>
        <v>0</v>
      </c>
      <c r="AH74" s="173">
        <f>MIN(MAX(0,AH63+AH64+AH66+AH67-AH72),SWEEP*AH73)</f>
        <v>0</v>
      </c>
      <c r="AI74" s="173">
        <f>MIN(MAX(0,AI63+AI64+AI66+AI67-AI72),SWEEP*AI73)</f>
        <v>39292542.7916189</v>
      </c>
      <c r="AJ74" s="173">
        <f>MIN(MAX(0,AJ63+AJ64+AJ66+AJ67-AJ72),SWEEP*AJ73)</f>
        <v>0</v>
      </c>
      <c r="AK74" s="173">
        <f>MIN(MAX(0,AK63+AK64+AK66+AK67-AK72),SWEEP*AK73)</f>
        <v>0</v>
      </c>
      <c r="AL74" s="173">
        <f>MIN(MAX(0,AL63+AL64+AL66+AL67-AL72),SWEEP*AL73)</f>
        <v>0</v>
      </c>
      <c r="AM74" s="173">
        <f>MIN(MAX(0,AM63+AM64+AM66+AM67-AM72),SWEEP*AM73)</f>
        <v>0</v>
      </c>
      <c r="AN74" s="173">
        <f>MIN(MAX(0,AN63+AN64+AN66+AN67-AN72),SWEEP*AN73)</f>
        <v>0</v>
      </c>
      <c r="AO74" s="173">
        <f>MIN(MAX(0,AO63+AO64+AO66+AO67-AO72),SWEEP*AO73)</f>
        <v>0</v>
      </c>
      <c r="AP74" s="173">
        <f>MIN(MAX(0,AP63+AP64+AP66+AP67-AP72),SWEEP*AP73)</f>
        <v>0</v>
      </c>
      <c r="AQ74" s="173">
        <f>MIN(MAX(0,AQ63+AQ64+AQ66+AQ67-AQ72),SWEEP*AQ73)</f>
        <v>0</v>
      </c>
      <c r="AR74" s="173">
        <f>MIN(MAX(0,AR63+AR64+AR66+AR67-AR72),SWEEP*AR73)</f>
        <v>0</v>
      </c>
      <c r="AS74" s="173">
        <f>MIN(MAX(0,AS63+AS64+AS66+AS67-AS72),SWEEP*AS73)</f>
        <v>0</v>
      </c>
      <c r="AT74" s="173">
        <f>MIN(MAX(0,AT63+AT64+AT66+AT67-AT72),SWEEP*AT73)</f>
        <v>39444451.2</v>
      </c>
      <c r="AU74" s="173">
        <f>MIN(MAX(0,AU63+AU64+AU66+AU67-AU72),SWEEP*AU73)</f>
        <v>0</v>
      </c>
      <c r="AV74" s="173">
        <f>MIN(MAX(0,AV63+AV64+AV66+AV67-AV72),SWEEP*AV73)</f>
        <v>0</v>
      </c>
      <c r="AW74" s="173">
        <f>MIN(MAX(0,AW63+AW64+AW66+AW67-AW72),SWEEP*AW73)</f>
        <v>0</v>
      </c>
      <c r="AX74" s="173">
        <f>MIN(MAX(0,AX63+AX64+AX66+AX67-AX72),SWEEP*AX73)</f>
        <v>0</v>
      </c>
      <c r="AY74" s="173">
        <f>MIN(MAX(0,AY63+AY64+AY66+AY67-AY72),SWEEP*AY73)</f>
        <v>0</v>
      </c>
      <c r="AZ74" s="173">
        <f>MIN(MAX(0,AZ63+AZ64+AZ66+AZ67-AZ72),SWEEP*AZ73)</f>
        <v>0</v>
      </c>
      <c r="BA74" s="173">
        <f>MIN(MAX(0,BA63+BA64+BA66+BA67-BA72),SWEEP*BA73)</f>
        <v>0</v>
      </c>
      <c r="BB74" s="173">
        <f>MIN(MAX(0,BB63+BB64+BB66+BB67-BB72),SWEEP*BB73)</f>
        <v>0</v>
      </c>
      <c r="BC74" s="173">
        <f>MIN(MAX(0,BC63+BC64+BC66+BC67-BC72),SWEEP*BC73)</f>
        <v>0</v>
      </c>
      <c r="BD74" s="173">
        <f>MIN(MAX(0,BD63+BD64+BD66+BD67-BD72),SWEEP*BD73)</f>
        <v>0</v>
      </c>
      <c r="BE74" s="173">
        <f>MIN(MAX(0,BE63+BE64+BE66+BE67-BE72),SWEEP*BE73)</f>
        <v>0</v>
      </c>
      <c r="BF74" s="173">
        <f>MIN(MAX(0,BF63+BF64+BF66+BF67-BF72),SWEEP*BF73)</f>
        <v>28925930.88</v>
      </c>
      <c r="BG74" s="173">
        <f>MIN(MAX(0,BG63+BG64+BG66+BG67-BG72),SWEEP*BG73)</f>
        <v>0</v>
      </c>
      <c r="BH74" s="173">
        <f>MIN(MAX(0,BH63+BH64+BH66+BH67-BH72),SWEEP*BH73)</f>
        <v>0</v>
      </c>
      <c r="BI74" s="173">
        <f>MIN(MAX(0,BI63+BI64+BI66+BI67-BI72),SWEEP*BI73)</f>
        <v>0</v>
      </c>
      <c r="BJ74" s="173">
        <f>MIN(MAX(0,BJ63+BJ64+BJ66+BJ67-BJ72),SWEEP*BJ73)</f>
        <v>0</v>
      </c>
      <c r="BK74" s="173">
        <f>MIN(MAX(0,BK63+BK64+BK66+BK67-BK72),SWEEP*BK73)</f>
        <v>0</v>
      </c>
      <c r="BL74" s="173">
        <f>MIN(MAX(0,BL63+BL64+BL66+BL67-BL72),SWEEP*BL73)</f>
        <v>0</v>
      </c>
      <c r="BM74" s="173">
        <f>MIN(MAX(0,BM63+BM64+BM66+BM67-BM72),SWEEP*BM73)</f>
        <v>0</v>
      </c>
      <c r="BN74" s="173">
        <f>MIN(MAX(0,BN63+BN64+BN66+BN67-BN72),SWEEP*BN73)</f>
        <v>0</v>
      </c>
      <c r="BO74" s="173">
        <f>MIN(MAX(0,BO63+BO64+BO66+BO67-BO72),SWEEP*BO73)</f>
        <v>0</v>
      </c>
      <c r="BP74" s="173">
        <f>MIN(MAX(0,BP63+BP64+BP66+BP67-BP72),SWEEP*BP73)</f>
        <v>0</v>
      </c>
      <c r="BQ74" s="173">
        <f>MIN(MAX(0,BQ63+BQ64+BQ66+BQ67-BQ72),SWEEP*BQ73)</f>
        <v>0</v>
      </c>
      <c r="BR74" s="173">
        <f>MIN(MAX(0,BR63+BR64+BR66+BR67-BR72),SWEEP*BR73)</f>
        <v>0</v>
      </c>
      <c r="BS74" s="173">
        <f>MIN(MAX(0,BS63+BS64+BS66+BS67-BS72),SWEEP*BS73)</f>
        <v>0</v>
      </c>
      <c r="BT74" s="173">
        <f>MIN(MAX(0,BT63+BT64+BT66+BT67-BT72),SWEEP*BT73)</f>
        <v>0</v>
      </c>
      <c r="BU74" s="173">
        <f>MIN(MAX(0,BU63+BU64+BU66+BU67-BU72),SWEEP*BU73)</f>
        <v>0</v>
      </c>
      <c r="BV74" s="173">
        <f>MIN(MAX(0,BV63+BV64+BV66+BV67-BV72),SWEEP*BV73)</f>
        <v>0</v>
      </c>
      <c r="BW74" s="173">
        <f>MIN(MAX(0,BW63+BW64+BW66+BW67-BW72),SWEEP*BW73)</f>
        <v>0</v>
      </c>
      <c r="BX74" s="173">
        <f>MIN(MAX(0,BX63+BX64+BX66+BX67-BX72),SWEEP*BX73)</f>
        <v>0</v>
      </c>
      <c r="BY74" s="173">
        <f>MIN(MAX(0,BY63+BY64+BY66+BY67-BY72),SWEEP*BY73)</f>
        <v>0</v>
      </c>
      <c r="BZ74" s="173">
        <f>MIN(MAX(0,BZ63+BZ64+BZ66+BZ67-BZ72),SWEEP*BZ73)</f>
        <v>0</v>
      </c>
      <c r="CA74" s="173">
        <f>MIN(MAX(0,CA63+CA64+CA66+CA67-CA72),SWEEP*CA73)</f>
        <v>0</v>
      </c>
      <c r="CB74" s="173">
        <f>MIN(MAX(0,CB63+CB64+CB66+CB67-CB72),SWEEP*CB73)</f>
        <v>0</v>
      </c>
      <c r="CC74" s="173">
        <f>MIN(MAX(0,CC63+CC64+CC66+CC67-CC72),SWEEP*CC73)</f>
        <v>0</v>
      </c>
      <c r="CD74" s="173">
        <f>MIN(MAX(0,CD63+CD64+CD66+CD67-CD72),SWEEP*CD73)</f>
        <v>0</v>
      </c>
      <c r="CE74" s="173">
        <f>MIN(MAX(0,CE63+CE64+CE66+CE67-CE72),SWEEP*CE73)</f>
        <v>0</v>
      </c>
      <c r="CF74" s="173">
        <f>MIN(MAX(0,CF63+CF64+CF66+CF67-CF72),SWEEP*CF73)</f>
        <v>0</v>
      </c>
      <c r="CG74" s="173">
        <f>MIN(MAX(0,CG63+CG64+CG66+CG67-CG72),SWEEP*CG73)</f>
        <v>0</v>
      </c>
      <c r="CH74" s="173">
        <f>MIN(MAX(0,CH63+CH64+CH66+CH67-CH72),SWEEP*CH73)</f>
        <v>0</v>
      </c>
      <c r="CI74" s="173">
        <f>MIN(MAX(0,CI63+CI64+CI66+CI67-CI72),SWEEP*CI73)</f>
        <v>0</v>
      </c>
      <c r="CJ74" s="173">
        <f>MIN(MAX(0,CJ63+CJ64+CJ66+CJ67-CJ72),SWEEP*CJ73)</f>
        <v>0</v>
      </c>
      <c r="CK74" s="173">
        <f>MIN(MAX(0,CK63+CK64+CK66+CK67-CK72),SWEEP*CK73)</f>
        <v>0</v>
      </c>
      <c r="CL74" s="173">
        <f>MIN(MAX(0,CL63+CL64+CL66+CL67-CL72),SWEEP*CL73)</f>
        <v>0</v>
      </c>
      <c r="CM74" s="173">
        <f>MIN(MAX(0,CM63+CM64+CM66+CM67-CM72),SWEEP*CM73)</f>
        <v>0</v>
      </c>
      <c r="CN74" s="173">
        <f>MIN(MAX(0,CN63+CN64+CN66+CN67-CN72),SWEEP*CN73)</f>
        <v>0</v>
      </c>
      <c r="CO74" s="173">
        <f>MIN(MAX(0,CO63+CO64+CO66+CO67-CO72),SWEEP*CO73)</f>
        <v>0</v>
      </c>
      <c r="CP74" s="173">
        <f>MIN(MAX(0,CP63+CP64+CP66+CP67-CP72),SWEEP*CP73)</f>
        <v>0</v>
      </c>
      <c r="CQ74" s="173">
        <f>MIN(MAX(0,CQ63+CQ64+CQ66+CQ67-CQ72),SWEEP*CQ73)</f>
        <v>0</v>
      </c>
      <c r="CR74" s="173">
        <f>MIN(MAX(0,CR63+CR64+CR66+CR67-CR72),SWEEP*CR73)</f>
        <v>0</v>
      </c>
      <c r="CS74" s="173">
        <f>MIN(MAX(0,CS63+CS64+CS66+CS67-CS72),SWEEP*CS73)</f>
        <v>0</v>
      </c>
      <c r="CT74" s="173">
        <f>MIN(MAX(0,CT63+CT64+CT66+CT67-CT72),SWEEP*CT73)</f>
        <v>0</v>
      </c>
      <c r="CU74" s="173">
        <f>MIN(MAX(0,CU63+CU64+CU66+CU67-CU72),SWEEP*CU73)</f>
        <v>0</v>
      </c>
      <c r="CV74" s="173">
        <f>MIN(MAX(0,CV63+CV64+CV66+CV67-CV72),SWEEP*CV73)</f>
        <v>0</v>
      </c>
      <c r="CW74" s="173">
        <f>MIN(MAX(0,CW63+CW64+CW66+CW67-CW72),SWEEP*CW73)</f>
        <v>0</v>
      </c>
      <c r="CX74" s="173">
        <f>MIN(MAX(0,CX63+CX64+CX66+CX67-CX72),SWEEP*CX73)</f>
        <v>0</v>
      </c>
      <c r="CY74" s="173">
        <f>MIN(MAX(0,CY63+CY64+CY66+CY67-CY72),SWEEP*CY73)</f>
        <v>0</v>
      </c>
      <c r="CZ74" s="173">
        <f>MIN(MAX(0,CZ63+CZ64+CZ66+CZ67-CZ72),SWEEP*CZ73)</f>
        <v>0</v>
      </c>
      <c r="DA74" s="173">
        <f>MIN(MAX(0,DA63+DA64+DA66+DA67-DA72),SWEEP*DA73)</f>
        <v>0</v>
      </c>
      <c r="DB74" s="173">
        <f>MIN(MAX(0,DB63+DB64+DB66+DB67-DB72),SWEEP*DB73)</f>
        <v>0</v>
      </c>
      <c r="DC74" s="173">
        <f>MIN(MAX(0,DC63+DC64+DC66+DC67-DC72),SWEEP*DC73)</f>
        <v>0</v>
      </c>
      <c r="DD74" s="173">
        <f>MIN(MAX(0,DD63+DD64+DD66+DD67-DD72),SWEEP*DD73)</f>
        <v>0</v>
      </c>
      <c r="DE74" s="173">
        <f>MIN(MAX(0,DE63+DE64+DE66+DE67-DE72),SWEEP*DE73)</f>
        <v>0</v>
      </c>
      <c r="DF74" s="173">
        <f>MIN(MAX(0,DF63+DF64+DF66+DF67-DF72),SWEEP*DF73)</f>
        <v>0</v>
      </c>
      <c r="DG74" s="173">
        <f>MIN(MAX(0,DG63+DG64+DG66+DG67-DG72),SWEEP*DG73)</f>
        <v>0</v>
      </c>
      <c r="DH74" s="173">
        <f>MIN(MAX(0,DH63+DH64+DH66+DH67-DH72),SWEEP*DH73)</f>
        <v>0</v>
      </c>
      <c r="DI74" s="173">
        <f>MIN(MAX(0,DI63+DI64+DI66+DI67-DI72),SWEEP*DI73)</f>
        <v>0</v>
      </c>
      <c r="DJ74" s="173">
        <f>MIN(MAX(0,DJ63+DJ64+DJ66+DJ67-DJ72),SWEEP*DJ73)</f>
        <v>0</v>
      </c>
      <c r="DK74" s="173">
        <f>MIN(MAX(0,DK63+DK64+DK66+DK67-DK72),SWEEP*DK73)</f>
        <v>0</v>
      </c>
      <c r="DL74" s="173">
        <f>MIN(MAX(0,DL63+DL64+DL66+DL67-DL72),SWEEP*DL73)</f>
        <v>0</v>
      </c>
      <c r="DM74" s="173">
        <f>MIN(MAX(0,DM63+DM64+DM66+DM67-DM72),SWEEP*DM73)</f>
        <v>0</v>
      </c>
      <c r="DN74" s="173">
        <f>MIN(MAX(0,DN63+DN64+DN66+DN67-DN72),SWEEP*DN73)</f>
        <v>0</v>
      </c>
      <c r="DO74" s="173">
        <f>MIN(MAX(0,DO63+DO64+DO66+DO67-DO72),SWEEP*DO73)</f>
        <v>0</v>
      </c>
      <c r="DP74" s="173">
        <f>MIN(MAX(0,DP63+DP64+DP66+DP67-DP72),SWEEP*DP73)</f>
        <v>0</v>
      </c>
      <c r="DQ74" s="173">
        <f>MIN(MAX(0,DQ63+DQ64+DQ66+DQ67-DQ72),SWEEP*DQ73)</f>
        <v>0</v>
      </c>
      <c r="DR74" s="173">
        <f>MIN(MAX(0,DR63+DR64+DR66+DR67-DR72),SWEEP*DR73)</f>
        <v>0</v>
      </c>
      <c r="DS74" s="173">
        <f>MIN(MAX(0,DS63+DS64+DS66+DS67-DS72),SWEEP*DS73)</f>
        <v>0</v>
      </c>
      <c r="DT74" s="173">
        <f>MIN(MAX(0,DT63+DT64+DT66+DT67-DT72),SWEEP*DT73)</f>
        <v>0</v>
      </c>
      <c r="DU74" s="173">
        <f>MIN(MAX(0,DU63+DU64+DU66+DU67-DU72),SWEEP*DU73)</f>
        <v>0</v>
      </c>
      <c r="DV74" s="173">
        <f>MIN(MAX(0,DV63+DV64+DV66+DV67-DV72),SWEEP*DV73)</f>
        <v>0</v>
      </c>
      <c r="DW74" s="173">
        <f>MIN(MAX(0,DW63+DW64+DW66+DW67-DW72),SWEEP*DW73)</f>
        <v>0</v>
      </c>
      <c r="DX74" s="173">
        <f>MIN(MAX(0,DX63+DX64+DX66+DX67-DX72),SWEEP*DX73)</f>
        <v>0</v>
      </c>
      <c r="DY74" s="173">
        <f>MIN(MAX(0,DY63+DY64+DY66+DY67-DY72),SWEEP*DY73)</f>
        <v>0</v>
      </c>
      <c r="DZ74" s="173">
        <f>MIN(MAX(0,DZ63+DZ64+DZ66+DZ67-DZ72),SWEEP*DZ73)</f>
        <v>0</v>
      </c>
      <c r="EA74" s="173">
        <f>MIN(MAX(0,EA63+EA64+EA66+EA67-EA72),SWEEP*EA73)</f>
        <v>0</v>
      </c>
      <c r="EB74" s="173">
        <f>MIN(MAX(0,EB63+EB64+EB66+EB67-EB72),SWEEP*EB73)</f>
        <v>0</v>
      </c>
      <c r="EC74" s="173">
        <f>MIN(MAX(0,EC63+EC64+EC66+EC67-EC72),SWEEP*EC73)</f>
        <v>0</v>
      </c>
      <c r="ED74" s="173">
        <f>MIN(MAX(0,ED63+ED64+ED66+ED67-ED72),SWEEP*ED73)</f>
        <v>0</v>
      </c>
      <c r="EE74" s="173">
        <f>MIN(MAX(0,EE63+EE64+EE66+EE67-EE72),SWEEP*EE73)</f>
        <v>0</v>
      </c>
      <c r="EF74" s="173">
        <f>MIN(MAX(0,EF63+EF64+EF66+EF67-EF72),SWEEP*EF73)</f>
        <v>0</v>
      </c>
      <c r="EG74" s="173">
        <f>MIN(MAX(0,EG63+EG64+EG66+EG67-EG72),SWEEP*EG73)</f>
        <v>0</v>
      </c>
      <c r="EH74" s="173">
        <f>MIN(MAX(0,EH63+EH64+EH66+EH67-EH72),SWEEP*EH73)</f>
        <v>0</v>
      </c>
      <c r="EI74" s="173">
        <f>MIN(MAX(0,EI63+EI64+EI66+EI67-EI72),SWEEP*EI73)</f>
        <v>0</v>
      </c>
      <c r="EJ74" s="173">
        <f>MIN(MAX(0,EJ63+EJ64+EJ66+EJ67-EJ72),SWEEP*EJ73)</f>
        <v>0</v>
      </c>
      <c r="EK74" s="173">
        <f>MIN(MAX(0,EK63+EK64+EK66+EK67-EK72),SWEEP*EK73)</f>
        <v>0</v>
      </c>
      <c r="EL74" s="173">
        <f>MIN(MAX(0,EL63+EL64+EL66+EL67-EL72),SWEEP*EL73)</f>
        <v>0</v>
      </c>
      <c r="EM74" s="173">
        <f>MIN(MAX(0,EM63+EM64+EM66+EM67-EM72),SWEEP*EM73)</f>
        <v>0</v>
      </c>
      <c r="EN74" s="173">
        <f>MIN(MAX(0,EN63+EN64+EN66+EN67-EN72),SWEEP*EN73)</f>
        <v>0</v>
      </c>
      <c r="EO74" s="173">
        <f>MIN(MAX(0,EO63+EO64+EO66+EO67-EO72),SWEEP*EO73)</f>
        <v>0</v>
      </c>
      <c r="EP74" s="173">
        <f>MIN(MAX(0,EP63+EP64+EP66+EP67-EP72),SWEEP*EP73)</f>
        <v>0</v>
      </c>
      <c r="EQ74" s="173">
        <f>MIN(MAX(0,EQ63+EQ64+EQ66+EQ67-EQ72),SWEEP*EQ73)</f>
        <v>0</v>
      </c>
      <c r="ER74" s="173">
        <f>MIN(MAX(0,ER63+ER64+ER66+ER67-ER72),SWEEP*ER73)</f>
        <v>0</v>
      </c>
      <c r="ES74" s="173">
        <f>MIN(MAX(0,ES63+ES64+ES66+ES67-ES72),SWEEP*ES73)</f>
        <v>0</v>
      </c>
      <c r="ET74" s="173">
        <f>MIN(MAX(0,ET63+ET64+ET66+ET67-ET72),SWEEP*ET73)</f>
        <v>0</v>
      </c>
      <c r="EU74" s="173">
        <f>MIN(MAX(0,EU63+EU64+EU66+EU67-EU72),SWEEP*EU73)</f>
        <v>0</v>
      </c>
      <c r="EV74" s="173">
        <f>MIN(MAX(0,EV63+EV64+EV66+EV67-EV72),SWEEP*EV73)</f>
        <v>0</v>
      </c>
      <c r="EW74" s="173">
        <f>MIN(MAX(0,EW63+EW64+EW66+EW67-EW72),SWEEP*EW73)</f>
        <v>0</v>
      </c>
      <c r="EX74" s="173">
        <f>MIN(MAX(0,EX63+EX64+EX66+EX67-EX72),SWEEP*EX73)</f>
        <v>0</v>
      </c>
      <c r="EY74" s="173">
        <f>MIN(MAX(0,EY63+EY64+EY66+EY67-EY72),SWEEP*EY73)</f>
        <v>0</v>
      </c>
      <c r="EZ74" s="173">
        <f>MIN(MAX(0,EZ63+EZ64+EZ66+EZ67-EZ72),SWEEP*EZ73)</f>
        <v>0</v>
      </c>
      <c r="FA74" s="173">
        <f>MIN(MAX(0,FA63+FA64+FA66+FA67-FA72),SWEEP*FA73)</f>
        <v>0</v>
      </c>
      <c r="FB74" s="173">
        <f>MIN(MAX(0,FB63+FB64+FB66+FB67-FB72),SWEEP*FB73)</f>
        <v>0</v>
      </c>
      <c r="FC74" s="173">
        <f>MIN(MAX(0,FC63+FC64+FC66+FC67-FC72),SWEEP*FC73)</f>
        <v>0</v>
      </c>
      <c r="FD74" s="173">
        <f>MIN(MAX(0,FD63+FD64+FD66+FD67-FD72),SWEEP*FD73)</f>
        <v>0</v>
      </c>
      <c r="FE74" s="173">
        <f>MIN(MAX(0,FE63+FE64+FE66+FE67-FE72),SWEEP*FE73)</f>
        <v>0</v>
      </c>
      <c r="FF74" s="173">
        <f>MIN(MAX(0,FF63+FF64+FF66+FF67-FF72),SWEEP*FF73)</f>
        <v>0</v>
      </c>
      <c r="FG74" s="173">
        <f>MIN(MAX(0,FG63+FG64+FG66+FG67-FG72),SWEEP*FG73)</f>
        <v>0</v>
      </c>
      <c r="FH74" s="173">
        <f>MIN(MAX(0,FH63+FH64+FH66+FH67-FH72),SWEEP*FH73)</f>
        <v>0</v>
      </c>
      <c r="FI74" s="173">
        <f>MIN(MAX(0,FI63+FI64+FI66+FI67-FI72),SWEEP*FI73)</f>
        <v>0</v>
      </c>
      <c r="FJ74" s="173">
        <f>MIN(MAX(0,FJ63+FJ64+FJ66+FJ67-FJ72),SWEEP*FJ73)</f>
        <v>0</v>
      </c>
      <c r="FK74" s="173">
        <f>MIN(MAX(0,FK63+FK64+FK66+FK67-FK72),SWEEP*FK73)</f>
        <v>0</v>
      </c>
      <c r="FL74" s="173">
        <f>MIN(MAX(0,FL63+FL64+FL66+FL67-FL72),SWEEP*FL73)</f>
        <v>0</v>
      </c>
      <c r="FM74" s="173">
        <f>MIN(MAX(0,FM63+FM64+FM66+FM67-FM72),SWEEP*FM73)</f>
        <v>0</v>
      </c>
      <c r="FN74" s="173">
        <f>MIN(MAX(0,FN63+FN64+FN66+FN67-FN72),SWEEP*FN73)</f>
        <v>0</v>
      </c>
      <c r="FO74" s="173">
        <f>MIN(MAX(0,FO63+FO64+FO66+FO67-FO72),SWEEP*FO73)</f>
        <v>0</v>
      </c>
      <c r="FP74" s="173">
        <f>MIN(MAX(0,FP63+FP64+FP66+FP67-FP72),SWEEP*FP73)</f>
        <v>0</v>
      </c>
      <c r="FQ74" s="173">
        <f>MIN(MAX(0,FQ63+FQ64+FQ66+FQ67-FQ72),SWEEP*FQ73)</f>
        <v>0</v>
      </c>
      <c r="FR74" s="173">
        <f>MIN(MAX(0,FR63+FR64+FR66+FR67-FR72),SWEEP*FR73)</f>
        <v>0</v>
      </c>
      <c r="FS74" s="173">
        <f>MIN(MAX(0,FS63+FS64+FS66+FS67-FS72),SWEEP*FS73)</f>
        <v>0</v>
      </c>
      <c r="FT74" s="173">
        <f>MIN(MAX(0,FT63+FT64+FT66+FT67-FT72),SWEEP*FT73)</f>
        <v>0</v>
      </c>
      <c r="FU74" s="173">
        <f>MIN(MAX(0,FU63+FU64+FU66+FU67-FU72),SWEEP*FU73)</f>
        <v>0</v>
      </c>
      <c r="FV74" s="173">
        <f>MIN(MAX(0,FV63+FV64+FV66+FV67-FV72),SWEEP*FV73)</f>
        <v>0</v>
      </c>
      <c r="FW74" s="173">
        <f>MIN(MAX(0,FW63+FW64+FW66+FW67-FW72),SWEEP*FW73)</f>
        <v>0</v>
      </c>
      <c r="FX74" s="173">
        <f>MIN(MAX(0,FX63+FX64+FX66+FX67-FX72),SWEEP*FX73)</f>
        <v>0</v>
      </c>
      <c r="FY74" s="173">
        <f>MIN(MAX(0,FY63+FY64+FY66+FY67-FY72),SWEEP*FY73)</f>
        <v>0</v>
      </c>
      <c r="FZ74" s="173">
        <f>MIN(MAX(0,FZ63+FZ64+FZ66+FZ67-FZ72),SWEEP*FZ73)</f>
        <v>0</v>
      </c>
      <c r="GA74" s="173">
        <f>MIN(MAX(0,GA63+GA64+GA66+GA67-GA72),SWEEP*GA73)</f>
        <v>0</v>
      </c>
      <c r="GB74" s="173">
        <f>MIN(MAX(0,GB63+GB64+GB66+GB67-GB72),SWEEP*GB73)</f>
        <v>0</v>
      </c>
      <c r="GC74" s="173">
        <f>MIN(MAX(0,GC63+GC64+GC66+GC67-GC72),SWEEP*GC73)</f>
        <v>0</v>
      </c>
      <c r="GD74" s="173">
        <f>MIN(MAX(0,GD63+GD64+GD66+GD67-GD72),SWEEP*GD73)</f>
        <v>0</v>
      </c>
      <c r="GE74" s="173">
        <f>MIN(MAX(0,GE63+GE64+GE66+GE67-GE72),SWEEP*GE73)</f>
        <v>0</v>
      </c>
      <c r="GF74" s="173">
        <f>MIN(MAX(0,GF63+GF64+GF66+GF67-GF72),SWEEP*GF73)</f>
        <v>0</v>
      </c>
      <c r="GG74" s="173">
        <f>MIN(MAX(0,GG63+GG64+GG66+GG67-GG72),SWEEP*GG73)</f>
        <v>0</v>
      </c>
      <c r="GH74" s="173">
        <f>MIN(MAX(0,GH63+GH64+GH66+GH67-GH72),SWEEP*GH73)</f>
        <v>0</v>
      </c>
      <c r="GI74" s="173">
        <f>MIN(MAX(0,GI63+GI64+GI66+GI67-GI72),SWEEP*GI73)</f>
        <v>0</v>
      </c>
      <c r="GJ74" s="173">
        <f>MIN(MAX(0,GJ63+GJ64+GJ66+GJ67-GJ72),SWEEP*GJ73)</f>
        <v>0</v>
      </c>
      <c r="GK74" s="173">
        <f>MIN(MAX(0,GK63+GK64+GK66+GK67-GK72),SWEEP*GK73)</f>
        <v>0</v>
      </c>
      <c r="GL74" s="173">
        <f>MIN(MAX(0,GL63+GL64+GL66+GL67-GL72),SWEEP*GL73)</f>
        <v>0</v>
      </c>
      <c r="GM74" s="173">
        <f>MIN(MAX(0,GM63+GM64+GM66+GM67-GM72),SWEEP*GM73)</f>
        <v>0</v>
      </c>
      <c r="GN74" s="173">
        <f>MIN(MAX(0,GN63+GN64+GN66+GN67-GN72),SWEEP*GN73)</f>
        <v>0</v>
      </c>
      <c r="GO74" s="173">
        <f>MIN(MAX(0,GO63+GO64+GO66+GO67-GO72),SWEEP*GO73)</f>
        <v>0</v>
      </c>
      <c r="GP74" s="173">
        <f>MIN(MAX(0,GP63+GP64+GP66+GP67-GP72),SWEEP*GP73)</f>
        <v>0</v>
      </c>
      <c r="GQ74" s="173">
        <f>MIN(MAX(0,GQ63+GQ64+GQ66+GQ67-GQ72),SWEEP*GQ73)</f>
        <v>0</v>
      </c>
      <c r="GR74" s="173">
        <f>MIN(MAX(0,GR63+GR64+GR66+GR67-GR72),SWEEP*GR73)</f>
        <v>0</v>
      </c>
      <c r="GS74" s="173">
        <f>MIN(MAX(0,GS63+GS64+GS66+GS67-GS72),SWEEP*GS73)</f>
        <v>0</v>
      </c>
      <c r="GT74" s="173">
        <f>MIN(MAX(0,GT63+GT64+GT66+GT67-GT72),SWEEP*GT73)</f>
        <v>0</v>
      </c>
      <c r="GU74" s="173">
        <f>MIN(MAX(0,GU63+GU64+GU66+GU67-GU72),SWEEP*GU73)</f>
        <v>0</v>
      </c>
      <c r="GV74" s="173">
        <f>MIN(MAX(0,GV63+GV64+GV66+GV67-GV72),SWEEP*GV73)</f>
        <v>0</v>
      </c>
      <c r="GW74" s="173">
        <f>MIN(MAX(0,GW63+GW64+GW66+GW67-GW72),SWEEP*GW73)</f>
        <v>0</v>
      </c>
      <c r="GX74" s="173">
        <f>MIN(MAX(0,GX63+GX64+GX66+GX67-GX72),SWEEP*GX73)</f>
        <v>0</v>
      </c>
      <c r="GY74" s="173">
        <f>MIN(MAX(0,GY63+GY64+GY66+GY67-GY72),SWEEP*GY73)</f>
        <v>0</v>
      </c>
      <c r="GZ74" s="173">
        <f>MIN(MAX(0,GZ63+GZ64+GZ66+GZ67-GZ72),SWEEP*GZ73)</f>
        <v>0</v>
      </c>
      <c r="HA74" s="173">
        <f>MIN(MAX(0,HA63+HA64+HA66+HA67-HA72),SWEEP*HA73)</f>
        <v>0</v>
      </c>
      <c r="HB74" s="173">
        <f>MIN(MAX(0,HB63+HB64+HB66+HB67-HB72),SWEEP*HB73)</f>
        <v>0</v>
      </c>
      <c r="HC74" s="173">
        <f>MIN(MAX(0,HC63+HC64+HC66+HC67-HC72),SWEEP*HC73)</f>
        <v>0</v>
      </c>
      <c r="HD74" s="173">
        <f>MIN(MAX(0,HD63+HD64+HD66+HD67-HD72),SWEEP*HD73)</f>
        <v>0</v>
      </c>
      <c r="HE74" s="173">
        <f>MIN(MAX(0,HE63+HE64+HE66+HE67-HE72),SWEEP*HE73)</f>
        <v>0</v>
      </c>
      <c r="HF74" s="173">
        <f>MIN(MAX(0,HF63+HF64+HF66+HF67-HF72),SWEEP*HF73)</f>
        <v>0</v>
      </c>
      <c r="HG74" s="173">
        <f>MIN(MAX(0,HG63+HG64+HG66+HG67-HG72),SWEEP*HG73)</f>
        <v>0</v>
      </c>
      <c r="HH74" s="173">
        <f>MIN(MAX(0,HH63+HH64+HH66+HH67-HH72),SWEEP*HH73)</f>
        <v>0</v>
      </c>
      <c r="HI74" s="173">
        <f>MIN(MAX(0,HI63+HI64+HI66+HI67-HI72),SWEEP*HI73)</f>
        <v>0</v>
      </c>
      <c r="HJ74" s="173">
        <f>MIN(MAX(0,HJ63+HJ64+HJ66+HJ67-HJ72),SWEEP*HJ73)</f>
        <v>0</v>
      </c>
      <c r="HK74" s="173">
        <f>MIN(MAX(0,HK63+HK64+HK66+HK67-HK72),SWEEP*HK73)</f>
        <v>0</v>
      </c>
      <c r="HL74" s="173">
        <f>MIN(MAX(0,HL63+HL64+HL66+HL67-HL72),SWEEP*HL73)</f>
        <v>0</v>
      </c>
      <c r="HM74" s="173">
        <f>MIN(MAX(0,HM63+HM64+HM66+HM67-HM72),SWEEP*HM73)</f>
        <v>0</v>
      </c>
      <c r="HN74" s="173">
        <f>MIN(MAX(0,HN63+HN64+HN66+HN67-HN72),SWEEP*HN73)</f>
        <v>0</v>
      </c>
      <c r="HO74" s="173">
        <f>MIN(MAX(0,HO63+HO64+HO66+HO67-HO72),SWEEP*HO73)</f>
        <v>0</v>
      </c>
      <c r="HP74" s="173">
        <f>MIN(MAX(0,HP63+HP64+HP66+HP67-HP72),SWEEP*HP73)</f>
        <v>0</v>
      </c>
      <c r="HQ74" s="173">
        <f>MIN(MAX(0,HQ63+HQ64+HQ66+HQ67-HQ72),SWEEP*HQ73)</f>
        <v>0</v>
      </c>
      <c r="HR74" s="173">
        <f>MIN(MAX(0,HR63+HR64+HR66+HR67-HR72),SWEEP*HR73)</f>
        <v>0</v>
      </c>
      <c r="HS74" s="173">
        <f>MIN(MAX(0,HS63+HS64+HS66+HS67-HS72),SWEEP*HS73)</f>
        <v>0</v>
      </c>
      <c r="HT74" s="173">
        <f>MIN(MAX(0,HT63+HT64+HT66+HT67-HT72),SWEEP*HT73)</f>
        <v>0</v>
      </c>
      <c r="HU74" s="173">
        <f>MIN(MAX(0,HU63+HU64+HU66+HU67-HU72),SWEEP*HU73)</f>
        <v>0</v>
      </c>
      <c r="HV74" s="173">
        <f>MIN(MAX(0,HV63+HV64+HV66+HV67-HV72),SWEEP*HV73)</f>
        <v>0</v>
      </c>
      <c r="HW74" s="173">
        <f>MIN(MAX(0,HW63+HW64+HW66+HW67-HW72),SWEEP*HW73)</f>
        <v>0</v>
      </c>
      <c r="HX74" s="173">
        <f>MIN(MAX(0,HX63+HX64+HX66+HX67-HX72),SWEEP*HX73)</f>
        <v>0</v>
      </c>
      <c r="HY74" s="173">
        <f>MIN(MAX(0,HY63+HY64+HY66+HY67-HY72),SWEEP*HY73)</f>
        <v>0</v>
      </c>
      <c r="HZ74" s="173">
        <f>MIN(MAX(0,HZ63+HZ64+HZ66+HZ67-HZ72),SWEEP*HZ73)</f>
        <v>0</v>
      </c>
      <c r="IA74" s="173">
        <f>MIN(MAX(0,IA63+IA64+IA66+IA67-IA72),SWEEP*IA73)</f>
        <v>0</v>
      </c>
      <c r="IB74" s="173">
        <f>MIN(MAX(0,IB63+IB64+IB66+IB67-IB72),SWEEP*IB73)</f>
        <v>0</v>
      </c>
      <c r="IC74" s="173">
        <f>MIN(MAX(0,IC63+IC64+IC66+IC67-IC72),SWEEP*IC73)</f>
        <v>0</v>
      </c>
      <c r="ID74" s="173">
        <f>MIN(MAX(0,ID63+ID64+ID66+ID67-ID72),SWEEP*ID73)</f>
        <v>0</v>
      </c>
      <c r="IE74" s="173">
        <f>MIN(MAX(0,IE63+IE64+IE66+IE67-IE72),SWEEP*IE73)</f>
        <v>0</v>
      </c>
      <c r="IF74" s="173">
        <f>MIN(MAX(0,IF63+IF64+IF66+IF67-IF72),SWEEP*IF73)</f>
        <v>0</v>
      </c>
      <c r="IG74" s="173">
        <f>MIN(MAX(0,IG63+IG64+IG66+IG67-IG72),SWEEP*IG73)</f>
        <v>0</v>
      </c>
      <c r="IH74" s="173">
        <f>MIN(MAX(0,IH63+IH64+IH66+IH67-IH72),SWEEP*IH73)</f>
        <v>0</v>
      </c>
      <c r="II74" s="173">
        <f>MIN(MAX(0,II63+II64+II66+II67-II72),SWEEP*II73)</f>
        <v>0</v>
      </c>
      <c r="IJ74" s="173">
        <f>MIN(MAX(0,IJ63+IJ64+IJ66+IJ67-IJ72),SWEEP*IJ73)</f>
        <v>0</v>
      </c>
      <c r="IK74" s="173">
        <f>MIN(MAX(0,IK63+IK64+IK66+IK67-IK72),SWEEP*IK73)</f>
        <v>0</v>
      </c>
      <c r="IL74" s="173">
        <f>MIN(MAX(0,IL63+IL64+IL66+IL67-IL72),SWEEP*IL73)</f>
        <v>0</v>
      </c>
      <c r="IM74" s="173">
        <f>MIN(MAX(0,IM63+IM64+IM66+IM67-IM72),SWEEP*IM73)</f>
        <v>0</v>
      </c>
      <c r="IN74" s="173">
        <f>MIN(MAX(0,IN63+IN64+IN66+IN67-IN72),SWEEP*IN73)</f>
        <v>0</v>
      </c>
      <c r="IO74" s="173">
        <f>MIN(MAX(0,IO63+IO64+IO66+IO67-IO72),SWEEP*IO73)</f>
        <v>0</v>
      </c>
      <c r="IP74" s="173">
        <f>MIN(MAX(0,IP63+IP64+IP66+IP67-IP72),SWEEP*IP73)</f>
        <v>0</v>
      </c>
      <c r="IQ74" s="173">
        <f>MIN(MAX(0,IQ63+IQ64+IQ66+IQ67-IQ72),SWEEP*IQ73)</f>
        <v>0</v>
      </c>
      <c r="IR74" s="173">
        <f>MIN(MAX(0,IR63+IR64+IR66+IR67-IR72),SWEEP*IR73)</f>
        <v>0</v>
      </c>
      <c r="IS74" s="173">
        <f>MIN(MAX(0,IS63+IS64+IS66+IS67-IS72),SWEEP*IS73)</f>
        <v>0</v>
      </c>
      <c r="IT74" s="173">
        <f>MIN(MAX(0,IT63+IT64+IT66+IT67-IT72),SWEEP*IT73)</f>
        <v>0</v>
      </c>
      <c r="IU74" s="173">
        <f>MIN(MAX(0,IU63+IU64+IU66+IU67-IU72),SWEEP*IU73)</f>
        <v>0</v>
      </c>
      <c r="IV74" s="173">
        <f>MIN(MAX(0,IV63+IV64+IV66+IV67-IV72),SWEEP*IV73)</f>
        <v>0</v>
      </c>
      <c r="IW74" s="173">
        <f>MIN(MAX(0,IW63+IW64+IW66+IW67-IW72),SWEEP*IW73)</f>
        <v>0</v>
      </c>
      <c r="IX74" s="173">
        <f>MIN(MAX(0,IX63+IX64+IX66+IX67-IX72),SWEEP*IX73)</f>
        <v>0</v>
      </c>
      <c r="IY74" s="173">
        <f>MIN(MAX(0,IY63+IY64+IY66+IY67-IY72),SWEEP*IY73)</f>
        <v>0</v>
      </c>
      <c r="IZ74" s="173">
        <f>MIN(MAX(0,IZ63+IZ64+IZ66+IZ67-IZ72),SWEEP*IZ73)</f>
        <v>0</v>
      </c>
      <c r="JA74" s="173">
        <f>MIN(MAX(0,JA63+JA64+JA66+JA67-JA72),SWEEP*JA73)</f>
        <v>0</v>
      </c>
      <c r="JB74" s="173">
        <f>MIN(MAX(0,JB63+JB64+JB66+JB67-JB72),SWEEP*JB73)</f>
        <v>0</v>
      </c>
      <c r="JC74" s="173">
        <f>MIN(MAX(0,JC63+JC64+JC66+JC67-JC72),SWEEP*JC73)</f>
        <v>0</v>
      </c>
      <c r="JD74" s="173">
        <f>MIN(MAX(0,JD63+JD64+JD66+JD67-JD72),SWEEP*JD73)</f>
        <v>0</v>
      </c>
      <c r="JE74" s="173">
        <f>MIN(MAX(0,JE63+JE64+JE66+JE67-JE72),SWEEP*JE73)</f>
        <v>0</v>
      </c>
      <c r="JF74" s="173">
        <f>MIN(MAX(0,JF63+JF64+JF66+JF67-JF72),SWEEP*JF73)</f>
        <v>0</v>
      </c>
      <c r="JG74" s="173">
        <f>MIN(MAX(0,JG63+JG64+JG66+JG67-JG72),SWEEP*JG73)</f>
        <v>0</v>
      </c>
      <c r="JH74" s="173">
        <f>MIN(MAX(0,JH63+JH64+JH66+JH67-JH72),SWEEP*JH73)</f>
        <v>0</v>
      </c>
      <c r="JI74" s="173">
        <f>MIN(MAX(0,JI63+JI64+JI66+JI67-JI72),SWEEP*JI73)</f>
        <v>0</v>
      </c>
      <c r="JJ74" s="173">
        <f>MIN(MAX(0,JJ63+JJ64+JJ66+JJ67-JJ72),SWEEP*JJ73)</f>
        <v>0</v>
      </c>
      <c r="JK74" s="173">
        <f>MIN(MAX(0,JK63+JK64+JK66+JK67-JK72),SWEEP*JK73)</f>
        <v>0</v>
      </c>
      <c r="JL74" s="173">
        <f>MIN(MAX(0,JL63+JL64+JL66+JL67-JL72),SWEEP*JL73)</f>
        <v>0</v>
      </c>
      <c r="JM74" s="173">
        <f>MIN(MAX(0,JM63+JM64+JM66+JM67-JM72),SWEEP*JM73)</f>
        <v>0</v>
      </c>
      <c r="JN74" s="173">
        <f>MIN(MAX(0,JN63+JN64+JN66+JN67-JN72),SWEEP*JN73)</f>
        <v>0</v>
      </c>
      <c r="JO74" s="173">
        <f>MIN(MAX(0,JO63+JO64+JO66+JO67-JO72),SWEEP*JO73)</f>
        <v>0</v>
      </c>
      <c r="JP74" s="173">
        <f>MIN(MAX(0,JP63+JP64+JP66+JP67-JP72),SWEEP*JP73)</f>
        <v>0</v>
      </c>
      <c r="JQ74" s="173">
        <f>MIN(MAX(0,JQ63+JQ64+JQ66+JQ67-JQ72),SWEEP*JQ73)</f>
        <v>0</v>
      </c>
      <c r="JR74" s="173">
        <f>MIN(MAX(0,JR63+JR64+JR66+JR67-JR72),SWEEP*JR73)</f>
        <v>0</v>
      </c>
      <c r="JS74" s="173">
        <f>MIN(MAX(0,JS63+JS64+JS66+JS67-JS72),SWEEP*JS73)</f>
        <v>0</v>
      </c>
      <c r="JT74" s="173">
        <f>MIN(MAX(0,JT63+JT64+JT66+JT67-JT72),SWEEP*JT73)</f>
        <v>0</v>
      </c>
      <c r="JU74" s="173">
        <f>MIN(MAX(0,JU63+JU64+JU66+JU67-JU72),SWEEP*JU73)</f>
        <v>0</v>
      </c>
      <c r="JV74" s="173">
        <f>MIN(MAX(0,JV63+JV64+JV66+JV67-JV72),SWEEP*JV73)</f>
        <v>0</v>
      </c>
      <c r="JW74" s="173">
        <f>MIN(MAX(0,JW63+JW64+JW66+JW67-JW72),SWEEP*JW73)</f>
        <v>0</v>
      </c>
      <c r="JX74" s="173">
        <f>MIN(MAX(0,JX63+JX64+JX66+JX67-JX72),SWEEP*JX73)</f>
        <v>0</v>
      </c>
      <c r="JY74" s="173">
        <f>MIN(MAX(0,JY63+JY64+JY66+JY67-JY72),SWEEP*JY73)</f>
        <v>0</v>
      </c>
      <c r="JZ74" s="173">
        <f>MIN(MAX(0,JZ63+JZ64+JZ66+JZ67-JZ72),SWEEP*JZ73)</f>
        <v>0</v>
      </c>
      <c r="KA74" s="173">
        <f>MIN(MAX(0,KA63+KA64+KA66+KA67-KA72),SWEEP*KA73)</f>
        <v>0</v>
      </c>
      <c r="KB74" s="173">
        <f>MIN(MAX(0,KB63+KB64+KB66+KB67-KB72),SWEEP*KB73)</f>
        <v>0</v>
      </c>
      <c r="KC74" s="173">
        <f>MIN(MAX(0,KC63+KC64+KC66+KC67-KC72),SWEEP*KC73)</f>
        <v>0</v>
      </c>
      <c r="KD74" s="173">
        <f>MIN(MAX(0,KD63+KD64+KD66+KD67-KD72),SWEEP*KD73)</f>
        <v>0</v>
      </c>
      <c r="KE74" s="173">
        <f>MIN(MAX(0,KE63+KE64+KE66+KE67-KE72),SWEEP*KE73)</f>
        <v>0</v>
      </c>
      <c r="KF74" s="173">
        <f>MIN(MAX(0,KF63+KF64+KF66+KF67-KF72),SWEEP*KF73)</f>
        <v>0</v>
      </c>
    </row>
    <row r="75">
      <c r="B75" s="97" t="inlineStr">
        <is>
          <t>Closing balance</t>
        </is>
      </c>
      <c r="C75" s="180" t="inlineStr">
        <is>
          <t>ETB</t>
        </is>
      </c>
      <c r="D75" s="181">
        <f>MAX(E75:KF75)</f>
        <v>133149894.104201</v>
      </c>
      <c r="E75" s="182">
        <f>E63+E64+E66+E67-E72-E74</f>
        <v>0</v>
      </c>
      <c r="F75" s="182">
        <f>F63+F64+F66+F67-F72-F74</f>
        <v>0</v>
      </c>
      <c r="G75" s="182">
        <f>G63+G64+G66+G67-G72-G74</f>
        <v>0</v>
      </c>
      <c r="H75" s="182">
        <f>H63+H64+H66+H67-H72-H74</f>
        <v>0</v>
      </c>
      <c r="I75" s="182">
        <f>I63+I64+I66+I67-I72-I74</f>
        <v>0</v>
      </c>
      <c r="J75" s="182">
        <f>J63+J64+J66+J67-J72-J74</f>
        <v>0</v>
      </c>
      <c r="K75" s="182">
        <f>K63+K64+K66+K67-K72-K74</f>
        <v>0</v>
      </c>
      <c r="L75" s="182">
        <f>L63+L64+L66+L67-L72-L74</f>
        <v>0</v>
      </c>
      <c r="M75" s="182">
        <f>M63+M64+M66+M67-M72-M74</f>
        <v>0</v>
      </c>
      <c r="N75" s="182">
        <f>N63+N64+N66+N67-N72-N74</f>
        <v>0</v>
      </c>
      <c r="O75" s="182">
        <f>O63+O64+O66+O67-O72-O74</f>
        <v>0</v>
      </c>
      <c r="P75" s="182">
        <f>P63+P64+P66+P67-P72-P74</f>
        <v>0</v>
      </c>
      <c r="Q75" s="182">
        <f>Q63+Q64+Q66+Q67-Q72-Q74</f>
        <v>0</v>
      </c>
      <c r="R75" s="182">
        <f>R63+R64+R66+R67-R72-R74</f>
        <v>0</v>
      </c>
      <c r="S75" s="182">
        <f>S63+S64+S66+S67-S72-S74</f>
        <v>0</v>
      </c>
      <c r="T75" s="182">
        <f>T63+T64+T66+T67-T72-T74</f>
        <v>13471888.0912247</v>
      </c>
      <c r="U75" s="182">
        <f>U63+U64+U66+U67-U72-U74</f>
        <v>31787138.0289005</v>
      </c>
      <c r="V75" s="182">
        <f>V63+V64+V66+V67-V72-V74</f>
        <v>49024355.0536887</v>
      </c>
      <c r="W75" s="182">
        <f>W63+W64+W66+W67-W72-W74</f>
        <v>64713884.3523171</v>
      </c>
      <c r="X75" s="182">
        <f>X63+X64+X66+X67-X72-X74</f>
        <v>78500604.8592205</v>
      </c>
      <c r="Y75" s="182">
        <f>Y63+Y64+Y66+Y67-Y72-Y74</f>
        <v>90155630.8082329</v>
      </c>
      <c r="Z75" s="182">
        <f>Z63+Z64+Z66+Z67-Z72-Z74</f>
        <v>99572170.2239885</v>
      </c>
      <c r="AA75" s="182">
        <f>AA63+AA64+AA66+AA67-AA72-AA74</f>
        <v>106749591.718117</v>
      </c>
      <c r="AB75" s="182">
        <f>AB63+AB64+AB66+AB67-AB72-AB74</f>
        <v>111770848.284784</v>
      </c>
      <c r="AC75" s="182">
        <f>AC63+AC64+AC66+AC67-AC72-AC74</f>
        <v>125131216.27925</v>
      </c>
      <c r="AD75" s="182">
        <f>AD63+AD64+AD66+AD67-AD72-AD74</f>
        <v>126695356.482741</v>
      </c>
      <c r="AE75" s="182">
        <f>AE63+AE64+AE66+AE67-AE72-AE74</f>
        <v>128279048.438775</v>
      </c>
      <c r="AF75" s="182">
        <f>AF63+AF64+AF66+AF67-AF72-AF74</f>
        <v>129882536.544259</v>
      </c>
      <c r="AG75" s="182">
        <f>AG63+AG64+AG66+AG67-AG72-AG74</f>
        <v>131506068.251063</v>
      </c>
      <c r="AH75" s="182">
        <f>AH63+AH64+AH66+AH67-AH72-AH74</f>
        <v>133149894.104201</v>
      </c>
      <c r="AI75" s="182">
        <f>AI63+AI64+AI66+AI67-AI72-AI74</f>
        <v>93857351.3125821</v>
      </c>
      <c r="AJ75" s="182">
        <f>AJ63+AJ64+AJ66+AJ67-AJ72-AJ74</f>
        <v>93857351.3125821</v>
      </c>
      <c r="AK75" s="182">
        <f>AK63+AK64+AK66+AK67-AK72-AK74</f>
        <v>93857351.3125821</v>
      </c>
      <c r="AL75" s="182">
        <f>AL63+AL64+AL66+AL67-AL72-AL74</f>
        <v>93857351.3125821</v>
      </c>
      <c r="AM75" s="182">
        <f>AM63+AM64+AM66+AM67-AM72-AM74</f>
        <v>93857351.3125821</v>
      </c>
      <c r="AN75" s="182">
        <f>AN63+AN64+AN66+AN67-AN72-AN74</f>
        <v>93857351.3125821</v>
      </c>
      <c r="AO75" s="182">
        <f>AO63+AO64+AO66+AO67-AO72-AO74</f>
        <v>93857351.3125821</v>
      </c>
      <c r="AP75" s="182">
        <f>AP63+AP64+AP66+AP67-AP72-AP74</f>
        <v>93857351.3125821</v>
      </c>
      <c r="AQ75" s="182">
        <f>AQ63+AQ64+AQ66+AQ67-AQ72-AQ74</f>
        <v>93857351.3125821</v>
      </c>
      <c r="AR75" s="182">
        <f>AR63+AR64+AR66+AR67-AR72-AR74</f>
        <v>93857351.3125821</v>
      </c>
      <c r="AS75" s="182">
        <f>AS63+AS64+AS66+AS67-AS72-AS74</f>
        <v>93857351.3125821</v>
      </c>
      <c r="AT75" s="182">
        <f>AT63+AT64+AT66+AT67-AT72-AT74</f>
        <v>54412900.1125821</v>
      </c>
      <c r="AU75" s="182">
        <f>AU63+AU64+AU66+AU67-AU72-AU74</f>
        <v>54412900.1125821</v>
      </c>
      <c r="AV75" s="182">
        <f>AV63+AV64+AV66+AV67-AV72-AV74</f>
        <v>54412900.1125821</v>
      </c>
      <c r="AW75" s="182">
        <f>AW63+AW64+AW66+AW67-AW72-AW74</f>
        <v>53674484.1400967</v>
      </c>
      <c r="AX75" s="182">
        <f>AX63+AX64+AX66+AX67-AX72-AX74</f>
        <v>53674484.1400967</v>
      </c>
      <c r="AY75" s="182">
        <f>AY63+AY64+AY66+AY67-AY72-AY74</f>
        <v>53674484.1400967</v>
      </c>
      <c r="AZ75" s="182">
        <f>AZ63+AZ64+AZ66+AZ67-AZ72-AZ74</f>
        <v>52908377.568643</v>
      </c>
      <c r="BA75" s="182">
        <f>BA63+BA64+BA66+BA67-BA72-BA74</f>
        <v>52908377.568643</v>
      </c>
      <c r="BB75" s="182">
        <f>BB63+BB64+BB66+BB67-BB72-BB74</f>
        <v>52908377.568643</v>
      </c>
      <c r="BC75" s="182">
        <f>BC63+BC64+BC66+BC67-BC72-BC74</f>
        <v>52113542.0007599</v>
      </c>
      <c r="BD75" s="182">
        <f>BD63+BD64+BD66+BD67-BD72-BD74</f>
        <v>52113542.0007599</v>
      </c>
      <c r="BE75" s="182">
        <f>BE63+BE64+BE66+BE67-BE72-BE74</f>
        <v>52113542.0007599</v>
      </c>
      <c r="BF75" s="182">
        <f>BF63+BF64+BF66+BF67-BF72-BF74</f>
        <v>22362969.2190811</v>
      </c>
      <c r="BG75" s="182">
        <f>BG63+BG64+BG66+BG67-BG72-BG74</f>
        <v>22362969.2190811</v>
      </c>
      <c r="BH75" s="182">
        <f>BH63+BH64+BH66+BH67-BH72-BH74</f>
        <v>22362969.2190811</v>
      </c>
      <c r="BI75" s="182">
        <f>BI63+BI64+BI66+BI67-BI72-BI74</f>
        <v>21989925.6271549</v>
      </c>
      <c r="BJ75" s="182">
        <f>BJ63+BJ64+BJ66+BJ67-BJ72-BJ74</f>
        <v>21989925.6271549</v>
      </c>
      <c r="BK75" s="182">
        <f>BK63+BK64+BK66+BK67-BK72-BK74</f>
        <v>21989925.6271549</v>
      </c>
      <c r="BL75" s="182">
        <f>BL63+BL64+BL66+BL67-BL72-BL74</f>
        <v>21602892.9005314</v>
      </c>
      <c r="BM75" s="182">
        <f>BM63+BM64+BM66+BM67-BM72-BM74</f>
        <v>21602892.9005314</v>
      </c>
      <c r="BN75" s="182">
        <f>BN63+BN64+BN66+BN67-BN72-BN74</f>
        <v>21602892.9005314</v>
      </c>
      <c r="BO75" s="182">
        <f>BO63+BO64+BO66+BO67-BO72-BO74</f>
        <v>21201346.4466596</v>
      </c>
      <c r="BP75" s="182">
        <f>BP63+BP64+BP66+BP67-BP72-BP74</f>
        <v>21201346.4466596</v>
      </c>
      <c r="BQ75" s="182">
        <f>BQ63+BQ64+BQ66+BQ67-BQ72-BQ74</f>
        <v>21201346.4466596</v>
      </c>
      <c r="BR75" s="182">
        <f>BR63+BR64+BR66+BR67-BR72-BR74</f>
        <v>20784742.0007675</v>
      </c>
      <c r="BS75" s="182">
        <f>BS63+BS64+BS66+BS67-BS72-BS74</f>
        <v>20784742.0007675</v>
      </c>
      <c r="BT75" s="182">
        <f>BT63+BT64+BT66+BT67-BT72-BT74</f>
        <v>20784742.0007675</v>
      </c>
      <c r="BU75" s="182">
        <f>BU63+BU64+BU66+BU67-BU72-BU74</f>
        <v>20352514.8881545</v>
      </c>
      <c r="BV75" s="182">
        <f>BV63+BV64+BV66+BV67-BV72-BV74</f>
        <v>20352514.8881545</v>
      </c>
      <c r="BW75" s="182">
        <f>BW63+BW64+BW66+BW67-BW72-BW74</f>
        <v>20352514.8881545</v>
      </c>
      <c r="BX75" s="182">
        <f>BX63+BX64+BX66+BX67-BX72-BX74</f>
        <v>19904079.2588186</v>
      </c>
      <c r="BY75" s="182">
        <f>BY63+BY64+BY66+BY67-BY72-BY74</f>
        <v>19904079.2588186</v>
      </c>
      <c r="BZ75" s="182">
        <f>BZ63+BZ64+BZ66+BZ67-BZ72-BZ74</f>
        <v>19904079.2588186</v>
      </c>
      <c r="CA75" s="182">
        <f>CA63+CA64+CA66+CA67-CA72-CA74</f>
        <v>19438827.2933825</v>
      </c>
      <c r="CB75" s="182">
        <f>CB63+CB64+CB66+CB67-CB72-CB74</f>
        <v>19438827.2933825</v>
      </c>
      <c r="CC75" s="182">
        <f>CC63+CC64+CC66+CC67-CC72-CC74</f>
        <v>19438827.2933825</v>
      </c>
      <c r="CD75" s="182">
        <f>CD63+CD64+CD66+CD67-CD72-CD74</f>
        <v>18956128.3792425</v>
      </c>
      <c r="CE75" s="182">
        <f>CE63+CE64+CE66+CE67-CE72-CE74</f>
        <v>18956128.3792425</v>
      </c>
      <c r="CF75" s="182">
        <f>CF63+CF64+CF66+CF67-CF72-CF74</f>
        <v>18956128.3792425</v>
      </c>
      <c r="CG75" s="182">
        <f>CG63+CG64+CG66+CG67-CG72-CG74</f>
        <v>18455328.2558224</v>
      </c>
      <c r="CH75" s="182">
        <f>CH63+CH64+CH66+CH67-CH72-CH74</f>
        <v>18455328.2558224</v>
      </c>
      <c r="CI75" s="182">
        <f>CI63+CI64+CI66+CI67-CI72-CI74</f>
        <v>18455328.2558224</v>
      </c>
      <c r="CJ75" s="182">
        <f>CJ63+CJ64+CJ66+CJ67-CJ72-CJ74</f>
        <v>17935748.1277739</v>
      </c>
      <c r="CK75" s="182">
        <f>CK63+CK64+CK66+CK67-CK72-CK74</f>
        <v>17935748.1277739</v>
      </c>
      <c r="CL75" s="182">
        <f>CL63+CL64+CL66+CL67-CL72-CL74</f>
        <v>17935748.1277739</v>
      </c>
      <c r="CM75" s="182">
        <f>CM63+CM64+CM66+CM67-CM72-CM74</f>
        <v>17396683.7449237</v>
      </c>
      <c r="CN75" s="182">
        <f>CN63+CN64+CN66+CN67-CN72-CN74</f>
        <v>17396683.7449237</v>
      </c>
      <c r="CO75" s="182">
        <f>CO63+CO64+CO66+CO67-CO72-CO74</f>
        <v>17396683.7449237</v>
      </c>
      <c r="CP75" s="182">
        <f>CP63+CP64+CP66+CP67-CP72-CP74</f>
        <v>16837404.4477165</v>
      </c>
      <c r="CQ75" s="182">
        <f>CQ63+CQ64+CQ66+CQ67-CQ72-CQ74</f>
        <v>16837404.4477165</v>
      </c>
      <c r="CR75" s="182">
        <f>CR63+CR64+CR66+CR67-CR72-CR74</f>
        <v>16837404.4477165</v>
      </c>
      <c r="CS75" s="182">
        <f>CS63+CS64+CS66+CS67-CS72-CS74</f>
        <v>16257152.1768641</v>
      </c>
      <c r="CT75" s="182">
        <f>CT63+CT64+CT66+CT67-CT72-CT74</f>
        <v>16257152.1768641</v>
      </c>
      <c r="CU75" s="182">
        <f>CU63+CU64+CU66+CU67-CU72-CU74</f>
        <v>16257152.1768641</v>
      </c>
      <c r="CV75" s="182">
        <f>CV63+CV64+CV66+CV67-CV72-CV74</f>
        <v>15655140.4458548</v>
      </c>
      <c r="CW75" s="182">
        <f>CW63+CW64+CW66+CW67-CW72-CW74</f>
        <v>15655140.4458548</v>
      </c>
      <c r="CX75" s="182">
        <f>CX63+CX64+CX66+CX67-CX72-CX74</f>
        <v>15655140.4458548</v>
      </c>
      <c r="CY75" s="182">
        <f>CY63+CY64+CY66+CY67-CY72-CY74</f>
        <v>15030553.2749326</v>
      </c>
      <c r="CZ75" s="182">
        <f>CZ63+CZ64+CZ66+CZ67-CZ72-CZ74</f>
        <v>15030553.2749326</v>
      </c>
      <c r="DA75" s="182">
        <f>DA63+DA64+DA66+DA67-DA72-DA74</f>
        <v>15030553.2749326</v>
      </c>
      <c r="DB75" s="182">
        <f>DB63+DB64+DB66+DB67-DB72-DB74</f>
        <v>14382544.0851008</v>
      </c>
      <c r="DC75" s="182">
        <f>DC63+DC64+DC66+DC67-DC72-DC74</f>
        <v>14382544.0851008</v>
      </c>
      <c r="DD75" s="182">
        <f>DD63+DD64+DD66+DD67-DD72-DD74</f>
        <v>14382544.0851008</v>
      </c>
      <c r="DE75" s="182">
        <f>DE63+DE64+DE66+DE67-DE72-DE74</f>
        <v>13710234.5506503</v>
      </c>
      <c r="DF75" s="182">
        <f>DF63+DF64+DF66+DF67-DF72-DF74</f>
        <v>13710234.5506503</v>
      </c>
      <c r="DG75" s="182">
        <f>DG63+DG64+DG66+DG67-DG72-DG74</f>
        <v>13710234.5506503</v>
      </c>
      <c r="DH75" s="182">
        <f>DH63+DH64+DH66+DH67-DH72-DH74</f>
        <v>13012713.4086579</v>
      </c>
      <c r="DI75" s="182">
        <f>DI63+DI64+DI66+DI67-DI72-DI74</f>
        <v>13012713.4086579</v>
      </c>
      <c r="DJ75" s="182">
        <f>DJ63+DJ64+DJ66+DJ67-DJ72-DJ74</f>
        <v>13012713.4086579</v>
      </c>
      <c r="DK75" s="182">
        <f>DK63+DK64+DK66+DK67-DK72-DK74</f>
        <v>12289035.2238408</v>
      </c>
      <c r="DL75" s="182">
        <f>DL63+DL64+DL66+DL67-DL72-DL74</f>
        <v>12289035.2238408</v>
      </c>
      <c r="DM75" s="182">
        <f>DM63+DM64+DM66+DM67-DM72-DM74</f>
        <v>12289035.2238408</v>
      </c>
      <c r="DN75" s="182">
        <f>DN63+DN64+DN66+DN67-DN72-DN74</f>
        <v>11538219.107093</v>
      </c>
      <c r="DO75" s="182">
        <f>DO63+DO64+DO66+DO67-DO72-DO74</f>
        <v>11538219.107093</v>
      </c>
      <c r="DP75" s="182">
        <f>DP63+DP64+DP66+DP67-DP72-DP74</f>
        <v>11538219.107093</v>
      </c>
      <c r="DQ75" s="182">
        <f>DQ63+DQ64+DQ66+DQ67-DQ72-DQ74</f>
        <v>10759247.3859672</v>
      </c>
      <c r="DR75" s="182">
        <f>DR63+DR64+DR66+DR67-DR72-DR74</f>
        <v>10759247.3859672</v>
      </c>
      <c r="DS75" s="182">
        <f>DS63+DS64+DS66+DS67-DS72-DS74</f>
        <v>10759247.3859672</v>
      </c>
      <c r="DT75" s="182">
        <f>DT63+DT64+DT66+DT67-DT72-DT74</f>
        <v>9951064.22529923</v>
      </c>
      <c r="DU75" s="182">
        <f>DU63+DU64+DU66+DU67-DU72-DU74</f>
        <v>9951064.22529923</v>
      </c>
      <c r="DV75" s="182">
        <f>DV63+DV64+DV66+DV67-DV72-DV74</f>
        <v>9951064.22529923</v>
      </c>
      <c r="DW75" s="182">
        <f>DW63+DW64+DW66+DW67-DW72-DW74</f>
        <v>9112574.19610618</v>
      </c>
      <c r="DX75" s="182">
        <f>DX63+DX64+DX66+DX67-DX72-DX74</f>
        <v>9112574.19610618</v>
      </c>
      <c r="DY75" s="182">
        <f>DY63+DY64+DY66+DY67-DY72-DY74</f>
        <v>9112574.19610618</v>
      </c>
      <c r="DZ75" s="182">
        <f>DZ63+DZ64+DZ66+DZ67-DZ72-DZ74</f>
        <v>8242640.79081838</v>
      </c>
      <c r="EA75" s="182">
        <f>EA63+EA64+EA66+EA67-EA72-EA74</f>
        <v>8242640.79081838</v>
      </c>
      <c r="EB75" s="182">
        <f>EB63+EB64+EB66+EB67-EB72-EB74</f>
        <v>8242640.79081838</v>
      </c>
      <c r="EC75" s="182">
        <f>EC63+EC64+EC66+EC67-EC72-EC74</f>
        <v>7340084.8828323</v>
      </c>
      <c r="ED75" s="182">
        <f>ED63+ED64+ED66+ED67-ED72-ED74</f>
        <v>7340084.8828323</v>
      </c>
      <c r="EE75" s="182">
        <f>EE63+EE64+EE66+EE67-EE72-EE74</f>
        <v>7340084.8828323</v>
      </c>
      <c r="EF75" s="182">
        <f>EF63+EF64+EF66+EF67-EF72-EF74</f>
        <v>6403683.12829674</v>
      </c>
      <c r="EG75" s="182">
        <f>EG63+EG64+EG66+EG67-EG72-EG74</f>
        <v>6403683.12829674</v>
      </c>
      <c r="EH75" s="182">
        <f>EH63+EH64+EH66+EH67-EH72-EH74</f>
        <v>6403683.12829674</v>
      </c>
      <c r="EI75" s="182">
        <f>EI63+EI64+EI66+EI67-EI72-EI74</f>
        <v>5432166.30796609</v>
      </c>
      <c r="EJ75" s="182">
        <f>EJ63+EJ64+EJ66+EJ67-EJ72-EJ74</f>
        <v>5432166.30796609</v>
      </c>
      <c r="EK75" s="182">
        <f>EK63+EK64+EK66+EK67-EK72-EK74</f>
        <v>5432166.30796609</v>
      </c>
      <c r="EL75" s="182">
        <f>EL63+EL64+EL66+EL67-EL72-EL74</f>
        <v>4424217.60687305</v>
      </c>
      <c r="EM75" s="182">
        <f>EM63+EM64+EM66+EM67-EM72-EM74</f>
        <v>4424217.60687305</v>
      </c>
      <c r="EN75" s="182">
        <f>EN63+EN64+EN66+EN67-EN72-EN74</f>
        <v>4424217.60687305</v>
      </c>
      <c r="EO75" s="182">
        <f>EO63+EO64+EO66+EO67-EO72-EO74</f>
        <v>3378470.82948901</v>
      </c>
      <c r="EP75" s="182">
        <f>EP63+EP64+EP66+EP67-EP72-EP74</f>
        <v>3378470.82948901</v>
      </c>
      <c r="EQ75" s="182">
        <f>EQ63+EQ64+EQ66+EQ67-EQ72-EQ74</f>
        <v>3378470.82948901</v>
      </c>
      <c r="ER75" s="182">
        <f>ER63+ER64+ER66+ER67-ER72-ER74</f>
        <v>2293508.54795308</v>
      </c>
      <c r="ES75" s="182">
        <f>ES63+ES64+ES66+ES67-ES72-ES74</f>
        <v>2293508.54795308</v>
      </c>
      <c r="ET75" s="182">
        <f>ET63+ET64+ET66+ET67-ET72-ET74</f>
        <v>2293508.54795308</v>
      </c>
      <c r="EU75" s="182">
        <f>EU63+EU64+EU66+EU67-EU72-EU74</f>
        <v>1167860.18085954</v>
      </c>
      <c r="EV75" s="182">
        <f>EV63+EV64+EV66+EV67-EV72-EV74</f>
        <v>1167860.18085954</v>
      </c>
      <c r="EW75" s="182">
        <f>EW63+EW64+EW66+EW67-EW72-EW74</f>
        <v>1167860.18085954</v>
      </c>
      <c r="EX75" s="182">
        <f>EX63+EX64+EX66+EX67-EX72-EX74</f>
        <v>0</v>
      </c>
      <c r="EY75" s="182">
        <f>EY63+EY64+EY66+EY67-EY72-EY74</f>
        <v>0</v>
      </c>
      <c r="EZ75" s="182">
        <f>EZ63+EZ64+EZ66+EZ67-EZ72-EZ74</f>
        <v>0</v>
      </c>
      <c r="FA75" s="182">
        <f>FA63+FA64+FA66+FA67-FA72-FA74</f>
        <v>0</v>
      </c>
      <c r="FB75" s="182">
        <f>FB63+FB64+FB66+FB67-FB72-FB74</f>
        <v>0</v>
      </c>
      <c r="FC75" s="182">
        <f>FC63+FC64+FC66+FC67-FC72-FC74</f>
        <v>0</v>
      </c>
      <c r="FD75" s="182">
        <f>FD63+FD64+FD66+FD67-FD72-FD74</f>
        <v>0</v>
      </c>
      <c r="FE75" s="182">
        <f>FE63+FE64+FE66+FE67-FE72-FE74</f>
        <v>0</v>
      </c>
      <c r="FF75" s="182">
        <f>FF63+FF64+FF66+FF67-FF72-FF74</f>
        <v>0</v>
      </c>
      <c r="FG75" s="182">
        <f>FG63+FG64+FG66+FG67-FG72-FG74</f>
        <v>0</v>
      </c>
      <c r="FH75" s="182">
        <f>FH63+FH64+FH66+FH67-FH72-FH74</f>
        <v>0</v>
      </c>
      <c r="FI75" s="182">
        <f>FI63+FI64+FI66+FI67-FI72-FI74</f>
        <v>0</v>
      </c>
      <c r="FJ75" s="182">
        <f>FJ63+FJ64+FJ66+FJ67-FJ72-FJ74</f>
        <v>0</v>
      </c>
      <c r="FK75" s="182">
        <f>FK63+FK64+FK66+FK67-FK72-FK74</f>
        <v>0</v>
      </c>
      <c r="FL75" s="182">
        <f>FL63+FL64+FL66+FL67-FL72-FL74</f>
        <v>0</v>
      </c>
      <c r="FM75" s="182">
        <f>FM63+FM64+FM66+FM67-FM72-FM74</f>
        <v>0</v>
      </c>
      <c r="FN75" s="182">
        <f>FN63+FN64+FN66+FN67-FN72-FN74</f>
        <v>0</v>
      </c>
      <c r="FO75" s="182">
        <f>FO63+FO64+FO66+FO67-FO72-FO74</f>
        <v>0</v>
      </c>
      <c r="FP75" s="182">
        <f>FP63+FP64+FP66+FP67-FP72-FP74</f>
        <v>0</v>
      </c>
      <c r="FQ75" s="182">
        <f>FQ63+FQ64+FQ66+FQ67-FQ72-FQ74</f>
        <v>0</v>
      </c>
      <c r="FR75" s="182">
        <f>FR63+FR64+FR66+FR67-FR72-FR74</f>
        <v>0</v>
      </c>
      <c r="FS75" s="182">
        <f>FS63+FS64+FS66+FS67-FS72-FS74</f>
        <v>0</v>
      </c>
      <c r="FT75" s="182">
        <f>FT63+FT64+FT66+FT67-FT72-FT74</f>
        <v>0</v>
      </c>
      <c r="FU75" s="182">
        <f>FU63+FU64+FU66+FU67-FU72-FU74</f>
        <v>0</v>
      </c>
      <c r="FV75" s="182">
        <f>FV63+FV64+FV66+FV67-FV72-FV74</f>
        <v>0</v>
      </c>
      <c r="FW75" s="182">
        <f>FW63+FW64+FW66+FW67-FW72-FW74</f>
        <v>0</v>
      </c>
      <c r="FX75" s="182">
        <f>FX63+FX64+FX66+FX67-FX72-FX74</f>
        <v>0</v>
      </c>
      <c r="FY75" s="182">
        <f>FY63+FY64+FY66+FY67-FY72-FY74</f>
        <v>0</v>
      </c>
      <c r="FZ75" s="182">
        <f>FZ63+FZ64+FZ66+FZ67-FZ72-FZ74</f>
        <v>0</v>
      </c>
      <c r="GA75" s="182">
        <f>GA63+GA64+GA66+GA67-GA72-GA74</f>
        <v>0</v>
      </c>
      <c r="GB75" s="182">
        <f>GB63+GB64+GB66+GB67-GB72-GB74</f>
        <v>0</v>
      </c>
      <c r="GC75" s="182">
        <f>GC63+GC64+GC66+GC67-GC72-GC74</f>
        <v>0</v>
      </c>
      <c r="GD75" s="182">
        <f>GD63+GD64+GD66+GD67-GD72-GD74</f>
        <v>0</v>
      </c>
      <c r="GE75" s="182">
        <f>GE63+GE64+GE66+GE67-GE72-GE74</f>
        <v>0</v>
      </c>
      <c r="GF75" s="182">
        <f>GF63+GF64+GF66+GF67-GF72-GF74</f>
        <v>0</v>
      </c>
      <c r="GG75" s="182">
        <f>GG63+GG64+GG66+GG67-GG72-GG74</f>
        <v>0</v>
      </c>
      <c r="GH75" s="182">
        <f>GH63+GH64+GH66+GH67-GH72-GH74</f>
        <v>0</v>
      </c>
      <c r="GI75" s="182">
        <f>GI63+GI64+GI66+GI67-GI72-GI74</f>
        <v>0</v>
      </c>
      <c r="GJ75" s="182">
        <f>GJ63+GJ64+GJ66+GJ67-GJ72-GJ74</f>
        <v>0</v>
      </c>
      <c r="GK75" s="182">
        <f>GK63+GK64+GK66+GK67-GK72-GK74</f>
        <v>0</v>
      </c>
      <c r="GL75" s="182">
        <f>GL63+GL64+GL66+GL67-GL72-GL74</f>
        <v>0</v>
      </c>
      <c r="GM75" s="182">
        <f>GM63+GM64+GM66+GM67-GM72-GM74</f>
        <v>0</v>
      </c>
      <c r="GN75" s="182">
        <f>GN63+GN64+GN66+GN67-GN72-GN74</f>
        <v>0</v>
      </c>
      <c r="GO75" s="182">
        <f>GO63+GO64+GO66+GO67-GO72-GO74</f>
        <v>0</v>
      </c>
      <c r="GP75" s="182">
        <f>GP63+GP64+GP66+GP67-GP72-GP74</f>
        <v>0</v>
      </c>
      <c r="GQ75" s="182">
        <f>GQ63+GQ64+GQ66+GQ67-GQ72-GQ74</f>
        <v>0</v>
      </c>
      <c r="GR75" s="182">
        <f>GR63+GR64+GR66+GR67-GR72-GR74</f>
        <v>0</v>
      </c>
      <c r="GS75" s="182">
        <f>GS63+GS64+GS66+GS67-GS72-GS74</f>
        <v>0</v>
      </c>
      <c r="GT75" s="182">
        <f>GT63+GT64+GT66+GT67-GT72-GT74</f>
        <v>0</v>
      </c>
      <c r="GU75" s="182">
        <f>GU63+GU64+GU66+GU67-GU72-GU74</f>
        <v>0</v>
      </c>
      <c r="GV75" s="182">
        <f>GV63+GV64+GV66+GV67-GV72-GV74</f>
        <v>0</v>
      </c>
      <c r="GW75" s="182">
        <f>GW63+GW64+GW66+GW67-GW72-GW74</f>
        <v>0</v>
      </c>
      <c r="GX75" s="182">
        <f>GX63+GX64+GX66+GX67-GX72-GX74</f>
        <v>0</v>
      </c>
      <c r="GY75" s="182">
        <f>GY63+GY64+GY66+GY67-GY72-GY74</f>
        <v>0</v>
      </c>
      <c r="GZ75" s="182">
        <f>GZ63+GZ64+GZ66+GZ67-GZ72-GZ74</f>
        <v>0</v>
      </c>
      <c r="HA75" s="182">
        <f>HA63+HA64+HA66+HA67-HA72-HA74</f>
        <v>0</v>
      </c>
      <c r="HB75" s="182">
        <f>HB63+HB64+HB66+HB67-HB72-HB74</f>
        <v>0</v>
      </c>
      <c r="HC75" s="182">
        <f>HC63+HC64+HC66+HC67-HC72-HC74</f>
        <v>0</v>
      </c>
      <c r="HD75" s="182">
        <f>HD63+HD64+HD66+HD67-HD72-HD74</f>
        <v>0</v>
      </c>
      <c r="HE75" s="182">
        <f>HE63+HE64+HE66+HE67-HE72-HE74</f>
        <v>0</v>
      </c>
      <c r="HF75" s="182">
        <f>HF63+HF64+HF66+HF67-HF72-HF74</f>
        <v>0</v>
      </c>
      <c r="HG75" s="182">
        <f>HG63+HG64+HG66+HG67-HG72-HG74</f>
        <v>0</v>
      </c>
      <c r="HH75" s="182">
        <f>HH63+HH64+HH66+HH67-HH72-HH74</f>
        <v>0</v>
      </c>
      <c r="HI75" s="182">
        <f>HI63+HI64+HI66+HI67-HI72-HI74</f>
        <v>0</v>
      </c>
      <c r="HJ75" s="182">
        <f>HJ63+HJ64+HJ66+HJ67-HJ72-HJ74</f>
        <v>0</v>
      </c>
      <c r="HK75" s="182">
        <f>HK63+HK64+HK66+HK67-HK72-HK74</f>
        <v>0</v>
      </c>
      <c r="HL75" s="182">
        <f>HL63+HL64+HL66+HL67-HL72-HL74</f>
        <v>0</v>
      </c>
      <c r="HM75" s="182">
        <f>HM63+HM64+HM66+HM67-HM72-HM74</f>
        <v>0</v>
      </c>
      <c r="HN75" s="182">
        <f>HN63+HN64+HN66+HN67-HN72-HN74</f>
        <v>0</v>
      </c>
      <c r="HO75" s="182">
        <f>HO63+HO64+HO66+HO67-HO72-HO74</f>
        <v>0</v>
      </c>
      <c r="HP75" s="182">
        <f>HP63+HP64+HP66+HP67-HP72-HP74</f>
        <v>0</v>
      </c>
      <c r="HQ75" s="182">
        <f>HQ63+HQ64+HQ66+HQ67-HQ72-HQ74</f>
        <v>0</v>
      </c>
      <c r="HR75" s="182">
        <f>HR63+HR64+HR66+HR67-HR72-HR74</f>
        <v>0</v>
      </c>
      <c r="HS75" s="182">
        <f>HS63+HS64+HS66+HS67-HS72-HS74</f>
        <v>0</v>
      </c>
      <c r="HT75" s="182">
        <f>HT63+HT64+HT66+HT67-HT72-HT74</f>
        <v>0</v>
      </c>
      <c r="HU75" s="182">
        <f>HU63+HU64+HU66+HU67-HU72-HU74</f>
        <v>0</v>
      </c>
      <c r="HV75" s="182">
        <f>HV63+HV64+HV66+HV67-HV72-HV74</f>
        <v>0</v>
      </c>
      <c r="HW75" s="182">
        <f>HW63+HW64+HW66+HW67-HW72-HW74</f>
        <v>0</v>
      </c>
      <c r="HX75" s="182">
        <f>HX63+HX64+HX66+HX67-HX72-HX74</f>
        <v>0</v>
      </c>
      <c r="HY75" s="182">
        <f>HY63+HY64+HY66+HY67-HY72-HY74</f>
        <v>0</v>
      </c>
      <c r="HZ75" s="182">
        <f>HZ63+HZ64+HZ66+HZ67-HZ72-HZ74</f>
        <v>0</v>
      </c>
      <c r="IA75" s="182">
        <f>IA63+IA64+IA66+IA67-IA72-IA74</f>
        <v>0</v>
      </c>
      <c r="IB75" s="182">
        <f>IB63+IB64+IB66+IB67-IB72-IB74</f>
        <v>0</v>
      </c>
      <c r="IC75" s="182">
        <f>IC63+IC64+IC66+IC67-IC72-IC74</f>
        <v>0</v>
      </c>
      <c r="ID75" s="182">
        <f>ID63+ID64+ID66+ID67-ID72-ID74</f>
        <v>0</v>
      </c>
      <c r="IE75" s="182">
        <f>IE63+IE64+IE66+IE67-IE72-IE74</f>
        <v>0</v>
      </c>
      <c r="IF75" s="182">
        <f>IF63+IF64+IF66+IF67-IF72-IF74</f>
        <v>0</v>
      </c>
      <c r="IG75" s="182">
        <f>IG63+IG64+IG66+IG67-IG72-IG74</f>
        <v>0</v>
      </c>
      <c r="IH75" s="182">
        <f>IH63+IH64+IH66+IH67-IH72-IH74</f>
        <v>0</v>
      </c>
      <c r="II75" s="182">
        <f>II63+II64+II66+II67-II72-II74</f>
        <v>0</v>
      </c>
      <c r="IJ75" s="182">
        <f>IJ63+IJ64+IJ66+IJ67-IJ72-IJ74</f>
        <v>0</v>
      </c>
      <c r="IK75" s="182">
        <f>IK63+IK64+IK66+IK67-IK72-IK74</f>
        <v>0</v>
      </c>
      <c r="IL75" s="182">
        <f>IL63+IL64+IL66+IL67-IL72-IL74</f>
        <v>0</v>
      </c>
      <c r="IM75" s="182">
        <f>IM63+IM64+IM66+IM67-IM72-IM74</f>
        <v>0</v>
      </c>
      <c r="IN75" s="182">
        <f>IN63+IN64+IN66+IN67-IN72-IN74</f>
        <v>0</v>
      </c>
      <c r="IO75" s="182">
        <f>IO63+IO64+IO66+IO67-IO72-IO74</f>
        <v>0</v>
      </c>
      <c r="IP75" s="182">
        <f>IP63+IP64+IP66+IP67-IP72-IP74</f>
        <v>0</v>
      </c>
      <c r="IQ75" s="182">
        <f>IQ63+IQ64+IQ66+IQ67-IQ72-IQ74</f>
        <v>0</v>
      </c>
      <c r="IR75" s="182">
        <f>IR63+IR64+IR66+IR67-IR72-IR74</f>
        <v>0</v>
      </c>
      <c r="IS75" s="182">
        <f>IS63+IS64+IS66+IS67-IS72-IS74</f>
        <v>0</v>
      </c>
      <c r="IT75" s="182">
        <f>IT63+IT64+IT66+IT67-IT72-IT74</f>
        <v>0</v>
      </c>
      <c r="IU75" s="182">
        <f>IU63+IU64+IU66+IU67-IU72-IU74</f>
        <v>0</v>
      </c>
      <c r="IV75" s="182">
        <f>IV63+IV64+IV66+IV67-IV72-IV74</f>
        <v>0</v>
      </c>
      <c r="IW75" s="182">
        <f>IW63+IW64+IW66+IW67-IW72-IW74</f>
        <v>0</v>
      </c>
      <c r="IX75" s="182">
        <f>IX63+IX64+IX66+IX67-IX72-IX74</f>
        <v>0</v>
      </c>
      <c r="IY75" s="182">
        <f>IY63+IY64+IY66+IY67-IY72-IY74</f>
        <v>0</v>
      </c>
      <c r="IZ75" s="182">
        <f>IZ63+IZ64+IZ66+IZ67-IZ72-IZ74</f>
        <v>0</v>
      </c>
      <c r="JA75" s="182">
        <f>JA63+JA64+JA66+JA67-JA72-JA74</f>
        <v>0</v>
      </c>
      <c r="JB75" s="182">
        <f>JB63+JB64+JB66+JB67-JB72-JB74</f>
        <v>0</v>
      </c>
      <c r="JC75" s="182">
        <f>JC63+JC64+JC66+JC67-JC72-JC74</f>
        <v>0</v>
      </c>
      <c r="JD75" s="182">
        <f>JD63+JD64+JD66+JD67-JD72-JD74</f>
        <v>0</v>
      </c>
      <c r="JE75" s="182">
        <f>JE63+JE64+JE66+JE67-JE72-JE74</f>
        <v>0</v>
      </c>
      <c r="JF75" s="182">
        <f>JF63+JF64+JF66+JF67-JF72-JF74</f>
        <v>0</v>
      </c>
      <c r="JG75" s="182">
        <f>JG63+JG64+JG66+JG67-JG72-JG74</f>
        <v>0</v>
      </c>
      <c r="JH75" s="182">
        <f>JH63+JH64+JH66+JH67-JH72-JH74</f>
        <v>0</v>
      </c>
      <c r="JI75" s="182">
        <f>JI63+JI64+JI66+JI67-JI72-JI74</f>
        <v>0</v>
      </c>
      <c r="JJ75" s="182">
        <f>JJ63+JJ64+JJ66+JJ67-JJ72-JJ74</f>
        <v>0</v>
      </c>
      <c r="JK75" s="182">
        <f>JK63+JK64+JK66+JK67-JK72-JK74</f>
        <v>0</v>
      </c>
      <c r="JL75" s="182">
        <f>JL63+JL64+JL66+JL67-JL72-JL74</f>
        <v>0</v>
      </c>
      <c r="JM75" s="182">
        <f>JM63+JM64+JM66+JM67-JM72-JM74</f>
        <v>0</v>
      </c>
      <c r="JN75" s="182">
        <f>JN63+JN64+JN66+JN67-JN72-JN74</f>
        <v>0</v>
      </c>
      <c r="JO75" s="182">
        <f>JO63+JO64+JO66+JO67-JO72-JO74</f>
        <v>0</v>
      </c>
      <c r="JP75" s="182">
        <f>JP63+JP64+JP66+JP67-JP72-JP74</f>
        <v>0</v>
      </c>
      <c r="JQ75" s="182">
        <f>JQ63+JQ64+JQ66+JQ67-JQ72-JQ74</f>
        <v>0</v>
      </c>
      <c r="JR75" s="182">
        <f>JR63+JR64+JR66+JR67-JR72-JR74</f>
        <v>0</v>
      </c>
      <c r="JS75" s="182">
        <f>JS63+JS64+JS66+JS67-JS72-JS74</f>
        <v>0</v>
      </c>
      <c r="JT75" s="182">
        <f>JT63+JT64+JT66+JT67-JT72-JT74</f>
        <v>0</v>
      </c>
      <c r="JU75" s="182">
        <f>JU63+JU64+JU66+JU67-JU72-JU74</f>
        <v>0</v>
      </c>
      <c r="JV75" s="182">
        <f>JV63+JV64+JV66+JV67-JV72-JV74</f>
        <v>0</v>
      </c>
      <c r="JW75" s="182">
        <f>JW63+JW64+JW66+JW67-JW72-JW74</f>
        <v>0</v>
      </c>
      <c r="JX75" s="182">
        <f>JX63+JX64+JX66+JX67-JX72-JX74</f>
        <v>0</v>
      </c>
      <c r="JY75" s="182">
        <f>JY63+JY64+JY66+JY67-JY72-JY74</f>
        <v>0</v>
      </c>
      <c r="JZ75" s="182">
        <f>JZ63+JZ64+JZ66+JZ67-JZ72-JZ74</f>
        <v>0</v>
      </c>
      <c r="KA75" s="182">
        <f>KA63+KA64+KA66+KA67-KA72-KA74</f>
        <v>0</v>
      </c>
      <c r="KB75" s="182">
        <f>KB63+KB64+KB66+KB67-KB72-KB74</f>
        <v>0</v>
      </c>
      <c r="KC75" s="182">
        <f>KC63+KC64+KC66+KC67-KC72-KC74</f>
        <v>0</v>
      </c>
      <c r="KD75" s="182">
        <f>KD63+KD64+KD66+KD67-KD72-KD74</f>
        <v>0</v>
      </c>
      <c r="KE75" s="182">
        <f>KE63+KE64+KE66+KE67-KE72-KE74</f>
        <v>0</v>
      </c>
      <c r="KF75" s="182">
        <f>KF63+KF64+KF66+KF67-KF72-KF74</f>
        <v>0</v>
      </c>
    </row>
    <row r="76">
      <c r="B76" s="36" t="inlineStr">
        <is>
          <t>Scheduled debt service (interest paid + principal)</t>
        </is>
      </c>
      <c r="C76" s="117" t="inlineStr">
        <is>
          <t>ETB</t>
        </is>
      </c>
      <c r="D76" s="169">
        <f>SUM(E76:KF76)</f>
        <v>64458316.3931484</v>
      </c>
      <c r="E76" s="173">
        <f>E68+E72</f>
        <v>0</v>
      </c>
      <c r="F76" s="173">
        <f>F68+F72</f>
        <v>0</v>
      </c>
      <c r="G76" s="173">
        <f>G68+G72</f>
        <v>0</v>
      </c>
      <c r="H76" s="173">
        <f>H68+H72</f>
        <v>0</v>
      </c>
      <c r="I76" s="173">
        <f>I68+I72</f>
        <v>0</v>
      </c>
      <c r="J76" s="173">
        <f>J68+J72</f>
        <v>0</v>
      </c>
      <c r="K76" s="173">
        <f>K68+K72</f>
        <v>0</v>
      </c>
      <c r="L76" s="173">
        <f>L68+L72</f>
        <v>0</v>
      </c>
      <c r="M76" s="173">
        <f>M68+M72</f>
        <v>0</v>
      </c>
      <c r="N76" s="173">
        <f>N68+N72</f>
        <v>0</v>
      </c>
      <c r="O76" s="173">
        <f>O68+O72</f>
        <v>0</v>
      </c>
      <c r="P76" s="173">
        <f>P68+P72</f>
        <v>0</v>
      </c>
      <c r="Q76" s="173">
        <f>Q68+Q72</f>
        <v>0</v>
      </c>
      <c r="R76" s="173">
        <f>R68+R72</f>
        <v>0</v>
      </c>
      <c r="S76" s="173">
        <f>S68+S72</f>
        <v>0</v>
      </c>
      <c r="T76" s="173">
        <f>T68+T72</f>
        <v>0</v>
      </c>
      <c r="U76" s="173">
        <f>U68+U72</f>
        <v>0</v>
      </c>
      <c r="V76" s="173">
        <f>V68+V72</f>
        <v>0</v>
      </c>
      <c r="W76" s="173">
        <f>W68+W72</f>
        <v>0</v>
      </c>
      <c r="X76" s="173">
        <f>X68+X72</f>
        <v>0</v>
      </c>
      <c r="Y76" s="173">
        <f>Y68+Y72</f>
        <v>0</v>
      </c>
      <c r="Z76" s="173">
        <f>Z68+Z72</f>
        <v>0</v>
      </c>
      <c r="AA76" s="173">
        <f>AA68+AA72</f>
        <v>0</v>
      </c>
      <c r="AB76" s="173">
        <f>AB68+AB72</f>
        <v>0</v>
      </c>
      <c r="AC76" s="173">
        <f>AC68+AC72</f>
        <v>0</v>
      </c>
      <c r="AD76" s="173">
        <f>AD68+AD72</f>
        <v>0</v>
      </c>
      <c r="AE76" s="173">
        <f>AE68+AE72</f>
        <v>0</v>
      </c>
      <c r="AF76" s="173">
        <f>AF68+AF72</f>
        <v>0</v>
      </c>
      <c r="AG76" s="173">
        <f>AG68+AG72</f>
        <v>0</v>
      </c>
      <c r="AH76" s="173">
        <f>AH68+AH72</f>
        <v>0</v>
      </c>
      <c r="AI76" s="173">
        <f>AI68+AI72</f>
        <v>1664373.67630251</v>
      </c>
      <c r="AJ76" s="173">
        <f>AJ68+AJ72</f>
        <v>1173216.89140728</v>
      </c>
      <c r="AK76" s="173">
        <f>AK68+AK72</f>
        <v>1173216.89140728</v>
      </c>
      <c r="AL76" s="173">
        <f>AL68+AL72</f>
        <v>1173216.89140728</v>
      </c>
      <c r="AM76" s="173">
        <f>AM68+AM72</f>
        <v>1173216.89140728</v>
      </c>
      <c r="AN76" s="173">
        <f>AN68+AN72</f>
        <v>1173216.89140728</v>
      </c>
      <c r="AO76" s="173">
        <f>AO68+AO72</f>
        <v>1173216.89140728</v>
      </c>
      <c r="AP76" s="173">
        <f>AP68+AP72</f>
        <v>1173216.89140728</v>
      </c>
      <c r="AQ76" s="173">
        <f>AQ68+AQ72</f>
        <v>1173216.89140728</v>
      </c>
      <c r="AR76" s="173">
        <f>AR68+AR72</f>
        <v>1173216.89140728</v>
      </c>
      <c r="AS76" s="173">
        <f>AS68+AS72</f>
        <v>1173216.89140728</v>
      </c>
      <c r="AT76" s="173">
        <f>AT68+AT72</f>
        <v>1173216.89140728</v>
      </c>
      <c r="AU76" s="173">
        <f>AU68+AU72</f>
        <v>680161.251407276</v>
      </c>
      <c r="AV76" s="173">
        <f>AV68+AV72</f>
        <v>680161.251407276</v>
      </c>
      <c r="AW76" s="173">
        <f>AW68+AW72</f>
        <v>1418577.22389271</v>
      </c>
      <c r="AX76" s="173">
        <f>AX68+AX72</f>
        <v>670931.051751208</v>
      </c>
      <c r="AY76" s="173">
        <f>AY68+AY72</f>
        <v>670931.051751208</v>
      </c>
      <c r="AZ76" s="173">
        <f>AZ68+AZ72</f>
        <v>1437037.62320484</v>
      </c>
      <c r="BA76" s="173">
        <f>BA68+BA72</f>
        <v>661354.719608038</v>
      </c>
      <c r="BB76" s="173">
        <f>BB68+BB72</f>
        <v>661354.719608038</v>
      </c>
      <c r="BC76" s="173">
        <f>BC68+BC72</f>
        <v>1456190.28749118</v>
      </c>
      <c r="BD76" s="173">
        <f>BD68+BD72</f>
        <v>651419.275009499</v>
      </c>
      <c r="BE76" s="173">
        <f>BE68+BE72</f>
        <v>651419.275009499</v>
      </c>
      <c r="BF76" s="173">
        <f>BF68+BF72</f>
        <v>1476061.17668826</v>
      </c>
      <c r="BG76" s="173">
        <f>BG68+BG72</f>
        <v>279537.115238514</v>
      </c>
      <c r="BH76" s="173">
        <f>BH68+BH72</f>
        <v>279537.115238514</v>
      </c>
      <c r="BI76" s="173">
        <f>BI68+BI72</f>
        <v>652580.707164746</v>
      </c>
      <c r="BJ76" s="173">
        <f>BJ68+BJ72</f>
        <v>274874.070339436</v>
      </c>
      <c r="BK76" s="173">
        <f>BK68+BK72</f>
        <v>274874.070339436</v>
      </c>
      <c r="BL76" s="173">
        <f>BL68+BL72</f>
        <v>661906.796962902</v>
      </c>
      <c r="BM76" s="173">
        <f>BM68+BM72</f>
        <v>270036.161256643</v>
      </c>
      <c r="BN76" s="173">
        <f>BN68+BN72</f>
        <v>270036.161256643</v>
      </c>
      <c r="BO76" s="173">
        <f>BO68+BO72</f>
        <v>671582.615128489</v>
      </c>
      <c r="BP76" s="173">
        <f>BP68+BP72</f>
        <v>265016.830583245</v>
      </c>
      <c r="BQ76" s="173">
        <f>BQ68+BQ72</f>
        <v>265016.830583245</v>
      </c>
      <c r="BR76" s="173">
        <f>BR68+BR72</f>
        <v>681621.276475285</v>
      </c>
      <c r="BS76" s="173">
        <f>BS68+BS72</f>
        <v>259809.275009594</v>
      </c>
      <c r="BT76" s="173">
        <f>BT68+BT72</f>
        <v>259809.275009594</v>
      </c>
      <c r="BU76" s="173">
        <f>BU68+BU72</f>
        <v>692036.387622586</v>
      </c>
      <c r="BV76" s="173">
        <f>BV68+BV72</f>
        <v>254406.436101932</v>
      </c>
      <c r="BW76" s="173">
        <f>BW68+BW72</f>
        <v>254406.436101932</v>
      </c>
      <c r="BX76" s="173">
        <f>BX68+BX72</f>
        <v>702842.06543791</v>
      </c>
      <c r="BY76" s="173">
        <f>BY68+BY72</f>
        <v>248800.990735232</v>
      </c>
      <c r="BZ76" s="173">
        <f>BZ68+BZ72</f>
        <v>248800.990735232</v>
      </c>
      <c r="CA76" s="173">
        <f>CA68+CA72</f>
        <v>714052.95617131</v>
      </c>
      <c r="CB76" s="173">
        <f>CB68+CB72</f>
        <v>242985.341167281</v>
      </c>
      <c r="CC76" s="173">
        <f>CC68+CC72</f>
        <v>242985.341167281</v>
      </c>
      <c r="CD76" s="173">
        <f>CD68+CD72</f>
        <v>725684.255307212</v>
      </c>
      <c r="CE76" s="173">
        <f>CE68+CE72</f>
        <v>236951.604740532</v>
      </c>
      <c r="CF76" s="173">
        <f>CF68+CF72</f>
        <v>236951.604740532</v>
      </c>
      <c r="CG76" s="173">
        <f>CG68+CG72</f>
        <v>737751.72816071</v>
      </c>
      <c r="CH76" s="173">
        <f>CH68+CH72</f>
        <v>230691.60319778</v>
      </c>
      <c r="CI76" s="173">
        <f>CI68+CI72</f>
        <v>230691.60319778</v>
      </c>
      <c r="CJ76" s="173">
        <f>CJ68+CJ72</f>
        <v>750271.731246215</v>
      </c>
      <c r="CK76" s="173">
        <f>CK68+CK72</f>
        <v>224196.851597174</v>
      </c>
      <c r="CL76" s="173">
        <f>CL68+CL72</f>
        <v>224196.851597174</v>
      </c>
      <c r="CM76" s="173">
        <f>CM68+CM72</f>
        <v>763261.234447426</v>
      </c>
      <c r="CN76" s="173">
        <f>CN68+CN72</f>
        <v>217458.546811546</v>
      </c>
      <c r="CO76" s="173">
        <f>CO68+CO72</f>
        <v>217458.546811546</v>
      </c>
      <c r="CP76" s="173">
        <f>CP68+CP72</f>
        <v>776737.844018682</v>
      </c>
      <c r="CQ76" s="173">
        <f>CQ68+CQ72</f>
        <v>210467.555596457</v>
      </c>
      <c r="CR76" s="173">
        <f>CR68+CR72</f>
        <v>210467.555596457</v>
      </c>
      <c r="CS76" s="173">
        <f>CS68+CS72</f>
        <v>790719.82644886</v>
      </c>
      <c r="CT76" s="173">
        <f>CT68+CT72</f>
        <v>203214.402210802</v>
      </c>
      <c r="CU76" s="173">
        <f>CU68+CU72</f>
        <v>203214.402210802</v>
      </c>
      <c r="CV76" s="173">
        <f>CV68+CV72</f>
        <v>805226.13322017</v>
      </c>
      <c r="CW76" s="173">
        <f>CW68+CW72</f>
        <v>195689.255573185</v>
      </c>
      <c r="CX76" s="173">
        <f>CX68+CX72</f>
        <v>195689.255573185</v>
      </c>
      <c r="CY76" s="173">
        <f>CY68+CY72</f>
        <v>820276.426495405</v>
      </c>
      <c r="CZ76" s="173">
        <f>CZ68+CZ72</f>
        <v>187881.915936657</v>
      </c>
      <c r="DA76" s="173">
        <f>DA68+DA72</f>
        <v>187881.915936657</v>
      </c>
      <c r="DB76" s="173">
        <f>DB68+DB72</f>
        <v>835891.10576846</v>
      </c>
      <c r="DC76" s="173">
        <f>DC68+DC72</f>
        <v>179781.801063759</v>
      </c>
      <c r="DD76" s="173">
        <f>DD68+DD72</f>
        <v>179781.801063759</v>
      </c>
      <c r="DE76" s="173">
        <f>DE68+DE72</f>
        <v>852091.335514255</v>
      </c>
      <c r="DF76" s="173">
        <f>DF68+DF72</f>
        <v>171377.931883128</v>
      </c>
      <c r="DG76" s="173">
        <f>DG68+DG72</f>
        <v>171377.931883128</v>
      </c>
      <c r="DH76" s="173">
        <f>DH68+DH72</f>
        <v>868899.073875517</v>
      </c>
      <c r="DI76" s="173">
        <f>DI68+DI72</f>
        <v>162658.917608223</v>
      </c>
      <c r="DJ76" s="173">
        <f>DJ68+DJ72</f>
        <v>162658.917608223</v>
      </c>
      <c r="DK76" s="173">
        <f>DK68+DK72</f>
        <v>886337.102425327</v>
      </c>
      <c r="DL76" s="173">
        <f>DL68+DL72</f>
        <v>153612.94029801</v>
      </c>
      <c r="DM76" s="173">
        <f>DM68+DM72</f>
        <v>153612.94029801</v>
      </c>
      <c r="DN76" s="173">
        <f>DN68+DN72</f>
        <v>904429.057045755</v>
      </c>
      <c r="DO76" s="173">
        <f>DO68+DO72</f>
        <v>144227.738838663</v>
      </c>
      <c r="DP76" s="173">
        <f>DP68+DP72</f>
        <v>144227.738838663</v>
      </c>
      <c r="DQ76" s="173">
        <f>DQ68+DQ72</f>
        <v>923199.459964449</v>
      </c>
      <c r="DR76" s="173">
        <f>DR68+DR72</f>
        <v>134490.59232459</v>
      </c>
      <c r="DS76" s="173">
        <f>DS68+DS72</f>
        <v>134490.59232459</v>
      </c>
      <c r="DT76" s="173">
        <f>DT68+DT72</f>
        <v>942673.752992593</v>
      </c>
      <c r="DU76" s="173">
        <f>DU68+DU72</f>
        <v>124388.30281624</v>
      </c>
      <c r="DV76" s="173">
        <f>DV68+DV72</f>
        <v>124388.30281624</v>
      </c>
      <c r="DW76" s="173">
        <f>DW68+DW72</f>
        <v>962878.332009293</v>
      </c>
      <c r="DX76" s="173">
        <f>DX68+DX72</f>
        <v>113907.177451327</v>
      </c>
      <c r="DY76" s="173">
        <f>DY68+DY72</f>
        <v>113907.177451327</v>
      </c>
      <c r="DZ76" s="173">
        <f>DZ68+DZ72</f>
        <v>983840.58273912</v>
      </c>
      <c r="EA76" s="173">
        <f>EA68+EA72</f>
        <v>103033.00988523</v>
      </c>
      <c r="EB76" s="173">
        <f>EB68+EB72</f>
        <v>103033.00988523</v>
      </c>
      <c r="EC76" s="173">
        <f>EC68+EC72</f>
        <v>1005588.91787131</v>
      </c>
      <c r="ED76" s="173">
        <f>ED68+ED72</f>
        <v>91751.0610354038</v>
      </c>
      <c r="EE76" s="173">
        <f>EE68+EE72</f>
        <v>91751.0610354038</v>
      </c>
      <c r="EF76" s="173">
        <f>EF68+EF72</f>
        <v>1028152.81557097</v>
      </c>
      <c r="EG76" s="173">
        <f>EG68+EG72</f>
        <v>80046.0391037092</v>
      </c>
      <c r="EH76" s="173">
        <f>EH68+EH72</f>
        <v>80046.0391037092</v>
      </c>
      <c r="EI76" s="173">
        <f>EI68+EI72</f>
        <v>1051562.85943436</v>
      </c>
      <c r="EJ76" s="173">
        <f>EJ68+EJ72</f>
        <v>67902.0788495761</v>
      </c>
      <c r="EK76" s="173">
        <f>EK68+EK72</f>
        <v>67902.0788495761</v>
      </c>
      <c r="EL76" s="173">
        <f>EL68+EL72</f>
        <v>1075850.77994262</v>
      </c>
      <c r="EM76" s="173">
        <f>EM68+EM72</f>
        <v>55302.7200859131</v>
      </c>
      <c r="EN76" s="173">
        <f>EN68+EN72</f>
        <v>55302.7200859131</v>
      </c>
      <c r="EO76" s="173">
        <f>EO68+EO72</f>
        <v>1101049.49746995</v>
      </c>
      <c r="EP76" s="173">
        <f>EP68+EP72</f>
        <v>42230.8853686126</v>
      </c>
      <c r="EQ76" s="173">
        <f>EQ68+EQ72</f>
        <v>42230.8853686126</v>
      </c>
      <c r="ER76" s="173">
        <f>ER68+ER72</f>
        <v>1127193.16690455</v>
      </c>
      <c r="ES76" s="173">
        <f>ES68+ES72</f>
        <v>28668.8568494134</v>
      </c>
      <c r="ET76" s="173">
        <f>ET68+ET72</f>
        <v>28668.8568494134</v>
      </c>
      <c r="EU76" s="173">
        <f>EU68+EU72</f>
        <v>1154317.22394295</v>
      </c>
      <c r="EV76" s="173">
        <f>EV68+EV72</f>
        <v>14598.2522607443</v>
      </c>
      <c r="EW76" s="173">
        <f>EW68+EW72</f>
        <v>14598.2522607443</v>
      </c>
      <c r="EX76" s="173">
        <f>EX68+EX72</f>
        <v>1182458.43312029</v>
      </c>
      <c r="EY76" s="173">
        <f>EY68+EY72</f>
        <v>0</v>
      </c>
      <c r="EZ76" s="173">
        <f>EZ68+EZ72</f>
        <v>0</v>
      </c>
      <c r="FA76" s="173">
        <f>FA68+FA72</f>
        <v>0</v>
      </c>
      <c r="FB76" s="173">
        <f>FB68+FB72</f>
        <v>0</v>
      </c>
      <c r="FC76" s="173">
        <f>FC68+FC72</f>
        <v>0</v>
      </c>
      <c r="FD76" s="173">
        <f>FD68+FD72</f>
        <v>0</v>
      </c>
      <c r="FE76" s="173">
        <f>FE68+FE72</f>
        <v>0</v>
      </c>
      <c r="FF76" s="173">
        <f>FF68+FF72</f>
        <v>0</v>
      </c>
      <c r="FG76" s="173">
        <f>FG68+FG72</f>
        <v>0</v>
      </c>
      <c r="FH76" s="173">
        <f>FH68+FH72</f>
        <v>0</v>
      </c>
      <c r="FI76" s="173">
        <f>FI68+FI72</f>
        <v>0</v>
      </c>
      <c r="FJ76" s="173">
        <f>FJ68+FJ72</f>
        <v>0</v>
      </c>
      <c r="FK76" s="173">
        <f>FK68+FK72</f>
        <v>0</v>
      </c>
      <c r="FL76" s="173">
        <f>FL68+FL72</f>
        <v>0</v>
      </c>
      <c r="FM76" s="173">
        <f>FM68+FM72</f>
        <v>0</v>
      </c>
      <c r="FN76" s="173">
        <f>FN68+FN72</f>
        <v>0</v>
      </c>
      <c r="FO76" s="173">
        <f>FO68+FO72</f>
        <v>0</v>
      </c>
      <c r="FP76" s="173">
        <f>FP68+FP72</f>
        <v>0</v>
      </c>
      <c r="FQ76" s="173">
        <f>FQ68+FQ72</f>
        <v>0</v>
      </c>
      <c r="FR76" s="173">
        <f>FR68+FR72</f>
        <v>0</v>
      </c>
      <c r="FS76" s="173">
        <f>FS68+FS72</f>
        <v>0</v>
      </c>
      <c r="FT76" s="173">
        <f>FT68+FT72</f>
        <v>0</v>
      </c>
      <c r="FU76" s="173">
        <f>FU68+FU72</f>
        <v>0</v>
      </c>
      <c r="FV76" s="173">
        <f>FV68+FV72</f>
        <v>0</v>
      </c>
      <c r="FW76" s="173">
        <f>FW68+FW72</f>
        <v>0</v>
      </c>
      <c r="FX76" s="173">
        <f>FX68+FX72</f>
        <v>0</v>
      </c>
      <c r="FY76" s="173">
        <f>FY68+FY72</f>
        <v>0</v>
      </c>
      <c r="FZ76" s="173">
        <f>FZ68+FZ72</f>
        <v>0</v>
      </c>
      <c r="GA76" s="173">
        <f>GA68+GA72</f>
        <v>0</v>
      </c>
      <c r="GB76" s="173">
        <f>GB68+GB72</f>
        <v>0</v>
      </c>
      <c r="GC76" s="173">
        <f>GC68+GC72</f>
        <v>0</v>
      </c>
      <c r="GD76" s="173">
        <f>GD68+GD72</f>
        <v>0</v>
      </c>
      <c r="GE76" s="173">
        <f>GE68+GE72</f>
        <v>0</v>
      </c>
      <c r="GF76" s="173">
        <f>GF68+GF72</f>
        <v>0</v>
      </c>
      <c r="GG76" s="173">
        <f>GG68+GG72</f>
        <v>0</v>
      </c>
      <c r="GH76" s="173">
        <f>GH68+GH72</f>
        <v>0</v>
      </c>
      <c r="GI76" s="173">
        <f>GI68+GI72</f>
        <v>0</v>
      </c>
      <c r="GJ76" s="173">
        <f>GJ68+GJ72</f>
        <v>0</v>
      </c>
      <c r="GK76" s="173">
        <f>GK68+GK72</f>
        <v>0</v>
      </c>
      <c r="GL76" s="173">
        <f>GL68+GL72</f>
        <v>0</v>
      </c>
      <c r="GM76" s="173">
        <f>GM68+GM72</f>
        <v>0</v>
      </c>
      <c r="GN76" s="173">
        <f>GN68+GN72</f>
        <v>0</v>
      </c>
      <c r="GO76" s="173">
        <f>GO68+GO72</f>
        <v>0</v>
      </c>
      <c r="GP76" s="173">
        <f>GP68+GP72</f>
        <v>0</v>
      </c>
      <c r="GQ76" s="173">
        <f>GQ68+GQ72</f>
        <v>0</v>
      </c>
      <c r="GR76" s="173">
        <f>GR68+GR72</f>
        <v>0</v>
      </c>
      <c r="GS76" s="173">
        <f>GS68+GS72</f>
        <v>0</v>
      </c>
      <c r="GT76" s="173">
        <f>GT68+GT72</f>
        <v>0</v>
      </c>
      <c r="GU76" s="173">
        <f>GU68+GU72</f>
        <v>0</v>
      </c>
      <c r="GV76" s="173">
        <f>GV68+GV72</f>
        <v>0</v>
      </c>
      <c r="GW76" s="173">
        <f>GW68+GW72</f>
        <v>0</v>
      </c>
      <c r="GX76" s="173">
        <f>GX68+GX72</f>
        <v>0</v>
      </c>
      <c r="GY76" s="173">
        <f>GY68+GY72</f>
        <v>0</v>
      </c>
      <c r="GZ76" s="173">
        <f>GZ68+GZ72</f>
        <v>0</v>
      </c>
      <c r="HA76" s="173">
        <f>HA68+HA72</f>
        <v>0</v>
      </c>
      <c r="HB76" s="173">
        <f>HB68+HB72</f>
        <v>0</v>
      </c>
      <c r="HC76" s="173">
        <f>HC68+HC72</f>
        <v>0</v>
      </c>
      <c r="HD76" s="173">
        <f>HD68+HD72</f>
        <v>0</v>
      </c>
      <c r="HE76" s="173">
        <f>HE68+HE72</f>
        <v>0</v>
      </c>
      <c r="HF76" s="173">
        <f>HF68+HF72</f>
        <v>0</v>
      </c>
      <c r="HG76" s="173">
        <f>HG68+HG72</f>
        <v>0</v>
      </c>
      <c r="HH76" s="173">
        <f>HH68+HH72</f>
        <v>0</v>
      </c>
      <c r="HI76" s="173">
        <f>HI68+HI72</f>
        <v>0</v>
      </c>
      <c r="HJ76" s="173">
        <f>HJ68+HJ72</f>
        <v>0</v>
      </c>
      <c r="HK76" s="173">
        <f>HK68+HK72</f>
        <v>0</v>
      </c>
      <c r="HL76" s="173">
        <f>HL68+HL72</f>
        <v>0</v>
      </c>
      <c r="HM76" s="173">
        <f>HM68+HM72</f>
        <v>0</v>
      </c>
      <c r="HN76" s="173">
        <f>HN68+HN72</f>
        <v>0</v>
      </c>
      <c r="HO76" s="173">
        <f>HO68+HO72</f>
        <v>0</v>
      </c>
      <c r="HP76" s="173">
        <f>HP68+HP72</f>
        <v>0</v>
      </c>
      <c r="HQ76" s="173">
        <f>HQ68+HQ72</f>
        <v>0</v>
      </c>
      <c r="HR76" s="173">
        <f>HR68+HR72</f>
        <v>0</v>
      </c>
      <c r="HS76" s="173">
        <f>HS68+HS72</f>
        <v>0</v>
      </c>
      <c r="HT76" s="173">
        <f>HT68+HT72</f>
        <v>0</v>
      </c>
      <c r="HU76" s="173">
        <f>HU68+HU72</f>
        <v>0</v>
      </c>
      <c r="HV76" s="173">
        <f>HV68+HV72</f>
        <v>0</v>
      </c>
      <c r="HW76" s="173">
        <f>HW68+HW72</f>
        <v>0</v>
      </c>
      <c r="HX76" s="173">
        <f>HX68+HX72</f>
        <v>0</v>
      </c>
      <c r="HY76" s="173">
        <f>HY68+HY72</f>
        <v>0</v>
      </c>
      <c r="HZ76" s="173">
        <f>HZ68+HZ72</f>
        <v>0</v>
      </c>
      <c r="IA76" s="173">
        <f>IA68+IA72</f>
        <v>0</v>
      </c>
      <c r="IB76" s="173">
        <f>IB68+IB72</f>
        <v>0</v>
      </c>
      <c r="IC76" s="173">
        <f>IC68+IC72</f>
        <v>0</v>
      </c>
      <c r="ID76" s="173">
        <f>ID68+ID72</f>
        <v>0</v>
      </c>
      <c r="IE76" s="173">
        <f>IE68+IE72</f>
        <v>0</v>
      </c>
      <c r="IF76" s="173">
        <f>IF68+IF72</f>
        <v>0</v>
      </c>
      <c r="IG76" s="173">
        <f>IG68+IG72</f>
        <v>0</v>
      </c>
      <c r="IH76" s="173">
        <f>IH68+IH72</f>
        <v>0</v>
      </c>
      <c r="II76" s="173">
        <f>II68+II72</f>
        <v>0</v>
      </c>
      <c r="IJ76" s="173">
        <f>IJ68+IJ72</f>
        <v>0</v>
      </c>
      <c r="IK76" s="173">
        <f>IK68+IK72</f>
        <v>0</v>
      </c>
      <c r="IL76" s="173">
        <f>IL68+IL72</f>
        <v>0</v>
      </c>
      <c r="IM76" s="173">
        <f>IM68+IM72</f>
        <v>0</v>
      </c>
      <c r="IN76" s="173">
        <f>IN68+IN72</f>
        <v>0</v>
      </c>
      <c r="IO76" s="173">
        <f>IO68+IO72</f>
        <v>0</v>
      </c>
      <c r="IP76" s="173">
        <f>IP68+IP72</f>
        <v>0</v>
      </c>
      <c r="IQ76" s="173">
        <f>IQ68+IQ72</f>
        <v>0</v>
      </c>
      <c r="IR76" s="173">
        <f>IR68+IR72</f>
        <v>0</v>
      </c>
      <c r="IS76" s="173">
        <f>IS68+IS72</f>
        <v>0</v>
      </c>
      <c r="IT76" s="173">
        <f>IT68+IT72</f>
        <v>0</v>
      </c>
      <c r="IU76" s="173">
        <f>IU68+IU72</f>
        <v>0</v>
      </c>
      <c r="IV76" s="173">
        <f>IV68+IV72</f>
        <v>0</v>
      </c>
      <c r="IW76" s="173">
        <f>IW68+IW72</f>
        <v>0</v>
      </c>
      <c r="IX76" s="173">
        <f>IX68+IX72</f>
        <v>0</v>
      </c>
      <c r="IY76" s="173">
        <f>IY68+IY72</f>
        <v>0</v>
      </c>
      <c r="IZ76" s="173">
        <f>IZ68+IZ72</f>
        <v>0</v>
      </c>
      <c r="JA76" s="173">
        <f>JA68+JA72</f>
        <v>0</v>
      </c>
      <c r="JB76" s="173">
        <f>JB68+JB72</f>
        <v>0</v>
      </c>
      <c r="JC76" s="173">
        <f>JC68+JC72</f>
        <v>0</v>
      </c>
      <c r="JD76" s="173">
        <f>JD68+JD72</f>
        <v>0</v>
      </c>
      <c r="JE76" s="173">
        <f>JE68+JE72</f>
        <v>0</v>
      </c>
      <c r="JF76" s="173">
        <f>JF68+JF72</f>
        <v>0</v>
      </c>
      <c r="JG76" s="173">
        <f>JG68+JG72</f>
        <v>0</v>
      </c>
      <c r="JH76" s="173">
        <f>JH68+JH72</f>
        <v>0</v>
      </c>
      <c r="JI76" s="173">
        <f>JI68+JI72</f>
        <v>0</v>
      </c>
      <c r="JJ76" s="173">
        <f>JJ68+JJ72</f>
        <v>0</v>
      </c>
      <c r="JK76" s="173">
        <f>JK68+JK72</f>
        <v>0</v>
      </c>
      <c r="JL76" s="173">
        <f>JL68+JL72</f>
        <v>0</v>
      </c>
      <c r="JM76" s="173">
        <f>JM68+JM72</f>
        <v>0</v>
      </c>
      <c r="JN76" s="173">
        <f>JN68+JN72</f>
        <v>0</v>
      </c>
      <c r="JO76" s="173">
        <f>JO68+JO72</f>
        <v>0</v>
      </c>
      <c r="JP76" s="173">
        <f>JP68+JP72</f>
        <v>0</v>
      </c>
      <c r="JQ76" s="173">
        <f>JQ68+JQ72</f>
        <v>0</v>
      </c>
      <c r="JR76" s="173">
        <f>JR68+JR72</f>
        <v>0</v>
      </c>
      <c r="JS76" s="173">
        <f>JS68+JS72</f>
        <v>0</v>
      </c>
      <c r="JT76" s="173">
        <f>JT68+JT72</f>
        <v>0</v>
      </c>
      <c r="JU76" s="173">
        <f>JU68+JU72</f>
        <v>0</v>
      </c>
      <c r="JV76" s="173">
        <f>JV68+JV72</f>
        <v>0</v>
      </c>
      <c r="JW76" s="173">
        <f>JW68+JW72</f>
        <v>0</v>
      </c>
      <c r="JX76" s="173">
        <f>JX68+JX72</f>
        <v>0</v>
      </c>
      <c r="JY76" s="173">
        <f>JY68+JY72</f>
        <v>0</v>
      </c>
      <c r="JZ76" s="173">
        <f>JZ68+JZ72</f>
        <v>0</v>
      </c>
      <c r="KA76" s="173">
        <f>KA68+KA72</f>
        <v>0</v>
      </c>
      <c r="KB76" s="173">
        <f>KB68+KB72</f>
        <v>0</v>
      </c>
      <c r="KC76" s="173">
        <f>KC68+KC72</f>
        <v>0</v>
      </c>
      <c r="KD76" s="173">
        <f>KD68+KD72</f>
        <v>0</v>
      </c>
      <c r="KE76" s="173">
        <f>KE68+KE72</f>
        <v>0</v>
      </c>
      <c r="KF76" s="173">
        <f>KF68+KF72</f>
        <v>0</v>
      </c>
    </row>
    <row r="77">
      <c r="B77" s="36" t="inlineStr">
        <is>
          <t>Helper: month index if principal paid</t>
        </is>
      </c>
      <c r="C77" s="117" t="inlineStr">
        <is>
          <t>no.</t>
        </is>
      </c>
      <c r="D77" s="147">
        <f>MAX(E77:KF77)</f>
        <v>150</v>
      </c>
      <c r="E77" s="148">
        <f>IF(E72+E74&gt;0,E53,0)</f>
        <v>0</v>
      </c>
      <c r="F77" s="148">
        <f>IF(F72+F74&gt;0,F53,0)</f>
        <v>0</v>
      </c>
      <c r="G77" s="148">
        <f>IF(G72+G74&gt;0,G53,0)</f>
        <v>0</v>
      </c>
      <c r="H77" s="148">
        <f>IF(H72+H74&gt;0,H53,0)</f>
        <v>0</v>
      </c>
      <c r="I77" s="148">
        <f>IF(I72+I74&gt;0,I53,0)</f>
        <v>0</v>
      </c>
      <c r="J77" s="148">
        <f>IF(J72+J74&gt;0,J53,0)</f>
        <v>0</v>
      </c>
      <c r="K77" s="148">
        <f>IF(K72+K74&gt;0,K53,0)</f>
        <v>0</v>
      </c>
      <c r="L77" s="148">
        <f>IF(L72+L74&gt;0,L53,0)</f>
        <v>0</v>
      </c>
      <c r="M77" s="148">
        <f>IF(M72+M74&gt;0,M53,0)</f>
        <v>0</v>
      </c>
      <c r="N77" s="148">
        <f>IF(N72+N74&gt;0,N53,0)</f>
        <v>0</v>
      </c>
      <c r="O77" s="148">
        <f>IF(O72+O74&gt;0,O53,0)</f>
        <v>0</v>
      </c>
      <c r="P77" s="148">
        <f>IF(P72+P74&gt;0,P53,0)</f>
        <v>0</v>
      </c>
      <c r="Q77" s="148">
        <f>IF(Q72+Q74&gt;0,Q53,0)</f>
        <v>0</v>
      </c>
      <c r="R77" s="148">
        <f>IF(R72+R74&gt;0,R53,0)</f>
        <v>0</v>
      </c>
      <c r="S77" s="148">
        <f>IF(S72+S74&gt;0,S53,0)</f>
        <v>0</v>
      </c>
      <c r="T77" s="148">
        <f>IF(T72+T74&gt;0,T53,0)</f>
        <v>0</v>
      </c>
      <c r="U77" s="148">
        <f>IF(U72+U74&gt;0,U53,0)</f>
        <v>0</v>
      </c>
      <c r="V77" s="148">
        <f>IF(V72+V74&gt;0,V53,0)</f>
        <v>0</v>
      </c>
      <c r="W77" s="148">
        <f>IF(W72+W74&gt;0,W53,0)</f>
        <v>0</v>
      </c>
      <c r="X77" s="148">
        <f>IF(X72+X74&gt;0,X53,0)</f>
        <v>0</v>
      </c>
      <c r="Y77" s="148">
        <f>IF(Y72+Y74&gt;0,Y53,0)</f>
        <v>0</v>
      </c>
      <c r="Z77" s="148">
        <f>IF(Z72+Z74&gt;0,Z53,0)</f>
        <v>0</v>
      </c>
      <c r="AA77" s="148">
        <f>IF(AA72+AA74&gt;0,AA53,0)</f>
        <v>0</v>
      </c>
      <c r="AB77" s="148">
        <f>IF(AB72+AB74&gt;0,AB53,0)</f>
        <v>0</v>
      </c>
      <c r="AC77" s="148">
        <f>IF(AC72+AC74&gt;0,AC53,0)</f>
        <v>0</v>
      </c>
      <c r="AD77" s="148">
        <f>IF(AD72+AD74&gt;0,AD53,0)</f>
        <v>0</v>
      </c>
      <c r="AE77" s="148">
        <f>IF(AE72+AE74&gt;0,AE53,0)</f>
        <v>0</v>
      </c>
      <c r="AF77" s="148">
        <f>IF(AF72+AF74&gt;0,AF53,0)</f>
        <v>0</v>
      </c>
      <c r="AG77" s="148">
        <f>IF(AG72+AG74&gt;0,AG53,0)</f>
        <v>0</v>
      </c>
      <c r="AH77" s="148">
        <f>IF(AH72+AH74&gt;0,AH53,0)</f>
        <v>0</v>
      </c>
      <c r="AI77" s="148">
        <f>IF(AI72+AI74&gt;0,AI53,0)</f>
        <v>31</v>
      </c>
      <c r="AJ77" s="148">
        <f>IF(AJ72+AJ74&gt;0,AJ53,0)</f>
        <v>0</v>
      </c>
      <c r="AK77" s="148">
        <f>IF(AK72+AK74&gt;0,AK53,0)</f>
        <v>0</v>
      </c>
      <c r="AL77" s="148">
        <f>IF(AL72+AL74&gt;0,AL53,0)</f>
        <v>0</v>
      </c>
      <c r="AM77" s="148">
        <f>IF(AM72+AM74&gt;0,AM53,0)</f>
        <v>0</v>
      </c>
      <c r="AN77" s="148">
        <f>IF(AN72+AN74&gt;0,AN53,0)</f>
        <v>0</v>
      </c>
      <c r="AO77" s="148">
        <f>IF(AO72+AO74&gt;0,AO53,0)</f>
        <v>0</v>
      </c>
      <c r="AP77" s="148">
        <f>IF(AP72+AP74&gt;0,AP53,0)</f>
        <v>0</v>
      </c>
      <c r="AQ77" s="148">
        <f>IF(AQ72+AQ74&gt;0,AQ53,0)</f>
        <v>0</v>
      </c>
      <c r="AR77" s="148">
        <f>IF(AR72+AR74&gt;0,AR53,0)</f>
        <v>0</v>
      </c>
      <c r="AS77" s="148">
        <f>IF(AS72+AS74&gt;0,AS53,0)</f>
        <v>0</v>
      </c>
      <c r="AT77" s="148">
        <f>IF(AT72+AT74&gt;0,AT53,0)</f>
        <v>42</v>
      </c>
      <c r="AU77" s="148">
        <f>IF(AU72+AU74&gt;0,AU53,0)</f>
        <v>0</v>
      </c>
      <c r="AV77" s="148">
        <f>IF(AV72+AV74&gt;0,AV53,0)</f>
        <v>0</v>
      </c>
      <c r="AW77" s="148">
        <f>IF(AW72+AW74&gt;0,AW53,0)</f>
        <v>45</v>
      </c>
      <c r="AX77" s="148">
        <f>IF(AX72+AX74&gt;0,AX53,0)</f>
        <v>0</v>
      </c>
      <c r="AY77" s="148">
        <f>IF(AY72+AY74&gt;0,AY53,0)</f>
        <v>0</v>
      </c>
      <c r="AZ77" s="148">
        <f>IF(AZ72+AZ74&gt;0,AZ53,0)</f>
        <v>48</v>
      </c>
      <c r="BA77" s="148">
        <f>IF(BA72+BA74&gt;0,BA53,0)</f>
        <v>0</v>
      </c>
      <c r="BB77" s="148">
        <f>IF(BB72+BB74&gt;0,BB53,0)</f>
        <v>0</v>
      </c>
      <c r="BC77" s="148">
        <f>IF(BC72+BC74&gt;0,BC53,0)</f>
        <v>51</v>
      </c>
      <c r="BD77" s="148">
        <f>IF(BD72+BD74&gt;0,BD53,0)</f>
        <v>0</v>
      </c>
      <c r="BE77" s="148">
        <f>IF(BE72+BE74&gt;0,BE53,0)</f>
        <v>0</v>
      </c>
      <c r="BF77" s="148">
        <f>IF(BF72+BF74&gt;0,BF53,0)</f>
        <v>54</v>
      </c>
      <c r="BG77" s="148">
        <f>IF(BG72+BG74&gt;0,BG53,0)</f>
        <v>0</v>
      </c>
      <c r="BH77" s="148">
        <f>IF(BH72+BH74&gt;0,BH53,0)</f>
        <v>0</v>
      </c>
      <c r="BI77" s="148">
        <f>IF(BI72+BI74&gt;0,BI53,0)</f>
        <v>57</v>
      </c>
      <c r="BJ77" s="148">
        <f>IF(BJ72+BJ74&gt;0,BJ53,0)</f>
        <v>0</v>
      </c>
      <c r="BK77" s="148">
        <f>IF(BK72+BK74&gt;0,BK53,0)</f>
        <v>0</v>
      </c>
      <c r="BL77" s="148">
        <f>IF(BL72+BL74&gt;0,BL53,0)</f>
        <v>60</v>
      </c>
      <c r="BM77" s="148">
        <f>IF(BM72+BM74&gt;0,BM53,0)</f>
        <v>0</v>
      </c>
      <c r="BN77" s="148">
        <f>IF(BN72+BN74&gt;0,BN53,0)</f>
        <v>0</v>
      </c>
      <c r="BO77" s="148">
        <f>IF(BO72+BO74&gt;0,BO53,0)</f>
        <v>63</v>
      </c>
      <c r="BP77" s="148">
        <f>IF(BP72+BP74&gt;0,BP53,0)</f>
        <v>0</v>
      </c>
      <c r="BQ77" s="148">
        <f>IF(BQ72+BQ74&gt;0,BQ53,0)</f>
        <v>0</v>
      </c>
      <c r="BR77" s="148">
        <f>IF(BR72+BR74&gt;0,BR53,0)</f>
        <v>66</v>
      </c>
      <c r="BS77" s="148">
        <f>IF(BS72+BS74&gt;0,BS53,0)</f>
        <v>0</v>
      </c>
      <c r="BT77" s="148">
        <f>IF(BT72+BT74&gt;0,BT53,0)</f>
        <v>0</v>
      </c>
      <c r="BU77" s="148">
        <f>IF(BU72+BU74&gt;0,BU53,0)</f>
        <v>69</v>
      </c>
      <c r="BV77" s="148">
        <f>IF(BV72+BV74&gt;0,BV53,0)</f>
        <v>0</v>
      </c>
      <c r="BW77" s="148">
        <f>IF(BW72+BW74&gt;0,BW53,0)</f>
        <v>0</v>
      </c>
      <c r="BX77" s="148">
        <f>IF(BX72+BX74&gt;0,BX53,0)</f>
        <v>72</v>
      </c>
      <c r="BY77" s="148">
        <f>IF(BY72+BY74&gt;0,BY53,0)</f>
        <v>0</v>
      </c>
      <c r="BZ77" s="148">
        <f>IF(BZ72+BZ74&gt;0,BZ53,0)</f>
        <v>0</v>
      </c>
      <c r="CA77" s="148">
        <f>IF(CA72+CA74&gt;0,CA53,0)</f>
        <v>75</v>
      </c>
      <c r="CB77" s="148">
        <f>IF(CB72+CB74&gt;0,CB53,0)</f>
        <v>0</v>
      </c>
      <c r="CC77" s="148">
        <f>IF(CC72+CC74&gt;0,CC53,0)</f>
        <v>0</v>
      </c>
      <c r="CD77" s="148">
        <f>IF(CD72+CD74&gt;0,CD53,0)</f>
        <v>78</v>
      </c>
      <c r="CE77" s="148">
        <f>IF(CE72+CE74&gt;0,CE53,0)</f>
        <v>0</v>
      </c>
      <c r="CF77" s="148">
        <f>IF(CF72+CF74&gt;0,CF53,0)</f>
        <v>0</v>
      </c>
      <c r="CG77" s="148">
        <f>IF(CG72+CG74&gt;0,CG53,0)</f>
        <v>81</v>
      </c>
      <c r="CH77" s="148">
        <f>IF(CH72+CH74&gt;0,CH53,0)</f>
        <v>0</v>
      </c>
      <c r="CI77" s="148">
        <f>IF(CI72+CI74&gt;0,CI53,0)</f>
        <v>0</v>
      </c>
      <c r="CJ77" s="148">
        <f>IF(CJ72+CJ74&gt;0,CJ53,0)</f>
        <v>84</v>
      </c>
      <c r="CK77" s="148">
        <f>IF(CK72+CK74&gt;0,CK53,0)</f>
        <v>0</v>
      </c>
      <c r="CL77" s="148">
        <f>IF(CL72+CL74&gt;0,CL53,0)</f>
        <v>0</v>
      </c>
      <c r="CM77" s="148">
        <f>IF(CM72+CM74&gt;0,CM53,0)</f>
        <v>87</v>
      </c>
      <c r="CN77" s="148">
        <f>IF(CN72+CN74&gt;0,CN53,0)</f>
        <v>0</v>
      </c>
      <c r="CO77" s="148">
        <f>IF(CO72+CO74&gt;0,CO53,0)</f>
        <v>0</v>
      </c>
      <c r="CP77" s="148">
        <f>IF(CP72+CP74&gt;0,CP53,0)</f>
        <v>90</v>
      </c>
      <c r="CQ77" s="148">
        <f>IF(CQ72+CQ74&gt;0,CQ53,0)</f>
        <v>0</v>
      </c>
      <c r="CR77" s="148">
        <f>IF(CR72+CR74&gt;0,CR53,0)</f>
        <v>0</v>
      </c>
      <c r="CS77" s="148">
        <f>IF(CS72+CS74&gt;0,CS53,0)</f>
        <v>93</v>
      </c>
      <c r="CT77" s="148">
        <f>IF(CT72+CT74&gt;0,CT53,0)</f>
        <v>0</v>
      </c>
      <c r="CU77" s="148">
        <f>IF(CU72+CU74&gt;0,CU53,0)</f>
        <v>0</v>
      </c>
      <c r="CV77" s="148">
        <f>IF(CV72+CV74&gt;0,CV53,0)</f>
        <v>96</v>
      </c>
      <c r="CW77" s="148">
        <f>IF(CW72+CW74&gt;0,CW53,0)</f>
        <v>0</v>
      </c>
      <c r="CX77" s="148">
        <f>IF(CX72+CX74&gt;0,CX53,0)</f>
        <v>0</v>
      </c>
      <c r="CY77" s="148">
        <f>IF(CY72+CY74&gt;0,CY53,0)</f>
        <v>99</v>
      </c>
      <c r="CZ77" s="148">
        <f>IF(CZ72+CZ74&gt;0,CZ53,0)</f>
        <v>0</v>
      </c>
      <c r="DA77" s="148">
        <f>IF(DA72+DA74&gt;0,DA53,0)</f>
        <v>0</v>
      </c>
      <c r="DB77" s="148">
        <f>IF(DB72+DB74&gt;0,DB53,0)</f>
        <v>102</v>
      </c>
      <c r="DC77" s="148">
        <f>IF(DC72+DC74&gt;0,DC53,0)</f>
        <v>0</v>
      </c>
      <c r="DD77" s="148">
        <f>IF(DD72+DD74&gt;0,DD53,0)</f>
        <v>0</v>
      </c>
      <c r="DE77" s="148">
        <f>IF(DE72+DE74&gt;0,DE53,0)</f>
        <v>105</v>
      </c>
      <c r="DF77" s="148">
        <f>IF(DF72+DF74&gt;0,DF53,0)</f>
        <v>0</v>
      </c>
      <c r="DG77" s="148">
        <f>IF(DG72+DG74&gt;0,DG53,0)</f>
        <v>0</v>
      </c>
      <c r="DH77" s="148">
        <f>IF(DH72+DH74&gt;0,DH53,0)</f>
        <v>108</v>
      </c>
      <c r="DI77" s="148">
        <f>IF(DI72+DI74&gt;0,DI53,0)</f>
        <v>0</v>
      </c>
      <c r="DJ77" s="148">
        <f>IF(DJ72+DJ74&gt;0,DJ53,0)</f>
        <v>0</v>
      </c>
      <c r="DK77" s="148">
        <f>IF(DK72+DK74&gt;0,DK53,0)</f>
        <v>111</v>
      </c>
      <c r="DL77" s="148">
        <f>IF(DL72+DL74&gt;0,DL53,0)</f>
        <v>0</v>
      </c>
      <c r="DM77" s="148">
        <f>IF(DM72+DM74&gt;0,DM53,0)</f>
        <v>0</v>
      </c>
      <c r="DN77" s="148">
        <f>IF(DN72+DN74&gt;0,DN53,0)</f>
        <v>114</v>
      </c>
      <c r="DO77" s="148">
        <f>IF(DO72+DO74&gt;0,DO53,0)</f>
        <v>0</v>
      </c>
      <c r="DP77" s="148">
        <f>IF(DP72+DP74&gt;0,DP53,0)</f>
        <v>0</v>
      </c>
      <c r="DQ77" s="148">
        <f>IF(DQ72+DQ74&gt;0,DQ53,0)</f>
        <v>117</v>
      </c>
      <c r="DR77" s="148">
        <f>IF(DR72+DR74&gt;0,DR53,0)</f>
        <v>0</v>
      </c>
      <c r="DS77" s="148">
        <f>IF(DS72+DS74&gt;0,DS53,0)</f>
        <v>0</v>
      </c>
      <c r="DT77" s="148">
        <f>IF(DT72+DT74&gt;0,DT53,0)</f>
        <v>120</v>
      </c>
      <c r="DU77" s="148">
        <f>IF(DU72+DU74&gt;0,DU53,0)</f>
        <v>0</v>
      </c>
      <c r="DV77" s="148">
        <f>IF(DV72+DV74&gt;0,DV53,0)</f>
        <v>0</v>
      </c>
      <c r="DW77" s="148">
        <f>IF(DW72+DW74&gt;0,DW53,0)</f>
        <v>123</v>
      </c>
      <c r="DX77" s="148">
        <f>IF(DX72+DX74&gt;0,DX53,0)</f>
        <v>0</v>
      </c>
      <c r="DY77" s="148">
        <f>IF(DY72+DY74&gt;0,DY53,0)</f>
        <v>0</v>
      </c>
      <c r="DZ77" s="148">
        <f>IF(DZ72+DZ74&gt;0,DZ53,0)</f>
        <v>126</v>
      </c>
      <c r="EA77" s="148">
        <f>IF(EA72+EA74&gt;0,EA53,0)</f>
        <v>0</v>
      </c>
      <c r="EB77" s="148">
        <f>IF(EB72+EB74&gt;0,EB53,0)</f>
        <v>0</v>
      </c>
      <c r="EC77" s="148">
        <f>IF(EC72+EC74&gt;0,EC53,0)</f>
        <v>129</v>
      </c>
      <c r="ED77" s="148">
        <f>IF(ED72+ED74&gt;0,ED53,0)</f>
        <v>0</v>
      </c>
      <c r="EE77" s="148">
        <f>IF(EE72+EE74&gt;0,EE53,0)</f>
        <v>0</v>
      </c>
      <c r="EF77" s="148">
        <f>IF(EF72+EF74&gt;0,EF53,0)</f>
        <v>132</v>
      </c>
      <c r="EG77" s="148">
        <f>IF(EG72+EG74&gt;0,EG53,0)</f>
        <v>0</v>
      </c>
      <c r="EH77" s="148">
        <f>IF(EH72+EH74&gt;0,EH53,0)</f>
        <v>0</v>
      </c>
      <c r="EI77" s="148">
        <f>IF(EI72+EI74&gt;0,EI53,0)</f>
        <v>135</v>
      </c>
      <c r="EJ77" s="148">
        <f>IF(EJ72+EJ74&gt;0,EJ53,0)</f>
        <v>0</v>
      </c>
      <c r="EK77" s="148">
        <f>IF(EK72+EK74&gt;0,EK53,0)</f>
        <v>0</v>
      </c>
      <c r="EL77" s="148">
        <f>IF(EL72+EL74&gt;0,EL53,0)</f>
        <v>138</v>
      </c>
      <c r="EM77" s="148">
        <f>IF(EM72+EM74&gt;0,EM53,0)</f>
        <v>0</v>
      </c>
      <c r="EN77" s="148">
        <f>IF(EN72+EN74&gt;0,EN53,0)</f>
        <v>0</v>
      </c>
      <c r="EO77" s="148">
        <f>IF(EO72+EO74&gt;0,EO53,0)</f>
        <v>141</v>
      </c>
      <c r="EP77" s="148">
        <f>IF(EP72+EP74&gt;0,EP53,0)</f>
        <v>0</v>
      </c>
      <c r="EQ77" s="148">
        <f>IF(EQ72+EQ74&gt;0,EQ53,0)</f>
        <v>0</v>
      </c>
      <c r="ER77" s="148">
        <f>IF(ER72+ER74&gt;0,ER53,0)</f>
        <v>144</v>
      </c>
      <c r="ES77" s="148">
        <f>IF(ES72+ES74&gt;0,ES53,0)</f>
        <v>0</v>
      </c>
      <c r="ET77" s="148">
        <f>IF(ET72+ET74&gt;0,ET53,0)</f>
        <v>0</v>
      </c>
      <c r="EU77" s="148">
        <f>IF(EU72+EU74&gt;0,EU53,0)</f>
        <v>147</v>
      </c>
      <c r="EV77" s="148">
        <f>IF(EV72+EV74&gt;0,EV53,0)</f>
        <v>0</v>
      </c>
      <c r="EW77" s="148">
        <f>IF(EW72+EW74&gt;0,EW53,0)</f>
        <v>0</v>
      </c>
      <c r="EX77" s="148">
        <f>IF(EX72+EX74&gt;0,EX53,0)</f>
        <v>150</v>
      </c>
      <c r="EY77" s="148">
        <f>IF(EY72+EY74&gt;0,EY53,0)</f>
        <v>0</v>
      </c>
      <c r="EZ77" s="148">
        <f>IF(EZ72+EZ74&gt;0,EZ53,0)</f>
        <v>0</v>
      </c>
      <c r="FA77" s="148">
        <f>IF(FA72+FA74&gt;0,FA53,0)</f>
        <v>0</v>
      </c>
      <c r="FB77" s="148">
        <f>IF(FB72+FB74&gt;0,FB53,0)</f>
        <v>0</v>
      </c>
      <c r="FC77" s="148">
        <f>IF(FC72+FC74&gt;0,FC53,0)</f>
        <v>0</v>
      </c>
      <c r="FD77" s="148">
        <f>IF(FD72+FD74&gt;0,FD53,0)</f>
        <v>0</v>
      </c>
      <c r="FE77" s="148">
        <f>IF(FE72+FE74&gt;0,FE53,0)</f>
        <v>0</v>
      </c>
      <c r="FF77" s="148">
        <f>IF(FF72+FF74&gt;0,FF53,0)</f>
        <v>0</v>
      </c>
      <c r="FG77" s="148">
        <f>IF(FG72+FG74&gt;0,FG53,0)</f>
        <v>0</v>
      </c>
      <c r="FH77" s="148">
        <f>IF(FH72+FH74&gt;0,FH53,0)</f>
        <v>0</v>
      </c>
      <c r="FI77" s="148">
        <f>IF(FI72+FI74&gt;0,FI53,0)</f>
        <v>0</v>
      </c>
      <c r="FJ77" s="148">
        <f>IF(FJ72+FJ74&gt;0,FJ53,0)</f>
        <v>0</v>
      </c>
      <c r="FK77" s="148">
        <f>IF(FK72+FK74&gt;0,FK53,0)</f>
        <v>0</v>
      </c>
      <c r="FL77" s="148">
        <f>IF(FL72+FL74&gt;0,FL53,0)</f>
        <v>0</v>
      </c>
      <c r="FM77" s="148">
        <f>IF(FM72+FM74&gt;0,FM53,0)</f>
        <v>0</v>
      </c>
      <c r="FN77" s="148">
        <f>IF(FN72+FN74&gt;0,FN53,0)</f>
        <v>0</v>
      </c>
      <c r="FO77" s="148">
        <f>IF(FO72+FO74&gt;0,FO53,0)</f>
        <v>0</v>
      </c>
      <c r="FP77" s="148">
        <f>IF(FP72+FP74&gt;0,FP53,0)</f>
        <v>0</v>
      </c>
      <c r="FQ77" s="148">
        <f>IF(FQ72+FQ74&gt;0,FQ53,0)</f>
        <v>0</v>
      </c>
      <c r="FR77" s="148">
        <f>IF(FR72+FR74&gt;0,FR53,0)</f>
        <v>0</v>
      </c>
      <c r="FS77" s="148">
        <f>IF(FS72+FS74&gt;0,FS53,0)</f>
        <v>0</v>
      </c>
      <c r="FT77" s="148">
        <f>IF(FT72+FT74&gt;0,FT53,0)</f>
        <v>0</v>
      </c>
      <c r="FU77" s="148">
        <f>IF(FU72+FU74&gt;0,FU53,0)</f>
        <v>0</v>
      </c>
      <c r="FV77" s="148">
        <f>IF(FV72+FV74&gt;0,FV53,0)</f>
        <v>0</v>
      </c>
      <c r="FW77" s="148">
        <f>IF(FW72+FW74&gt;0,FW53,0)</f>
        <v>0</v>
      </c>
      <c r="FX77" s="148">
        <f>IF(FX72+FX74&gt;0,FX53,0)</f>
        <v>0</v>
      </c>
      <c r="FY77" s="148">
        <f>IF(FY72+FY74&gt;0,FY53,0)</f>
        <v>0</v>
      </c>
      <c r="FZ77" s="148">
        <f>IF(FZ72+FZ74&gt;0,FZ53,0)</f>
        <v>0</v>
      </c>
      <c r="GA77" s="148">
        <f>IF(GA72+GA74&gt;0,GA53,0)</f>
        <v>0</v>
      </c>
      <c r="GB77" s="148">
        <f>IF(GB72+GB74&gt;0,GB53,0)</f>
        <v>0</v>
      </c>
      <c r="GC77" s="148">
        <f>IF(GC72+GC74&gt;0,GC53,0)</f>
        <v>0</v>
      </c>
      <c r="GD77" s="148">
        <f>IF(GD72+GD74&gt;0,GD53,0)</f>
        <v>0</v>
      </c>
      <c r="GE77" s="148">
        <f>IF(GE72+GE74&gt;0,GE53,0)</f>
        <v>0</v>
      </c>
      <c r="GF77" s="148">
        <f>IF(GF72+GF74&gt;0,GF53,0)</f>
        <v>0</v>
      </c>
      <c r="GG77" s="148">
        <f>IF(GG72+GG74&gt;0,GG53,0)</f>
        <v>0</v>
      </c>
      <c r="GH77" s="148">
        <f>IF(GH72+GH74&gt;0,GH53,0)</f>
        <v>0</v>
      </c>
      <c r="GI77" s="148">
        <f>IF(GI72+GI74&gt;0,GI53,0)</f>
        <v>0</v>
      </c>
      <c r="GJ77" s="148">
        <f>IF(GJ72+GJ74&gt;0,GJ53,0)</f>
        <v>0</v>
      </c>
      <c r="GK77" s="148">
        <f>IF(GK72+GK74&gt;0,GK53,0)</f>
        <v>0</v>
      </c>
      <c r="GL77" s="148">
        <f>IF(GL72+GL74&gt;0,GL53,0)</f>
        <v>0</v>
      </c>
      <c r="GM77" s="148">
        <f>IF(GM72+GM74&gt;0,GM53,0)</f>
        <v>0</v>
      </c>
      <c r="GN77" s="148">
        <f>IF(GN72+GN74&gt;0,GN53,0)</f>
        <v>0</v>
      </c>
      <c r="GO77" s="148">
        <f>IF(GO72+GO74&gt;0,GO53,0)</f>
        <v>0</v>
      </c>
      <c r="GP77" s="148">
        <f>IF(GP72+GP74&gt;0,GP53,0)</f>
        <v>0</v>
      </c>
      <c r="GQ77" s="148">
        <f>IF(GQ72+GQ74&gt;0,GQ53,0)</f>
        <v>0</v>
      </c>
      <c r="GR77" s="148">
        <f>IF(GR72+GR74&gt;0,GR53,0)</f>
        <v>0</v>
      </c>
      <c r="GS77" s="148">
        <f>IF(GS72+GS74&gt;0,GS53,0)</f>
        <v>0</v>
      </c>
      <c r="GT77" s="148">
        <f>IF(GT72+GT74&gt;0,GT53,0)</f>
        <v>0</v>
      </c>
      <c r="GU77" s="148">
        <f>IF(GU72+GU74&gt;0,GU53,0)</f>
        <v>0</v>
      </c>
      <c r="GV77" s="148">
        <f>IF(GV72+GV74&gt;0,GV53,0)</f>
        <v>0</v>
      </c>
      <c r="GW77" s="148">
        <f>IF(GW72+GW74&gt;0,GW53,0)</f>
        <v>0</v>
      </c>
      <c r="GX77" s="148">
        <f>IF(GX72+GX74&gt;0,GX53,0)</f>
        <v>0</v>
      </c>
      <c r="GY77" s="148">
        <f>IF(GY72+GY74&gt;0,GY53,0)</f>
        <v>0</v>
      </c>
      <c r="GZ77" s="148">
        <f>IF(GZ72+GZ74&gt;0,GZ53,0)</f>
        <v>0</v>
      </c>
      <c r="HA77" s="148">
        <f>IF(HA72+HA74&gt;0,HA53,0)</f>
        <v>0</v>
      </c>
      <c r="HB77" s="148">
        <f>IF(HB72+HB74&gt;0,HB53,0)</f>
        <v>0</v>
      </c>
      <c r="HC77" s="148">
        <f>IF(HC72+HC74&gt;0,HC53,0)</f>
        <v>0</v>
      </c>
      <c r="HD77" s="148">
        <f>IF(HD72+HD74&gt;0,HD53,0)</f>
        <v>0</v>
      </c>
      <c r="HE77" s="148">
        <f>IF(HE72+HE74&gt;0,HE53,0)</f>
        <v>0</v>
      </c>
      <c r="HF77" s="148">
        <f>IF(HF72+HF74&gt;0,HF53,0)</f>
        <v>0</v>
      </c>
      <c r="HG77" s="148">
        <f>IF(HG72+HG74&gt;0,HG53,0)</f>
        <v>0</v>
      </c>
      <c r="HH77" s="148">
        <f>IF(HH72+HH74&gt;0,HH53,0)</f>
        <v>0</v>
      </c>
      <c r="HI77" s="148">
        <f>IF(HI72+HI74&gt;0,HI53,0)</f>
        <v>0</v>
      </c>
      <c r="HJ77" s="148">
        <f>IF(HJ72+HJ74&gt;0,HJ53,0)</f>
        <v>0</v>
      </c>
      <c r="HK77" s="148">
        <f>IF(HK72+HK74&gt;0,HK53,0)</f>
        <v>0</v>
      </c>
      <c r="HL77" s="148">
        <f>IF(HL72+HL74&gt;0,HL53,0)</f>
        <v>0</v>
      </c>
      <c r="HM77" s="148">
        <f>IF(HM72+HM74&gt;0,HM53,0)</f>
        <v>0</v>
      </c>
      <c r="HN77" s="148">
        <f>IF(HN72+HN74&gt;0,HN53,0)</f>
        <v>0</v>
      </c>
      <c r="HO77" s="148">
        <f>IF(HO72+HO74&gt;0,HO53,0)</f>
        <v>0</v>
      </c>
      <c r="HP77" s="148">
        <f>IF(HP72+HP74&gt;0,HP53,0)</f>
        <v>0</v>
      </c>
      <c r="HQ77" s="148">
        <f>IF(HQ72+HQ74&gt;0,HQ53,0)</f>
        <v>0</v>
      </c>
      <c r="HR77" s="148">
        <f>IF(HR72+HR74&gt;0,HR53,0)</f>
        <v>0</v>
      </c>
      <c r="HS77" s="148">
        <f>IF(HS72+HS74&gt;0,HS53,0)</f>
        <v>0</v>
      </c>
      <c r="HT77" s="148">
        <f>IF(HT72+HT74&gt;0,HT53,0)</f>
        <v>0</v>
      </c>
      <c r="HU77" s="148">
        <f>IF(HU72+HU74&gt;0,HU53,0)</f>
        <v>0</v>
      </c>
      <c r="HV77" s="148">
        <f>IF(HV72+HV74&gt;0,HV53,0)</f>
        <v>0</v>
      </c>
      <c r="HW77" s="148">
        <f>IF(HW72+HW74&gt;0,HW53,0)</f>
        <v>0</v>
      </c>
      <c r="HX77" s="148">
        <f>IF(HX72+HX74&gt;0,HX53,0)</f>
        <v>0</v>
      </c>
      <c r="HY77" s="148">
        <f>IF(HY72+HY74&gt;0,HY53,0)</f>
        <v>0</v>
      </c>
      <c r="HZ77" s="148">
        <f>IF(HZ72+HZ74&gt;0,HZ53,0)</f>
        <v>0</v>
      </c>
      <c r="IA77" s="148">
        <f>IF(IA72+IA74&gt;0,IA53,0)</f>
        <v>0</v>
      </c>
      <c r="IB77" s="148">
        <f>IF(IB72+IB74&gt;0,IB53,0)</f>
        <v>0</v>
      </c>
      <c r="IC77" s="148">
        <f>IF(IC72+IC74&gt;0,IC53,0)</f>
        <v>0</v>
      </c>
      <c r="ID77" s="148">
        <f>IF(ID72+ID74&gt;0,ID53,0)</f>
        <v>0</v>
      </c>
      <c r="IE77" s="148">
        <f>IF(IE72+IE74&gt;0,IE53,0)</f>
        <v>0</v>
      </c>
      <c r="IF77" s="148">
        <f>IF(IF72+IF74&gt;0,IF53,0)</f>
        <v>0</v>
      </c>
      <c r="IG77" s="148">
        <f>IF(IG72+IG74&gt;0,IG53,0)</f>
        <v>0</v>
      </c>
      <c r="IH77" s="148">
        <f>IF(IH72+IH74&gt;0,IH53,0)</f>
        <v>0</v>
      </c>
      <c r="II77" s="148">
        <f>IF(II72+II74&gt;0,II53,0)</f>
        <v>0</v>
      </c>
      <c r="IJ77" s="148">
        <f>IF(IJ72+IJ74&gt;0,IJ53,0)</f>
        <v>0</v>
      </c>
      <c r="IK77" s="148">
        <f>IF(IK72+IK74&gt;0,IK53,0)</f>
        <v>0</v>
      </c>
      <c r="IL77" s="148">
        <f>IF(IL72+IL74&gt;0,IL53,0)</f>
        <v>0</v>
      </c>
      <c r="IM77" s="148">
        <f>IF(IM72+IM74&gt;0,IM53,0)</f>
        <v>0</v>
      </c>
      <c r="IN77" s="148">
        <f>IF(IN72+IN74&gt;0,IN53,0)</f>
        <v>0</v>
      </c>
      <c r="IO77" s="148">
        <f>IF(IO72+IO74&gt;0,IO53,0)</f>
        <v>0</v>
      </c>
      <c r="IP77" s="148">
        <f>IF(IP72+IP74&gt;0,IP53,0)</f>
        <v>0</v>
      </c>
      <c r="IQ77" s="148">
        <f>IF(IQ72+IQ74&gt;0,IQ53,0)</f>
        <v>0</v>
      </c>
      <c r="IR77" s="148">
        <f>IF(IR72+IR74&gt;0,IR53,0)</f>
        <v>0</v>
      </c>
      <c r="IS77" s="148">
        <f>IF(IS72+IS74&gt;0,IS53,0)</f>
        <v>0</v>
      </c>
      <c r="IT77" s="148">
        <f>IF(IT72+IT74&gt;0,IT53,0)</f>
        <v>0</v>
      </c>
      <c r="IU77" s="148">
        <f>IF(IU72+IU74&gt;0,IU53,0)</f>
        <v>0</v>
      </c>
      <c r="IV77" s="148">
        <f>IF(IV72+IV74&gt;0,IV53,0)</f>
        <v>0</v>
      </c>
      <c r="IW77" s="148">
        <f>IF(IW72+IW74&gt;0,IW53,0)</f>
        <v>0</v>
      </c>
      <c r="IX77" s="148">
        <f>IF(IX72+IX74&gt;0,IX53,0)</f>
        <v>0</v>
      </c>
      <c r="IY77" s="148">
        <f>IF(IY72+IY74&gt;0,IY53,0)</f>
        <v>0</v>
      </c>
      <c r="IZ77" s="148">
        <f>IF(IZ72+IZ74&gt;0,IZ53,0)</f>
        <v>0</v>
      </c>
      <c r="JA77" s="148">
        <f>IF(JA72+JA74&gt;0,JA53,0)</f>
        <v>0</v>
      </c>
      <c r="JB77" s="148">
        <f>IF(JB72+JB74&gt;0,JB53,0)</f>
        <v>0</v>
      </c>
      <c r="JC77" s="148">
        <f>IF(JC72+JC74&gt;0,JC53,0)</f>
        <v>0</v>
      </c>
      <c r="JD77" s="148">
        <f>IF(JD72+JD74&gt;0,JD53,0)</f>
        <v>0</v>
      </c>
      <c r="JE77" s="148">
        <f>IF(JE72+JE74&gt;0,JE53,0)</f>
        <v>0</v>
      </c>
      <c r="JF77" s="148">
        <f>IF(JF72+JF74&gt;0,JF53,0)</f>
        <v>0</v>
      </c>
      <c r="JG77" s="148">
        <f>IF(JG72+JG74&gt;0,JG53,0)</f>
        <v>0</v>
      </c>
      <c r="JH77" s="148">
        <f>IF(JH72+JH74&gt;0,JH53,0)</f>
        <v>0</v>
      </c>
      <c r="JI77" s="148">
        <f>IF(JI72+JI74&gt;0,JI53,0)</f>
        <v>0</v>
      </c>
      <c r="JJ77" s="148">
        <f>IF(JJ72+JJ74&gt;0,JJ53,0)</f>
        <v>0</v>
      </c>
      <c r="JK77" s="148">
        <f>IF(JK72+JK74&gt;0,JK53,0)</f>
        <v>0</v>
      </c>
      <c r="JL77" s="148">
        <f>IF(JL72+JL74&gt;0,JL53,0)</f>
        <v>0</v>
      </c>
      <c r="JM77" s="148">
        <f>IF(JM72+JM74&gt;0,JM53,0)</f>
        <v>0</v>
      </c>
      <c r="JN77" s="148">
        <f>IF(JN72+JN74&gt;0,JN53,0)</f>
        <v>0</v>
      </c>
      <c r="JO77" s="148">
        <f>IF(JO72+JO74&gt;0,JO53,0)</f>
        <v>0</v>
      </c>
      <c r="JP77" s="148">
        <f>IF(JP72+JP74&gt;0,JP53,0)</f>
        <v>0</v>
      </c>
      <c r="JQ77" s="148">
        <f>IF(JQ72+JQ74&gt;0,JQ53,0)</f>
        <v>0</v>
      </c>
      <c r="JR77" s="148">
        <f>IF(JR72+JR74&gt;0,JR53,0)</f>
        <v>0</v>
      </c>
      <c r="JS77" s="148">
        <f>IF(JS72+JS74&gt;0,JS53,0)</f>
        <v>0</v>
      </c>
      <c r="JT77" s="148">
        <f>IF(JT72+JT74&gt;0,JT53,0)</f>
        <v>0</v>
      </c>
      <c r="JU77" s="148">
        <f>IF(JU72+JU74&gt;0,JU53,0)</f>
        <v>0</v>
      </c>
      <c r="JV77" s="148">
        <f>IF(JV72+JV74&gt;0,JV53,0)</f>
        <v>0</v>
      </c>
      <c r="JW77" s="148">
        <f>IF(JW72+JW74&gt;0,JW53,0)</f>
        <v>0</v>
      </c>
      <c r="JX77" s="148">
        <f>IF(JX72+JX74&gt;0,JX53,0)</f>
        <v>0</v>
      </c>
      <c r="JY77" s="148">
        <f>IF(JY72+JY74&gt;0,JY53,0)</f>
        <v>0</v>
      </c>
      <c r="JZ77" s="148">
        <f>IF(JZ72+JZ74&gt;0,JZ53,0)</f>
        <v>0</v>
      </c>
      <c r="KA77" s="148">
        <f>IF(KA72+KA74&gt;0,KA53,0)</f>
        <v>0</v>
      </c>
      <c r="KB77" s="148">
        <f>IF(KB72+KB74&gt;0,KB53,0)</f>
        <v>0</v>
      </c>
      <c r="KC77" s="148">
        <f>IF(KC72+KC74&gt;0,KC53,0)</f>
        <v>0</v>
      </c>
      <c r="KD77" s="148">
        <f>IF(KD72+KD74&gt;0,KD53,0)</f>
        <v>0</v>
      </c>
      <c r="KE77" s="148">
        <f>IF(KE72+KE74&gt;0,KE53,0)</f>
        <v>0</v>
      </c>
      <c r="KF77" s="148">
        <f>IF(KF72+KF74&gt;0,KF53,0)</f>
        <v>0</v>
      </c>
    </row>
    <row r="78">
      <c r="B78" s="36" t="inlineStr">
        <is>
          <t>Helper: month index of scheduled payment (else 999)</t>
        </is>
      </c>
      <c r="C78" s="117" t="inlineStr">
        <is>
          <t>no.</t>
        </is>
      </c>
      <c r="D78" s="147">
        <f>MIN(E78:KF78)</f>
        <v>45</v>
      </c>
      <c r="E78" s="148">
        <f>IF(E72&gt;0,E53,999)</f>
        <v>999</v>
      </c>
      <c r="F78" s="148">
        <f>IF(F72&gt;0,F53,999)</f>
        <v>999</v>
      </c>
      <c r="G78" s="148">
        <f>IF(G72&gt;0,G53,999)</f>
        <v>999</v>
      </c>
      <c r="H78" s="148">
        <f>IF(H72&gt;0,H53,999)</f>
        <v>999</v>
      </c>
      <c r="I78" s="148">
        <f>IF(I72&gt;0,I53,999)</f>
        <v>999</v>
      </c>
      <c r="J78" s="148">
        <f>IF(J72&gt;0,J53,999)</f>
        <v>999</v>
      </c>
      <c r="K78" s="148">
        <f>IF(K72&gt;0,K53,999)</f>
        <v>999</v>
      </c>
      <c r="L78" s="148">
        <f>IF(L72&gt;0,L53,999)</f>
        <v>999</v>
      </c>
      <c r="M78" s="148">
        <f>IF(M72&gt;0,M53,999)</f>
        <v>999</v>
      </c>
      <c r="N78" s="148">
        <f>IF(N72&gt;0,N53,999)</f>
        <v>999</v>
      </c>
      <c r="O78" s="148">
        <f>IF(O72&gt;0,O53,999)</f>
        <v>999</v>
      </c>
      <c r="P78" s="148">
        <f>IF(P72&gt;0,P53,999)</f>
        <v>999</v>
      </c>
      <c r="Q78" s="148">
        <f>IF(Q72&gt;0,Q53,999)</f>
        <v>999</v>
      </c>
      <c r="R78" s="148">
        <f>IF(R72&gt;0,R53,999)</f>
        <v>999</v>
      </c>
      <c r="S78" s="148">
        <f>IF(S72&gt;0,S53,999)</f>
        <v>999</v>
      </c>
      <c r="T78" s="148">
        <f>IF(T72&gt;0,T53,999)</f>
        <v>999</v>
      </c>
      <c r="U78" s="148">
        <f>IF(U72&gt;0,U53,999)</f>
        <v>999</v>
      </c>
      <c r="V78" s="148">
        <f>IF(V72&gt;0,V53,999)</f>
        <v>999</v>
      </c>
      <c r="W78" s="148">
        <f>IF(W72&gt;0,W53,999)</f>
        <v>999</v>
      </c>
      <c r="X78" s="148">
        <f>IF(X72&gt;0,X53,999)</f>
        <v>999</v>
      </c>
      <c r="Y78" s="148">
        <f>IF(Y72&gt;0,Y53,999)</f>
        <v>999</v>
      </c>
      <c r="Z78" s="148">
        <f>IF(Z72&gt;0,Z53,999)</f>
        <v>999</v>
      </c>
      <c r="AA78" s="148">
        <f>IF(AA72&gt;0,AA53,999)</f>
        <v>999</v>
      </c>
      <c r="AB78" s="148">
        <f>IF(AB72&gt;0,AB53,999)</f>
        <v>999</v>
      </c>
      <c r="AC78" s="148">
        <f>IF(AC72&gt;0,AC53,999)</f>
        <v>999</v>
      </c>
      <c r="AD78" s="148">
        <f>IF(AD72&gt;0,AD53,999)</f>
        <v>999</v>
      </c>
      <c r="AE78" s="148">
        <f>IF(AE72&gt;0,AE53,999)</f>
        <v>999</v>
      </c>
      <c r="AF78" s="148">
        <f>IF(AF72&gt;0,AF53,999)</f>
        <v>999</v>
      </c>
      <c r="AG78" s="148">
        <f>IF(AG72&gt;0,AG53,999)</f>
        <v>999</v>
      </c>
      <c r="AH78" s="148">
        <f>IF(AH72&gt;0,AH53,999)</f>
        <v>999</v>
      </c>
      <c r="AI78" s="148">
        <f>IF(AI72&gt;0,AI53,999)</f>
        <v>999</v>
      </c>
      <c r="AJ78" s="148">
        <f>IF(AJ72&gt;0,AJ53,999)</f>
        <v>999</v>
      </c>
      <c r="AK78" s="148">
        <f>IF(AK72&gt;0,AK53,999)</f>
        <v>999</v>
      </c>
      <c r="AL78" s="148">
        <f>IF(AL72&gt;0,AL53,999)</f>
        <v>999</v>
      </c>
      <c r="AM78" s="148">
        <f>IF(AM72&gt;0,AM53,999)</f>
        <v>999</v>
      </c>
      <c r="AN78" s="148">
        <f>IF(AN72&gt;0,AN53,999)</f>
        <v>999</v>
      </c>
      <c r="AO78" s="148">
        <f>IF(AO72&gt;0,AO53,999)</f>
        <v>999</v>
      </c>
      <c r="AP78" s="148">
        <f>IF(AP72&gt;0,AP53,999)</f>
        <v>999</v>
      </c>
      <c r="AQ78" s="148">
        <f>IF(AQ72&gt;0,AQ53,999)</f>
        <v>999</v>
      </c>
      <c r="AR78" s="148">
        <f>IF(AR72&gt;0,AR53,999)</f>
        <v>999</v>
      </c>
      <c r="AS78" s="148">
        <f>IF(AS72&gt;0,AS53,999)</f>
        <v>999</v>
      </c>
      <c r="AT78" s="148">
        <f>IF(AT72&gt;0,AT53,999)</f>
        <v>999</v>
      </c>
      <c r="AU78" s="148">
        <f>IF(AU72&gt;0,AU53,999)</f>
        <v>999</v>
      </c>
      <c r="AV78" s="148">
        <f>IF(AV72&gt;0,AV53,999)</f>
        <v>999</v>
      </c>
      <c r="AW78" s="148">
        <f>IF(AW72&gt;0,AW53,999)</f>
        <v>45</v>
      </c>
      <c r="AX78" s="148">
        <f>IF(AX72&gt;0,AX53,999)</f>
        <v>999</v>
      </c>
      <c r="AY78" s="148">
        <f>IF(AY72&gt;0,AY53,999)</f>
        <v>999</v>
      </c>
      <c r="AZ78" s="148">
        <f>IF(AZ72&gt;0,AZ53,999)</f>
        <v>48</v>
      </c>
      <c r="BA78" s="148">
        <f>IF(BA72&gt;0,BA53,999)</f>
        <v>999</v>
      </c>
      <c r="BB78" s="148">
        <f>IF(BB72&gt;0,BB53,999)</f>
        <v>999</v>
      </c>
      <c r="BC78" s="148">
        <f>IF(BC72&gt;0,BC53,999)</f>
        <v>51</v>
      </c>
      <c r="BD78" s="148">
        <f>IF(BD72&gt;0,BD53,999)</f>
        <v>999</v>
      </c>
      <c r="BE78" s="148">
        <f>IF(BE72&gt;0,BE53,999)</f>
        <v>999</v>
      </c>
      <c r="BF78" s="148">
        <f>IF(BF72&gt;0,BF53,999)</f>
        <v>54</v>
      </c>
      <c r="BG78" s="148">
        <f>IF(BG72&gt;0,BG53,999)</f>
        <v>999</v>
      </c>
      <c r="BH78" s="148">
        <f>IF(BH72&gt;0,BH53,999)</f>
        <v>999</v>
      </c>
      <c r="BI78" s="148">
        <f>IF(BI72&gt;0,BI53,999)</f>
        <v>57</v>
      </c>
      <c r="BJ78" s="148">
        <f>IF(BJ72&gt;0,BJ53,999)</f>
        <v>999</v>
      </c>
      <c r="BK78" s="148">
        <f>IF(BK72&gt;0,BK53,999)</f>
        <v>999</v>
      </c>
      <c r="BL78" s="148">
        <f>IF(BL72&gt;0,BL53,999)</f>
        <v>60</v>
      </c>
      <c r="BM78" s="148">
        <f>IF(BM72&gt;0,BM53,999)</f>
        <v>999</v>
      </c>
      <c r="BN78" s="148">
        <f>IF(BN72&gt;0,BN53,999)</f>
        <v>999</v>
      </c>
      <c r="BO78" s="148">
        <f>IF(BO72&gt;0,BO53,999)</f>
        <v>63</v>
      </c>
      <c r="BP78" s="148">
        <f>IF(BP72&gt;0,BP53,999)</f>
        <v>999</v>
      </c>
      <c r="BQ78" s="148">
        <f>IF(BQ72&gt;0,BQ53,999)</f>
        <v>999</v>
      </c>
      <c r="BR78" s="148">
        <f>IF(BR72&gt;0,BR53,999)</f>
        <v>66</v>
      </c>
      <c r="BS78" s="148">
        <f>IF(BS72&gt;0,BS53,999)</f>
        <v>999</v>
      </c>
      <c r="BT78" s="148">
        <f>IF(BT72&gt;0,BT53,999)</f>
        <v>999</v>
      </c>
      <c r="BU78" s="148">
        <f>IF(BU72&gt;0,BU53,999)</f>
        <v>69</v>
      </c>
      <c r="BV78" s="148">
        <f>IF(BV72&gt;0,BV53,999)</f>
        <v>999</v>
      </c>
      <c r="BW78" s="148">
        <f>IF(BW72&gt;0,BW53,999)</f>
        <v>999</v>
      </c>
      <c r="BX78" s="148">
        <f>IF(BX72&gt;0,BX53,999)</f>
        <v>72</v>
      </c>
      <c r="BY78" s="148">
        <f>IF(BY72&gt;0,BY53,999)</f>
        <v>999</v>
      </c>
      <c r="BZ78" s="148">
        <f>IF(BZ72&gt;0,BZ53,999)</f>
        <v>999</v>
      </c>
      <c r="CA78" s="148">
        <f>IF(CA72&gt;0,CA53,999)</f>
        <v>75</v>
      </c>
      <c r="CB78" s="148">
        <f>IF(CB72&gt;0,CB53,999)</f>
        <v>999</v>
      </c>
      <c r="CC78" s="148">
        <f>IF(CC72&gt;0,CC53,999)</f>
        <v>999</v>
      </c>
      <c r="CD78" s="148">
        <f>IF(CD72&gt;0,CD53,999)</f>
        <v>78</v>
      </c>
      <c r="CE78" s="148">
        <f>IF(CE72&gt;0,CE53,999)</f>
        <v>999</v>
      </c>
      <c r="CF78" s="148">
        <f>IF(CF72&gt;0,CF53,999)</f>
        <v>999</v>
      </c>
      <c r="CG78" s="148">
        <f>IF(CG72&gt;0,CG53,999)</f>
        <v>81</v>
      </c>
      <c r="CH78" s="148">
        <f>IF(CH72&gt;0,CH53,999)</f>
        <v>999</v>
      </c>
      <c r="CI78" s="148">
        <f>IF(CI72&gt;0,CI53,999)</f>
        <v>999</v>
      </c>
      <c r="CJ78" s="148">
        <f>IF(CJ72&gt;0,CJ53,999)</f>
        <v>84</v>
      </c>
      <c r="CK78" s="148">
        <f>IF(CK72&gt;0,CK53,999)</f>
        <v>999</v>
      </c>
      <c r="CL78" s="148">
        <f>IF(CL72&gt;0,CL53,999)</f>
        <v>999</v>
      </c>
      <c r="CM78" s="148">
        <f>IF(CM72&gt;0,CM53,999)</f>
        <v>87</v>
      </c>
      <c r="CN78" s="148">
        <f>IF(CN72&gt;0,CN53,999)</f>
        <v>999</v>
      </c>
      <c r="CO78" s="148">
        <f>IF(CO72&gt;0,CO53,999)</f>
        <v>999</v>
      </c>
      <c r="CP78" s="148">
        <f>IF(CP72&gt;0,CP53,999)</f>
        <v>90</v>
      </c>
      <c r="CQ78" s="148">
        <f>IF(CQ72&gt;0,CQ53,999)</f>
        <v>999</v>
      </c>
      <c r="CR78" s="148">
        <f>IF(CR72&gt;0,CR53,999)</f>
        <v>999</v>
      </c>
      <c r="CS78" s="148">
        <f>IF(CS72&gt;0,CS53,999)</f>
        <v>93</v>
      </c>
      <c r="CT78" s="148">
        <f>IF(CT72&gt;0,CT53,999)</f>
        <v>999</v>
      </c>
      <c r="CU78" s="148">
        <f>IF(CU72&gt;0,CU53,999)</f>
        <v>999</v>
      </c>
      <c r="CV78" s="148">
        <f>IF(CV72&gt;0,CV53,999)</f>
        <v>96</v>
      </c>
      <c r="CW78" s="148">
        <f>IF(CW72&gt;0,CW53,999)</f>
        <v>999</v>
      </c>
      <c r="CX78" s="148">
        <f>IF(CX72&gt;0,CX53,999)</f>
        <v>999</v>
      </c>
      <c r="CY78" s="148">
        <f>IF(CY72&gt;0,CY53,999)</f>
        <v>99</v>
      </c>
      <c r="CZ78" s="148">
        <f>IF(CZ72&gt;0,CZ53,999)</f>
        <v>999</v>
      </c>
      <c r="DA78" s="148">
        <f>IF(DA72&gt;0,DA53,999)</f>
        <v>999</v>
      </c>
      <c r="DB78" s="148">
        <f>IF(DB72&gt;0,DB53,999)</f>
        <v>102</v>
      </c>
      <c r="DC78" s="148">
        <f>IF(DC72&gt;0,DC53,999)</f>
        <v>999</v>
      </c>
      <c r="DD78" s="148">
        <f>IF(DD72&gt;0,DD53,999)</f>
        <v>999</v>
      </c>
      <c r="DE78" s="148">
        <f>IF(DE72&gt;0,DE53,999)</f>
        <v>105</v>
      </c>
      <c r="DF78" s="148">
        <f>IF(DF72&gt;0,DF53,999)</f>
        <v>999</v>
      </c>
      <c r="DG78" s="148">
        <f>IF(DG72&gt;0,DG53,999)</f>
        <v>999</v>
      </c>
      <c r="DH78" s="148">
        <f>IF(DH72&gt;0,DH53,999)</f>
        <v>108</v>
      </c>
      <c r="DI78" s="148">
        <f>IF(DI72&gt;0,DI53,999)</f>
        <v>999</v>
      </c>
      <c r="DJ78" s="148">
        <f>IF(DJ72&gt;0,DJ53,999)</f>
        <v>999</v>
      </c>
      <c r="DK78" s="148">
        <f>IF(DK72&gt;0,DK53,999)</f>
        <v>111</v>
      </c>
      <c r="DL78" s="148">
        <f>IF(DL72&gt;0,DL53,999)</f>
        <v>999</v>
      </c>
      <c r="DM78" s="148">
        <f>IF(DM72&gt;0,DM53,999)</f>
        <v>999</v>
      </c>
      <c r="DN78" s="148">
        <f>IF(DN72&gt;0,DN53,999)</f>
        <v>114</v>
      </c>
      <c r="DO78" s="148">
        <f>IF(DO72&gt;0,DO53,999)</f>
        <v>999</v>
      </c>
      <c r="DP78" s="148">
        <f>IF(DP72&gt;0,DP53,999)</f>
        <v>999</v>
      </c>
      <c r="DQ78" s="148">
        <f>IF(DQ72&gt;0,DQ53,999)</f>
        <v>117</v>
      </c>
      <c r="DR78" s="148">
        <f>IF(DR72&gt;0,DR53,999)</f>
        <v>999</v>
      </c>
      <c r="DS78" s="148">
        <f>IF(DS72&gt;0,DS53,999)</f>
        <v>999</v>
      </c>
      <c r="DT78" s="148">
        <f>IF(DT72&gt;0,DT53,999)</f>
        <v>120</v>
      </c>
      <c r="DU78" s="148">
        <f>IF(DU72&gt;0,DU53,999)</f>
        <v>999</v>
      </c>
      <c r="DV78" s="148">
        <f>IF(DV72&gt;0,DV53,999)</f>
        <v>999</v>
      </c>
      <c r="DW78" s="148">
        <f>IF(DW72&gt;0,DW53,999)</f>
        <v>123</v>
      </c>
      <c r="DX78" s="148">
        <f>IF(DX72&gt;0,DX53,999)</f>
        <v>999</v>
      </c>
      <c r="DY78" s="148">
        <f>IF(DY72&gt;0,DY53,999)</f>
        <v>999</v>
      </c>
      <c r="DZ78" s="148">
        <f>IF(DZ72&gt;0,DZ53,999)</f>
        <v>126</v>
      </c>
      <c r="EA78" s="148">
        <f>IF(EA72&gt;0,EA53,999)</f>
        <v>999</v>
      </c>
      <c r="EB78" s="148">
        <f>IF(EB72&gt;0,EB53,999)</f>
        <v>999</v>
      </c>
      <c r="EC78" s="148">
        <f>IF(EC72&gt;0,EC53,999)</f>
        <v>129</v>
      </c>
      <c r="ED78" s="148">
        <f>IF(ED72&gt;0,ED53,999)</f>
        <v>999</v>
      </c>
      <c r="EE78" s="148">
        <f>IF(EE72&gt;0,EE53,999)</f>
        <v>999</v>
      </c>
      <c r="EF78" s="148">
        <f>IF(EF72&gt;0,EF53,999)</f>
        <v>132</v>
      </c>
      <c r="EG78" s="148">
        <f>IF(EG72&gt;0,EG53,999)</f>
        <v>999</v>
      </c>
      <c r="EH78" s="148">
        <f>IF(EH72&gt;0,EH53,999)</f>
        <v>999</v>
      </c>
      <c r="EI78" s="148">
        <f>IF(EI72&gt;0,EI53,999)</f>
        <v>135</v>
      </c>
      <c r="EJ78" s="148">
        <f>IF(EJ72&gt;0,EJ53,999)</f>
        <v>999</v>
      </c>
      <c r="EK78" s="148">
        <f>IF(EK72&gt;0,EK53,999)</f>
        <v>999</v>
      </c>
      <c r="EL78" s="148">
        <f>IF(EL72&gt;0,EL53,999)</f>
        <v>138</v>
      </c>
      <c r="EM78" s="148">
        <f>IF(EM72&gt;0,EM53,999)</f>
        <v>999</v>
      </c>
      <c r="EN78" s="148">
        <f>IF(EN72&gt;0,EN53,999)</f>
        <v>999</v>
      </c>
      <c r="EO78" s="148">
        <f>IF(EO72&gt;0,EO53,999)</f>
        <v>141</v>
      </c>
      <c r="EP78" s="148">
        <f>IF(EP72&gt;0,EP53,999)</f>
        <v>999</v>
      </c>
      <c r="EQ78" s="148">
        <f>IF(EQ72&gt;0,EQ53,999)</f>
        <v>999</v>
      </c>
      <c r="ER78" s="148">
        <f>IF(ER72&gt;0,ER53,999)</f>
        <v>144</v>
      </c>
      <c r="ES78" s="148">
        <f>IF(ES72&gt;0,ES53,999)</f>
        <v>999</v>
      </c>
      <c r="ET78" s="148">
        <f>IF(ET72&gt;0,ET53,999)</f>
        <v>999</v>
      </c>
      <c r="EU78" s="148">
        <f>IF(EU72&gt;0,EU53,999)</f>
        <v>147</v>
      </c>
      <c r="EV78" s="148">
        <f>IF(EV72&gt;0,EV53,999)</f>
        <v>999</v>
      </c>
      <c r="EW78" s="148">
        <f>IF(EW72&gt;0,EW53,999)</f>
        <v>999</v>
      </c>
      <c r="EX78" s="148">
        <f>IF(EX72&gt;0,EX53,999)</f>
        <v>150</v>
      </c>
      <c r="EY78" s="148">
        <f>IF(EY72&gt;0,EY53,999)</f>
        <v>999</v>
      </c>
      <c r="EZ78" s="148">
        <f>IF(EZ72&gt;0,EZ53,999)</f>
        <v>999</v>
      </c>
      <c r="FA78" s="148">
        <f>IF(FA72&gt;0,FA53,999)</f>
        <v>999</v>
      </c>
      <c r="FB78" s="148">
        <f>IF(FB72&gt;0,FB53,999)</f>
        <v>999</v>
      </c>
      <c r="FC78" s="148">
        <f>IF(FC72&gt;0,FC53,999)</f>
        <v>999</v>
      </c>
      <c r="FD78" s="148">
        <f>IF(FD72&gt;0,FD53,999)</f>
        <v>999</v>
      </c>
      <c r="FE78" s="148">
        <f>IF(FE72&gt;0,FE53,999)</f>
        <v>999</v>
      </c>
      <c r="FF78" s="148">
        <f>IF(FF72&gt;0,FF53,999)</f>
        <v>999</v>
      </c>
      <c r="FG78" s="148">
        <f>IF(FG72&gt;0,FG53,999)</f>
        <v>999</v>
      </c>
      <c r="FH78" s="148">
        <f>IF(FH72&gt;0,FH53,999)</f>
        <v>999</v>
      </c>
      <c r="FI78" s="148">
        <f>IF(FI72&gt;0,FI53,999)</f>
        <v>999</v>
      </c>
      <c r="FJ78" s="148">
        <f>IF(FJ72&gt;0,FJ53,999)</f>
        <v>999</v>
      </c>
      <c r="FK78" s="148">
        <f>IF(FK72&gt;0,FK53,999)</f>
        <v>999</v>
      </c>
      <c r="FL78" s="148">
        <f>IF(FL72&gt;0,FL53,999)</f>
        <v>999</v>
      </c>
      <c r="FM78" s="148">
        <f>IF(FM72&gt;0,FM53,999)</f>
        <v>999</v>
      </c>
      <c r="FN78" s="148">
        <f>IF(FN72&gt;0,FN53,999)</f>
        <v>999</v>
      </c>
      <c r="FO78" s="148">
        <f>IF(FO72&gt;0,FO53,999)</f>
        <v>999</v>
      </c>
      <c r="FP78" s="148">
        <f>IF(FP72&gt;0,FP53,999)</f>
        <v>999</v>
      </c>
      <c r="FQ78" s="148">
        <f>IF(FQ72&gt;0,FQ53,999)</f>
        <v>999</v>
      </c>
      <c r="FR78" s="148">
        <f>IF(FR72&gt;0,FR53,999)</f>
        <v>999</v>
      </c>
      <c r="FS78" s="148">
        <f>IF(FS72&gt;0,FS53,999)</f>
        <v>999</v>
      </c>
      <c r="FT78" s="148">
        <f>IF(FT72&gt;0,FT53,999)</f>
        <v>999</v>
      </c>
      <c r="FU78" s="148">
        <f>IF(FU72&gt;0,FU53,999)</f>
        <v>999</v>
      </c>
      <c r="FV78" s="148">
        <f>IF(FV72&gt;0,FV53,999)</f>
        <v>999</v>
      </c>
      <c r="FW78" s="148">
        <f>IF(FW72&gt;0,FW53,999)</f>
        <v>999</v>
      </c>
      <c r="FX78" s="148">
        <f>IF(FX72&gt;0,FX53,999)</f>
        <v>999</v>
      </c>
      <c r="FY78" s="148">
        <f>IF(FY72&gt;0,FY53,999)</f>
        <v>999</v>
      </c>
      <c r="FZ78" s="148">
        <f>IF(FZ72&gt;0,FZ53,999)</f>
        <v>999</v>
      </c>
      <c r="GA78" s="148">
        <f>IF(GA72&gt;0,GA53,999)</f>
        <v>999</v>
      </c>
      <c r="GB78" s="148">
        <f>IF(GB72&gt;0,GB53,999)</f>
        <v>999</v>
      </c>
      <c r="GC78" s="148">
        <f>IF(GC72&gt;0,GC53,999)</f>
        <v>999</v>
      </c>
      <c r="GD78" s="148">
        <f>IF(GD72&gt;0,GD53,999)</f>
        <v>999</v>
      </c>
      <c r="GE78" s="148">
        <f>IF(GE72&gt;0,GE53,999)</f>
        <v>999</v>
      </c>
      <c r="GF78" s="148">
        <f>IF(GF72&gt;0,GF53,999)</f>
        <v>999</v>
      </c>
      <c r="GG78" s="148">
        <f>IF(GG72&gt;0,GG53,999)</f>
        <v>999</v>
      </c>
      <c r="GH78" s="148">
        <f>IF(GH72&gt;0,GH53,999)</f>
        <v>999</v>
      </c>
      <c r="GI78" s="148">
        <f>IF(GI72&gt;0,GI53,999)</f>
        <v>999</v>
      </c>
      <c r="GJ78" s="148">
        <f>IF(GJ72&gt;0,GJ53,999)</f>
        <v>999</v>
      </c>
      <c r="GK78" s="148">
        <f>IF(GK72&gt;0,GK53,999)</f>
        <v>999</v>
      </c>
      <c r="GL78" s="148">
        <f>IF(GL72&gt;0,GL53,999)</f>
        <v>999</v>
      </c>
      <c r="GM78" s="148">
        <f>IF(GM72&gt;0,GM53,999)</f>
        <v>999</v>
      </c>
      <c r="GN78" s="148">
        <f>IF(GN72&gt;0,GN53,999)</f>
        <v>999</v>
      </c>
      <c r="GO78" s="148">
        <f>IF(GO72&gt;0,GO53,999)</f>
        <v>999</v>
      </c>
      <c r="GP78" s="148">
        <f>IF(GP72&gt;0,GP53,999)</f>
        <v>999</v>
      </c>
      <c r="GQ78" s="148">
        <f>IF(GQ72&gt;0,GQ53,999)</f>
        <v>999</v>
      </c>
      <c r="GR78" s="148">
        <f>IF(GR72&gt;0,GR53,999)</f>
        <v>999</v>
      </c>
      <c r="GS78" s="148">
        <f>IF(GS72&gt;0,GS53,999)</f>
        <v>999</v>
      </c>
      <c r="GT78" s="148">
        <f>IF(GT72&gt;0,GT53,999)</f>
        <v>999</v>
      </c>
      <c r="GU78" s="148">
        <f>IF(GU72&gt;0,GU53,999)</f>
        <v>999</v>
      </c>
      <c r="GV78" s="148">
        <f>IF(GV72&gt;0,GV53,999)</f>
        <v>999</v>
      </c>
      <c r="GW78" s="148">
        <f>IF(GW72&gt;0,GW53,999)</f>
        <v>999</v>
      </c>
      <c r="GX78" s="148">
        <f>IF(GX72&gt;0,GX53,999)</f>
        <v>999</v>
      </c>
      <c r="GY78" s="148">
        <f>IF(GY72&gt;0,GY53,999)</f>
        <v>999</v>
      </c>
      <c r="GZ78" s="148">
        <f>IF(GZ72&gt;0,GZ53,999)</f>
        <v>999</v>
      </c>
      <c r="HA78" s="148">
        <f>IF(HA72&gt;0,HA53,999)</f>
        <v>999</v>
      </c>
      <c r="HB78" s="148">
        <f>IF(HB72&gt;0,HB53,999)</f>
        <v>999</v>
      </c>
      <c r="HC78" s="148">
        <f>IF(HC72&gt;0,HC53,999)</f>
        <v>999</v>
      </c>
      <c r="HD78" s="148">
        <f>IF(HD72&gt;0,HD53,999)</f>
        <v>999</v>
      </c>
      <c r="HE78" s="148">
        <f>IF(HE72&gt;0,HE53,999)</f>
        <v>999</v>
      </c>
      <c r="HF78" s="148">
        <f>IF(HF72&gt;0,HF53,999)</f>
        <v>999</v>
      </c>
      <c r="HG78" s="148">
        <f>IF(HG72&gt;0,HG53,999)</f>
        <v>999</v>
      </c>
      <c r="HH78" s="148">
        <f>IF(HH72&gt;0,HH53,999)</f>
        <v>999</v>
      </c>
      <c r="HI78" s="148">
        <f>IF(HI72&gt;0,HI53,999)</f>
        <v>999</v>
      </c>
      <c r="HJ78" s="148">
        <f>IF(HJ72&gt;0,HJ53,999)</f>
        <v>999</v>
      </c>
      <c r="HK78" s="148">
        <f>IF(HK72&gt;0,HK53,999)</f>
        <v>999</v>
      </c>
      <c r="HL78" s="148">
        <f>IF(HL72&gt;0,HL53,999)</f>
        <v>999</v>
      </c>
      <c r="HM78" s="148">
        <f>IF(HM72&gt;0,HM53,999)</f>
        <v>999</v>
      </c>
      <c r="HN78" s="148">
        <f>IF(HN72&gt;0,HN53,999)</f>
        <v>999</v>
      </c>
      <c r="HO78" s="148">
        <f>IF(HO72&gt;0,HO53,999)</f>
        <v>999</v>
      </c>
      <c r="HP78" s="148">
        <f>IF(HP72&gt;0,HP53,999)</f>
        <v>999</v>
      </c>
      <c r="HQ78" s="148">
        <f>IF(HQ72&gt;0,HQ53,999)</f>
        <v>999</v>
      </c>
      <c r="HR78" s="148">
        <f>IF(HR72&gt;0,HR53,999)</f>
        <v>999</v>
      </c>
      <c r="HS78" s="148">
        <f>IF(HS72&gt;0,HS53,999)</f>
        <v>999</v>
      </c>
      <c r="HT78" s="148">
        <f>IF(HT72&gt;0,HT53,999)</f>
        <v>999</v>
      </c>
      <c r="HU78" s="148">
        <f>IF(HU72&gt;0,HU53,999)</f>
        <v>999</v>
      </c>
      <c r="HV78" s="148">
        <f>IF(HV72&gt;0,HV53,999)</f>
        <v>999</v>
      </c>
      <c r="HW78" s="148">
        <f>IF(HW72&gt;0,HW53,999)</f>
        <v>999</v>
      </c>
      <c r="HX78" s="148">
        <f>IF(HX72&gt;0,HX53,999)</f>
        <v>999</v>
      </c>
      <c r="HY78" s="148">
        <f>IF(HY72&gt;0,HY53,999)</f>
        <v>999</v>
      </c>
      <c r="HZ78" s="148">
        <f>IF(HZ72&gt;0,HZ53,999)</f>
        <v>999</v>
      </c>
      <c r="IA78" s="148">
        <f>IF(IA72&gt;0,IA53,999)</f>
        <v>999</v>
      </c>
      <c r="IB78" s="148">
        <f>IF(IB72&gt;0,IB53,999)</f>
        <v>999</v>
      </c>
      <c r="IC78" s="148">
        <f>IF(IC72&gt;0,IC53,999)</f>
        <v>999</v>
      </c>
      <c r="ID78" s="148">
        <f>IF(ID72&gt;0,ID53,999)</f>
        <v>999</v>
      </c>
      <c r="IE78" s="148">
        <f>IF(IE72&gt;0,IE53,999)</f>
        <v>999</v>
      </c>
      <c r="IF78" s="148">
        <f>IF(IF72&gt;0,IF53,999)</f>
        <v>999</v>
      </c>
      <c r="IG78" s="148">
        <f>IF(IG72&gt;0,IG53,999)</f>
        <v>999</v>
      </c>
      <c r="IH78" s="148">
        <f>IF(IH72&gt;0,IH53,999)</f>
        <v>999</v>
      </c>
      <c r="II78" s="148">
        <f>IF(II72&gt;0,II53,999)</f>
        <v>999</v>
      </c>
      <c r="IJ78" s="148">
        <f>IF(IJ72&gt;0,IJ53,999)</f>
        <v>999</v>
      </c>
      <c r="IK78" s="148">
        <f>IF(IK72&gt;0,IK53,999)</f>
        <v>999</v>
      </c>
      <c r="IL78" s="148">
        <f>IF(IL72&gt;0,IL53,999)</f>
        <v>999</v>
      </c>
      <c r="IM78" s="148">
        <f>IF(IM72&gt;0,IM53,999)</f>
        <v>999</v>
      </c>
      <c r="IN78" s="148">
        <f>IF(IN72&gt;0,IN53,999)</f>
        <v>999</v>
      </c>
      <c r="IO78" s="148">
        <f>IF(IO72&gt;0,IO53,999)</f>
        <v>999</v>
      </c>
      <c r="IP78" s="148">
        <f>IF(IP72&gt;0,IP53,999)</f>
        <v>999</v>
      </c>
      <c r="IQ78" s="148">
        <f>IF(IQ72&gt;0,IQ53,999)</f>
        <v>999</v>
      </c>
      <c r="IR78" s="148">
        <f>IF(IR72&gt;0,IR53,999)</f>
        <v>999</v>
      </c>
      <c r="IS78" s="148">
        <f>IF(IS72&gt;0,IS53,999)</f>
        <v>999</v>
      </c>
      <c r="IT78" s="148">
        <f>IF(IT72&gt;0,IT53,999)</f>
        <v>999</v>
      </c>
      <c r="IU78" s="148">
        <f>IF(IU72&gt;0,IU53,999)</f>
        <v>999</v>
      </c>
      <c r="IV78" s="148">
        <f>IF(IV72&gt;0,IV53,999)</f>
        <v>999</v>
      </c>
      <c r="IW78" s="148">
        <f>IF(IW72&gt;0,IW53,999)</f>
        <v>999</v>
      </c>
      <c r="IX78" s="148">
        <f>IF(IX72&gt;0,IX53,999)</f>
        <v>999</v>
      </c>
      <c r="IY78" s="148">
        <f>IF(IY72&gt;0,IY53,999)</f>
        <v>999</v>
      </c>
      <c r="IZ78" s="148">
        <f>IF(IZ72&gt;0,IZ53,999)</f>
        <v>999</v>
      </c>
      <c r="JA78" s="148">
        <f>IF(JA72&gt;0,JA53,999)</f>
        <v>999</v>
      </c>
      <c r="JB78" s="148">
        <f>IF(JB72&gt;0,JB53,999)</f>
        <v>999</v>
      </c>
      <c r="JC78" s="148">
        <f>IF(JC72&gt;0,JC53,999)</f>
        <v>999</v>
      </c>
      <c r="JD78" s="148">
        <f>IF(JD72&gt;0,JD53,999)</f>
        <v>999</v>
      </c>
      <c r="JE78" s="148">
        <f>IF(JE72&gt;0,JE53,999)</f>
        <v>999</v>
      </c>
      <c r="JF78" s="148">
        <f>IF(JF72&gt;0,JF53,999)</f>
        <v>999</v>
      </c>
      <c r="JG78" s="148">
        <f>IF(JG72&gt;0,JG53,999)</f>
        <v>999</v>
      </c>
      <c r="JH78" s="148">
        <f>IF(JH72&gt;0,JH53,999)</f>
        <v>999</v>
      </c>
      <c r="JI78" s="148">
        <f>IF(JI72&gt;0,JI53,999)</f>
        <v>999</v>
      </c>
      <c r="JJ78" s="148">
        <f>IF(JJ72&gt;0,JJ53,999)</f>
        <v>999</v>
      </c>
      <c r="JK78" s="148">
        <f>IF(JK72&gt;0,JK53,999)</f>
        <v>999</v>
      </c>
      <c r="JL78" s="148">
        <f>IF(JL72&gt;0,JL53,999)</f>
        <v>999</v>
      </c>
      <c r="JM78" s="148">
        <f>IF(JM72&gt;0,JM53,999)</f>
        <v>999</v>
      </c>
      <c r="JN78" s="148">
        <f>IF(JN72&gt;0,JN53,999)</f>
        <v>999</v>
      </c>
      <c r="JO78" s="148">
        <f>IF(JO72&gt;0,JO53,999)</f>
        <v>999</v>
      </c>
      <c r="JP78" s="148">
        <f>IF(JP72&gt;0,JP53,999)</f>
        <v>999</v>
      </c>
      <c r="JQ78" s="148">
        <f>IF(JQ72&gt;0,JQ53,999)</f>
        <v>999</v>
      </c>
      <c r="JR78" s="148">
        <f>IF(JR72&gt;0,JR53,999)</f>
        <v>999</v>
      </c>
      <c r="JS78" s="148">
        <f>IF(JS72&gt;0,JS53,999)</f>
        <v>999</v>
      </c>
      <c r="JT78" s="148">
        <f>IF(JT72&gt;0,JT53,999)</f>
        <v>999</v>
      </c>
      <c r="JU78" s="148">
        <f>IF(JU72&gt;0,JU53,999)</f>
        <v>999</v>
      </c>
      <c r="JV78" s="148">
        <f>IF(JV72&gt;0,JV53,999)</f>
        <v>999</v>
      </c>
      <c r="JW78" s="148">
        <f>IF(JW72&gt;0,JW53,999)</f>
        <v>999</v>
      </c>
      <c r="JX78" s="148">
        <f>IF(JX72&gt;0,JX53,999)</f>
        <v>999</v>
      </c>
      <c r="JY78" s="148">
        <f>IF(JY72&gt;0,JY53,999)</f>
        <v>999</v>
      </c>
      <c r="JZ78" s="148">
        <f>IF(JZ72&gt;0,JZ53,999)</f>
        <v>999</v>
      </c>
      <c r="KA78" s="148">
        <f>IF(KA72&gt;0,KA53,999)</f>
        <v>999</v>
      </c>
      <c r="KB78" s="148">
        <f>IF(KB72&gt;0,KB53,999)</f>
        <v>999</v>
      </c>
      <c r="KC78" s="148">
        <f>IF(KC72&gt;0,KC53,999)</f>
        <v>999</v>
      </c>
      <c r="KD78" s="148">
        <f>IF(KD72&gt;0,KD53,999)</f>
        <v>999</v>
      </c>
      <c r="KE78" s="148">
        <f>IF(KE72&gt;0,KE53,999)</f>
        <v>999</v>
      </c>
      <c r="KF78" s="148">
        <f>IF(KF72&gt;0,KF53,999)</f>
        <v>999</v>
      </c>
    </row>
    <row r="79">
      <c r="B79" s="36" t="inlineStr">
        <is>
          <t>Helper: principal × years after completion</t>
        </is>
      </c>
      <c r="C79" s="117" t="inlineStr">
        <is>
          <t>ETB</t>
        </is>
      </c>
      <c r="D79" s="169">
        <f>SUM(E79:KF79)</f>
        <v>259808981.070442</v>
      </c>
      <c r="E79" s="173">
        <f>(E72+E74)*MAX(0,E55)/12</f>
        <v>0</v>
      </c>
      <c r="F79" s="173">
        <f>(F72+F74)*MAX(0,F55)/12</f>
        <v>0</v>
      </c>
      <c r="G79" s="173">
        <f>(G72+G74)*MAX(0,G55)/12</f>
        <v>0</v>
      </c>
      <c r="H79" s="173">
        <f>(H72+H74)*MAX(0,H55)/12</f>
        <v>0</v>
      </c>
      <c r="I79" s="173">
        <f>(I72+I74)*MAX(0,I55)/12</f>
        <v>0</v>
      </c>
      <c r="J79" s="173">
        <f>(J72+J74)*MAX(0,J55)/12</f>
        <v>0</v>
      </c>
      <c r="K79" s="173">
        <f>(K72+K74)*MAX(0,K55)/12</f>
        <v>0</v>
      </c>
      <c r="L79" s="173">
        <f>(L72+L74)*MAX(0,L55)/12</f>
        <v>0</v>
      </c>
      <c r="M79" s="173">
        <f>(M72+M74)*MAX(0,M55)/12</f>
        <v>0</v>
      </c>
      <c r="N79" s="173">
        <f>(N72+N74)*MAX(0,N55)/12</f>
        <v>0</v>
      </c>
      <c r="O79" s="173">
        <f>(O72+O74)*MAX(0,O55)/12</f>
        <v>0</v>
      </c>
      <c r="P79" s="173">
        <f>(P72+P74)*MAX(0,P55)/12</f>
        <v>0</v>
      </c>
      <c r="Q79" s="173">
        <f>(Q72+Q74)*MAX(0,Q55)/12</f>
        <v>0</v>
      </c>
      <c r="R79" s="173">
        <f>(R72+R74)*MAX(0,R55)/12</f>
        <v>0</v>
      </c>
      <c r="S79" s="173">
        <f>(S72+S74)*MAX(0,S55)/12</f>
        <v>0</v>
      </c>
      <c r="T79" s="173">
        <f>(T72+T74)*MAX(0,T55)/12</f>
        <v>0</v>
      </c>
      <c r="U79" s="173">
        <f>(U72+U74)*MAX(0,U55)/12</f>
        <v>0</v>
      </c>
      <c r="V79" s="173">
        <f>(V72+V74)*MAX(0,V55)/12</f>
        <v>0</v>
      </c>
      <c r="W79" s="173">
        <f>(W72+W74)*MAX(0,W55)/12</f>
        <v>0</v>
      </c>
      <c r="X79" s="173">
        <f>(X72+X74)*MAX(0,X55)/12</f>
        <v>0</v>
      </c>
      <c r="Y79" s="173">
        <f>(Y72+Y74)*MAX(0,Y55)/12</f>
        <v>0</v>
      </c>
      <c r="Z79" s="173">
        <f>(Z72+Z74)*MAX(0,Z55)/12</f>
        <v>0</v>
      </c>
      <c r="AA79" s="173">
        <f>(AA72+AA74)*MAX(0,AA55)/12</f>
        <v>0</v>
      </c>
      <c r="AB79" s="173">
        <f>(AB72+AB74)*MAX(0,AB55)/12</f>
        <v>0</v>
      </c>
      <c r="AC79" s="173">
        <f>(AC72+AC74)*MAX(0,AC55)/12</f>
        <v>0</v>
      </c>
      <c r="AD79" s="173">
        <f>(AD72+AD74)*MAX(0,AD55)/12</f>
        <v>0</v>
      </c>
      <c r="AE79" s="173">
        <f>(AE72+AE74)*MAX(0,AE55)/12</f>
        <v>0</v>
      </c>
      <c r="AF79" s="173">
        <f>(AF72+AF74)*MAX(0,AF55)/12</f>
        <v>0</v>
      </c>
      <c r="AG79" s="173">
        <f>(AG72+AG74)*MAX(0,AG55)/12</f>
        <v>0</v>
      </c>
      <c r="AH79" s="173">
        <f>(AH72+AH74)*MAX(0,AH55)/12</f>
        <v>0</v>
      </c>
      <c r="AI79" s="173">
        <f>(AI72+AI74)*MAX(0,AI55)/12</f>
        <v>3274378.56596824</v>
      </c>
      <c r="AJ79" s="173">
        <f>(AJ72+AJ74)*MAX(0,AJ55)/12</f>
        <v>0</v>
      </c>
      <c r="AK79" s="173">
        <f>(AK72+AK74)*MAX(0,AK55)/12</f>
        <v>0</v>
      </c>
      <c r="AL79" s="173">
        <f>(AL72+AL74)*MAX(0,AL55)/12</f>
        <v>0</v>
      </c>
      <c r="AM79" s="173">
        <f>(AM72+AM74)*MAX(0,AM55)/12</f>
        <v>0</v>
      </c>
      <c r="AN79" s="173">
        <f>(AN72+AN74)*MAX(0,AN55)/12</f>
        <v>0</v>
      </c>
      <c r="AO79" s="173">
        <f>(AO72+AO74)*MAX(0,AO55)/12</f>
        <v>0</v>
      </c>
      <c r="AP79" s="173">
        <f>(AP72+AP74)*MAX(0,AP55)/12</f>
        <v>0</v>
      </c>
      <c r="AQ79" s="173">
        <f>(AQ72+AQ74)*MAX(0,AQ55)/12</f>
        <v>0</v>
      </c>
      <c r="AR79" s="173">
        <f>(AR72+AR74)*MAX(0,AR55)/12</f>
        <v>0</v>
      </c>
      <c r="AS79" s="173">
        <f>(AS72+AS74)*MAX(0,AS55)/12</f>
        <v>0</v>
      </c>
      <c r="AT79" s="173">
        <f>(AT72+AT74)*MAX(0,AT55)/12</f>
        <v>39444451.2</v>
      </c>
      <c r="AU79" s="173">
        <f>(AU72+AU74)*MAX(0,AU55)/12</f>
        <v>0</v>
      </c>
      <c r="AV79" s="173">
        <f>(AV72+AV74)*MAX(0,AV55)/12</f>
        <v>0</v>
      </c>
      <c r="AW79" s="173">
        <f>(AW72+AW74)*MAX(0,AW55)/12</f>
        <v>923019.965606786</v>
      </c>
      <c r="AX79" s="173">
        <f>(AX72+AX74)*MAX(0,AX55)/12</f>
        <v>0</v>
      </c>
      <c r="AY79" s="173">
        <f>(AY72+AY74)*MAX(0,AY55)/12</f>
        <v>0</v>
      </c>
      <c r="AZ79" s="173">
        <f>(AZ72+AZ74)*MAX(0,AZ55)/12</f>
        <v>1149159.85718045</v>
      </c>
      <c r="BA79" s="173">
        <f>(BA72+BA74)*MAX(0,BA55)/12</f>
        <v>0</v>
      </c>
      <c r="BB79" s="173">
        <f>(BB72+BB74)*MAX(0,BB55)/12</f>
        <v>0</v>
      </c>
      <c r="BC79" s="173">
        <f>(BC72+BC74)*MAX(0,BC55)/12</f>
        <v>1390962.2437955</v>
      </c>
      <c r="BD79" s="173">
        <f>(BD72+BD74)*MAX(0,BD55)/12</f>
        <v>0</v>
      </c>
      <c r="BE79" s="173">
        <f>(BE72+BE74)*MAX(0,BE55)/12</f>
        <v>0</v>
      </c>
      <c r="BF79" s="173">
        <f>(BF72+BF74)*MAX(0,BF55)/12</f>
        <v>59501145.5633576</v>
      </c>
      <c r="BG79" s="173">
        <f>(BG72+BG74)*MAX(0,BG55)/12</f>
        <v>0</v>
      </c>
      <c r="BH79" s="173">
        <f>(BH72+BH74)*MAX(0,BH55)/12</f>
        <v>0</v>
      </c>
      <c r="BI79" s="173">
        <f>(BI72+BI74)*MAX(0,BI55)/12</f>
        <v>839348.081834022</v>
      </c>
      <c r="BJ79" s="173">
        <f>(BJ72+BJ74)*MAX(0,BJ55)/12</f>
        <v>0</v>
      </c>
      <c r="BK79" s="173">
        <f>(BK72+BK74)*MAX(0,BK55)/12</f>
        <v>0</v>
      </c>
      <c r="BL79" s="173">
        <f>(BL72+BL74)*MAX(0,BL55)/12</f>
        <v>967581.816558665</v>
      </c>
      <c r="BM79" s="173">
        <f>(BM72+BM74)*MAX(0,BM55)/12</f>
        <v>0</v>
      </c>
      <c r="BN79" s="173">
        <f>(BN72+BN74)*MAX(0,BN55)/12</f>
        <v>0</v>
      </c>
      <c r="BO79" s="173">
        <f>(BO72+BO74)*MAX(0,BO55)/12</f>
        <v>1104252.74814758</v>
      </c>
      <c r="BP79" s="173">
        <f>(BP72+BP74)*MAX(0,BP55)/12</f>
        <v>0</v>
      </c>
      <c r="BQ79" s="173">
        <f>(BQ72+BQ74)*MAX(0,BQ55)/12</f>
        <v>0</v>
      </c>
      <c r="BR79" s="173">
        <f>(BR72+BR74)*MAX(0,BR55)/12</f>
        <v>1249813.33767612</v>
      </c>
      <c r="BS79" s="173">
        <f>(BS72+BS74)*MAX(0,BS55)/12</f>
        <v>0</v>
      </c>
      <c r="BT79" s="173">
        <f>(BT72+BT74)*MAX(0,BT55)/12</f>
        <v>0</v>
      </c>
      <c r="BU79" s="173">
        <f>(BU72+BU74)*MAX(0,BU55)/12</f>
        <v>1404738.11599222</v>
      </c>
      <c r="BV79" s="173">
        <f>(BV72+BV74)*MAX(0,BV55)/12</f>
        <v>0</v>
      </c>
      <c r="BW79" s="173">
        <f>(BW72+BW74)*MAX(0,BW55)/12</f>
        <v>0</v>
      </c>
      <c r="BX79" s="173">
        <f>(BX72+BX74)*MAX(0,BX55)/12</f>
        <v>1569524.70267593</v>
      </c>
      <c r="BY79" s="173">
        <f>(BY72+BY74)*MAX(0,BY55)/12</f>
        <v>0</v>
      </c>
      <c r="BZ79" s="173">
        <f>(BZ72+BZ74)*MAX(0,BZ55)/12</f>
        <v>0</v>
      </c>
      <c r="CA79" s="173">
        <f>(CA72+CA74)*MAX(0,CA55)/12</f>
        <v>1744694.87038529</v>
      </c>
      <c r="CB79" s="173">
        <f>(CB72+CB74)*MAX(0,CB55)/12</f>
        <v>0</v>
      </c>
      <c r="CC79" s="173">
        <f>(CC72+CC74)*MAX(0,CC55)/12</f>
        <v>0</v>
      </c>
      <c r="CD79" s="173">
        <f>(CD72+CD74)*MAX(0,CD55)/12</f>
        <v>1930795.65655973</v>
      </c>
      <c r="CE79" s="173">
        <f>(CE72+CE74)*MAX(0,CE55)/12</f>
        <v>0</v>
      </c>
      <c r="CF79" s="173">
        <f>(CF72+CF74)*MAX(0,CF55)/12</f>
        <v>0</v>
      </c>
      <c r="CG79" s="173">
        <f>(CG72+CG74)*MAX(0,CG55)/12</f>
        <v>2128400.52453576</v>
      </c>
      <c r="CH79" s="173">
        <f>(CH72+CH74)*MAX(0,CH55)/12</f>
        <v>0</v>
      </c>
      <c r="CI79" s="173">
        <f>(CI72+CI74)*MAX(0,CI55)/12</f>
        <v>0</v>
      </c>
      <c r="CJ79" s="173">
        <f>(CJ72+CJ74)*MAX(0,CJ55)/12</f>
        <v>2338110.57621796</v>
      </c>
      <c r="CK79" s="173">
        <f>(CK72+CK74)*MAX(0,CK55)/12</f>
        <v>0</v>
      </c>
      <c r="CL79" s="173">
        <f>(CL72+CL74)*MAX(0,CL55)/12</f>
        <v>0</v>
      </c>
      <c r="CM79" s="173">
        <f>(CM72+CM74)*MAX(0,CM55)/12</f>
        <v>2560555.81853869</v>
      </c>
      <c r="CN79" s="173">
        <f>(CN72+CN74)*MAX(0,CN55)/12</f>
        <v>0</v>
      </c>
      <c r="CO79" s="173">
        <f>(CO72+CO74)*MAX(0,CO55)/12</f>
        <v>0</v>
      </c>
      <c r="CP79" s="173">
        <f>(CP72+CP74)*MAX(0,CP55)/12</f>
        <v>2796396.48603568</v>
      </c>
      <c r="CQ79" s="173">
        <f>(CQ72+CQ74)*MAX(0,CQ55)/12</f>
        <v>0</v>
      </c>
      <c r="CR79" s="173">
        <f>(CR72+CR74)*MAX(0,CR55)/12</f>
        <v>0</v>
      </c>
      <c r="CS79" s="173">
        <f>(CS72+CS74)*MAX(0,CS55)/12</f>
        <v>3046324.42197512</v>
      </c>
      <c r="CT79" s="173">
        <f>(CT72+CT74)*MAX(0,CT55)/12</f>
        <v>0</v>
      </c>
      <c r="CU79" s="173">
        <f>(CU72+CU74)*MAX(0,CU55)/12</f>
        <v>0</v>
      </c>
      <c r="CV79" s="173">
        <f>(CV72+CV74)*MAX(0,CV55)/12</f>
        <v>3311064.52055153</v>
      </c>
      <c r="CW79" s="173">
        <f>(CW72+CW74)*MAX(0,CW55)/12</f>
        <v>0</v>
      </c>
      <c r="CX79" s="173">
        <f>(CX72+CX74)*MAX(0,CX55)/12</f>
        <v>0</v>
      </c>
      <c r="CY79" s="173">
        <f>(CY72+CY74)*MAX(0,CY55)/12</f>
        <v>3591376.23280277</v>
      </c>
      <c r="CZ79" s="173">
        <f>(CZ72+CZ74)*MAX(0,CZ55)/12</f>
        <v>0</v>
      </c>
      <c r="DA79" s="173">
        <f>(DA72+DA74)*MAX(0,DA55)/12</f>
        <v>0</v>
      </c>
      <c r="DB79" s="173">
        <f>(DB72+DB74)*MAX(0,DB55)/12</f>
        <v>3888055.13899082</v>
      </c>
      <c r="DC79" s="173">
        <f>(DC72+DC74)*MAX(0,DC55)/12</f>
        <v>0</v>
      </c>
      <c r="DD79" s="173">
        <f>(DD72+DD74)*MAX(0,DD55)/12</f>
        <v>0</v>
      </c>
      <c r="DE79" s="173">
        <f>(DE72+DE74)*MAX(0,DE55)/12</f>
        <v>4201934.5903156</v>
      </c>
      <c r="DF79" s="173">
        <f>(DF72+DF74)*MAX(0,DF55)/12</f>
        <v>0</v>
      </c>
      <c r="DG79" s="173">
        <f>(DG72+DG74)*MAX(0,DG55)/12</f>
        <v>0</v>
      </c>
      <c r="DH79" s="173">
        <f>(DH72+DH74)*MAX(0,DH55)/12</f>
        <v>4533887.42295053</v>
      </c>
      <c r="DI79" s="173">
        <f>(DI72+DI74)*MAX(0,DI55)/12</f>
        <v>0</v>
      </c>
      <c r="DJ79" s="173">
        <f>(DJ72+DJ74)*MAX(0,DJ55)/12</f>
        <v>0</v>
      </c>
      <c r="DK79" s="173">
        <f>(DK72+DK74)*MAX(0,DK55)/12</f>
        <v>4884827.74751545</v>
      </c>
      <c r="DL79" s="173">
        <f>(DL72+DL74)*MAX(0,DL55)/12</f>
        <v>0</v>
      </c>
      <c r="DM79" s="173">
        <f>(DM72+DM74)*MAX(0,DM55)/12</f>
        <v>0</v>
      </c>
      <c r="DN79" s="173">
        <f>(DN72+DN74)*MAX(0,DN55)/12</f>
        <v>5255712.81723422</v>
      </c>
      <c r="DO79" s="173">
        <f>(DO72+DO74)*MAX(0,DO55)/12</f>
        <v>0</v>
      </c>
      <c r="DP79" s="173">
        <f>(DP72+DP74)*MAX(0,DP55)/12</f>
        <v>0</v>
      </c>
      <c r="DQ79" s="173">
        <f>(DQ72+DQ74)*MAX(0,DQ55)/12</f>
        <v>5647544.97816195</v>
      </c>
      <c r="DR79" s="173">
        <f>(DR72+DR74)*MAX(0,DR55)/12</f>
        <v>0</v>
      </c>
      <c r="DS79" s="173">
        <f>(DS72+DS74)*MAX(0,DS55)/12</f>
        <v>0</v>
      </c>
      <c r="DT79" s="173">
        <f>(DT72+DT74)*MAX(0,DT55)/12</f>
        <v>6061373.70501002</v>
      </c>
      <c r="DU79" s="173">
        <f>(DU72+DU74)*MAX(0,DU55)/12</f>
        <v>0</v>
      </c>
      <c r="DV79" s="173">
        <f>(DV72+DV74)*MAX(0,DV55)/12</f>
        <v>0</v>
      </c>
      <c r="DW79" s="173">
        <f>(DW72+DW74)*MAX(0,DW55)/12</f>
        <v>6498297.72624616</v>
      </c>
      <c r="DX79" s="173">
        <f>(DX72+DX74)*MAX(0,DX55)/12</f>
        <v>0</v>
      </c>
      <c r="DY79" s="173">
        <f>(DY72+DY74)*MAX(0,DY55)/12</f>
        <v>0</v>
      </c>
      <c r="DZ79" s="173">
        <f>(DZ72+DZ74)*MAX(0,DZ55)/12</f>
        <v>6959467.24230234</v>
      </c>
      <c r="EA79" s="173">
        <f>(EA72+EA74)*MAX(0,EA55)/12</f>
        <v>0</v>
      </c>
      <c r="EB79" s="173">
        <f>(EB72+EB74)*MAX(0,EB55)/12</f>
        <v>0</v>
      </c>
      <c r="EC79" s="173">
        <f>(EC72+EC74)*MAX(0,EC55)/12</f>
        <v>7446086.24088519</v>
      </c>
      <c r="ED79" s="173">
        <f>(ED72+ED74)*MAX(0,ED55)/12</f>
        <v>0</v>
      </c>
      <c r="EE79" s="173">
        <f>(EE72+EE74)*MAX(0,EE55)/12</f>
        <v>0</v>
      </c>
      <c r="EF79" s="173">
        <f>(EF72+EF74)*MAX(0,EF55)/12</f>
        <v>7959414.91355228</v>
      </c>
      <c r="EG79" s="173">
        <f>(EG72+EG74)*MAX(0,EG55)/12</f>
        <v>0</v>
      </c>
      <c r="EH79" s="173">
        <f>(EH72+EH74)*MAX(0,EH55)/12</f>
        <v>0</v>
      </c>
      <c r="EI79" s="173">
        <f>(EI72+EI74)*MAX(0,EI55)/12</f>
        <v>8500772.17789315</v>
      </c>
      <c r="EJ79" s="173">
        <f>(EJ72+EJ74)*MAX(0,EJ55)/12</f>
        <v>0</v>
      </c>
      <c r="EK79" s="173">
        <f>(EK72+EK74)*MAX(0,EK55)/12</f>
        <v>0</v>
      </c>
      <c r="EL79" s="173">
        <f>(EL72+EL74)*MAX(0,EL55)/12</f>
        <v>9071538.30983741</v>
      </c>
      <c r="EM79" s="173">
        <f>(EM72+EM74)*MAX(0,EM55)/12</f>
        <v>0</v>
      </c>
      <c r="EN79" s="173">
        <f>(EN72+EN74)*MAX(0,EN55)/12</f>
        <v>0</v>
      </c>
      <c r="EO79" s="173">
        <f>(EO72+EO74)*MAX(0,EO55)/12</f>
        <v>9673157.69080232</v>
      </c>
      <c r="EP79" s="173">
        <f>(EP72+EP74)*MAX(0,EP55)/12</f>
        <v>0</v>
      </c>
      <c r="EQ79" s="173">
        <f>(EQ72+EQ74)*MAX(0,EQ55)/12</f>
        <v>0</v>
      </c>
      <c r="ER79" s="173">
        <f>(ER72+ER74)*MAX(0,ER55)/12</f>
        <v>10307141.6745914</v>
      </c>
      <c r="ES79" s="173">
        <f>(ES72+ES74)*MAX(0,ES55)/12</f>
        <v>0</v>
      </c>
      <c r="ET79" s="173">
        <f>(ET72+ET74)*MAX(0,ET55)/12</f>
        <v>0</v>
      </c>
      <c r="EU79" s="173">
        <f>(EU72+EU74)*MAX(0,EU55)/12</f>
        <v>10975071.579162</v>
      </c>
      <c r="EV79" s="173">
        <f>(EV72+EV74)*MAX(0,EV55)/12</f>
        <v>0</v>
      </c>
      <c r="EW79" s="173">
        <f>(EW72+EW74)*MAX(0,EW55)/12</f>
        <v>0</v>
      </c>
      <c r="EX79" s="173">
        <f>(EX72+EX74)*MAX(0,EX55)/12</f>
        <v>11678601.8085954</v>
      </c>
      <c r="EY79" s="173">
        <f>(EY72+EY74)*MAX(0,EY55)/12</f>
        <v>0</v>
      </c>
      <c r="EZ79" s="173">
        <f>(EZ72+EZ74)*MAX(0,EZ55)/12</f>
        <v>0</v>
      </c>
      <c r="FA79" s="173">
        <f>(FA72+FA74)*MAX(0,FA55)/12</f>
        <v>0</v>
      </c>
      <c r="FB79" s="173">
        <f>(FB72+FB74)*MAX(0,FB55)/12</f>
        <v>0</v>
      </c>
      <c r="FC79" s="173">
        <f>(FC72+FC74)*MAX(0,FC55)/12</f>
        <v>0</v>
      </c>
      <c r="FD79" s="173">
        <f>(FD72+FD74)*MAX(0,FD55)/12</f>
        <v>0</v>
      </c>
      <c r="FE79" s="173">
        <f>(FE72+FE74)*MAX(0,FE55)/12</f>
        <v>0</v>
      </c>
      <c r="FF79" s="173">
        <f>(FF72+FF74)*MAX(0,FF55)/12</f>
        <v>0</v>
      </c>
      <c r="FG79" s="173">
        <f>(FG72+FG74)*MAX(0,FG55)/12</f>
        <v>0</v>
      </c>
      <c r="FH79" s="173">
        <f>(FH72+FH74)*MAX(0,FH55)/12</f>
        <v>0</v>
      </c>
      <c r="FI79" s="173">
        <f>(FI72+FI74)*MAX(0,FI55)/12</f>
        <v>0</v>
      </c>
      <c r="FJ79" s="173">
        <f>(FJ72+FJ74)*MAX(0,FJ55)/12</f>
        <v>0</v>
      </c>
      <c r="FK79" s="173">
        <f>(FK72+FK74)*MAX(0,FK55)/12</f>
        <v>0</v>
      </c>
      <c r="FL79" s="173">
        <f>(FL72+FL74)*MAX(0,FL55)/12</f>
        <v>0</v>
      </c>
      <c r="FM79" s="173">
        <f>(FM72+FM74)*MAX(0,FM55)/12</f>
        <v>0</v>
      </c>
      <c r="FN79" s="173">
        <f>(FN72+FN74)*MAX(0,FN55)/12</f>
        <v>0</v>
      </c>
      <c r="FO79" s="173">
        <f>(FO72+FO74)*MAX(0,FO55)/12</f>
        <v>0</v>
      </c>
      <c r="FP79" s="173">
        <f>(FP72+FP74)*MAX(0,FP55)/12</f>
        <v>0</v>
      </c>
      <c r="FQ79" s="173">
        <f>(FQ72+FQ74)*MAX(0,FQ55)/12</f>
        <v>0</v>
      </c>
      <c r="FR79" s="173">
        <f>(FR72+FR74)*MAX(0,FR55)/12</f>
        <v>0</v>
      </c>
      <c r="FS79" s="173">
        <f>(FS72+FS74)*MAX(0,FS55)/12</f>
        <v>0</v>
      </c>
      <c r="FT79" s="173">
        <f>(FT72+FT74)*MAX(0,FT55)/12</f>
        <v>0</v>
      </c>
      <c r="FU79" s="173">
        <f>(FU72+FU74)*MAX(0,FU55)/12</f>
        <v>0</v>
      </c>
      <c r="FV79" s="173">
        <f>(FV72+FV74)*MAX(0,FV55)/12</f>
        <v>0</v>
      </c>
      <c r="FW79" s="173">
        <f>(FW72+FW74)*MAX(0,FW55)/12</f>
        <v>0</v>
      </c>
      <c r="FX79" s="173">
        <f>(FX72+FX74)*MAX(0,FX55)/12</f>
        <v>0</v>
      </c>
      <c r="FY79" s="173">
        <f>(FY72+FY74)*MAX(0,FY55)/12</f>
        <v>0</v>
      </c>
      <c r="FZ79" s="173">
        <f>(FZ72+FZ74)*MAX(0,FZ55)/12</f>
        <v>0</v>
      </c>
      <c r="GA79" s="173">
        <f>(GA72+GA74)*MAX(0,GA55)/12</f>
        <v>0</v>
      </c>
      <c r="GB79" s="173">
        <f>(GB72+GB74)*MAX(0,GB55)/12</f>
        <v>0</v>
      </c>
      <c r="GC79" s="173">
        <f>(GC72+GC74)*MAX(0,GC55)/12</f>
        <v>0</v>
      </c>
      <c r="GD79" s="173">
        <f>(GD72+GD74)*MAX(0,GD55)/12</f>
        <v>0</v>
      </c>
      <c r="GE79" s="173">
        <f>(GE72+GE74)*MAX(0,GE55)/12</f>
        <v>0</v>
      </c>
      <c r="GF79" s="173">
        <f>(GF72+GF74)*MAX(0,GF55)/12</f>
        <v>0</v>
      </c>
      <c r="GG79" s="173">
        <f>(GG72+GG74)*MAX(0,GG55)/12</f>
        <v>0</v>
      </c>
      <c r="GH79" s="173">
        <f>(GH72+GH74)*MAX(0,GH55)/12</f>
        <v>0</v>
      </c>
      <c r="GI79" s="173">
        <f>(GI72+GI74)*MAX(0,GI55)/12</f>
        <v>0</v>
      </c>
      <c r="GJ79" s="173">
        <f>(GJ72+GJ74)*MAX(0,GJ55)/12</f>
        <v>0</v>
      </c>
      <c r="GK79" s="173">
        <f>(GK72+GK74)*MAX(0,GK55)/12</f>
        <v>0</v>
      </c>
      <c r="GL79" s="173">
        <f>(GL72+GL74)*MAX(0,GL55)/12</f>
        <v>0</v>
      </c>
      <c r="GM79" s="173">
        <f>(GM72+GM74)*MAX(0,GM55)/12</f>
        <v>0</v>
      </c>
      <c r="GN79" s="173">
        <f>(GN72+GN74)*MAX(0,GN55)/12</f>
        <v>0</v>
      </c>
      <c r="GO79" s="173">
        <f>(GO72+GO74)*MAX(0,GO55)/12</f>
        <v>0</v>
      </c>
      <c r="GP79" s="173">
        <f>(GP72+GP74)*MAX(0,GP55)/12</f>
        <v>0</v>
      </c>
      <c r="GQ79" s="173">
        <f>(GQ72+GQ74)*MAX(0,GQ55)/12</f>
        <v>0</v>
      </c>
      <c r="GR79" s="173">
        <f>(GR72+GR74)*MAX(0,GR55)/12</f>
        <v>0</v>
      </c>
      <c r="GS79" s="173">
        <f>(GS72+GS74)*MAX(0,GS55)/12</f>
        <v>0</v>
      </c>
      <c r="GT79" s="173">
        <f>(GT72+GT74)*MAX(0,GT55)/12</f>
        <v>0</v>
      </c>
      <c r="GU79" s="173">
        <f>(GU72+GU74)*MAX(0,GU55)/12</f>
        <v>0</v>
      </c>
      <c r="GV79" s="173">
        <f>(GV72+GV74)*MAX(0,GV55)/12</f>
        <v>0</v>
      </c>
      <c r="GW79" s="173">
        <f>(GW72+GW74)*MAX(0,GW55)/12</f>
        <v>0</v>
      </c>
      <c r="GX79" s="173">
        <f>(GX72+GX74)*MAX(0,GX55)/12</f>
        <v>0</v>
      </c>
      <c r="GY79" s="173">
        <f>(GY72+GY74)*MAX(0,GY55)/12</f>
        <v>0</v>
      </c>
      <c r="GZ79" s="173">
        <f>(GZ72+GZ74)*MAX(0,GZ55)/12</f>
        <v>0</v>
      </c>
      <c r="HA79" s="173">
        <f>(HA72+HA74)*MAX(0,HA55)/12</f>
        <v>0</v>
      </c>
      <c r="HB79" s="173">
        <f>(HB72+HB74)*MAX(0,HB55)/12</f>
        <v>0</v>
      </c>
      <c r="HC79" s="173">
        <f>(HC72+HC74)*MAX(0,HC55)/12</f>
        <v>0</v>
      </c>
      <c r="HD79" s="173">
        <f>(HD72+HD74)*MAX(0,HD55)/12</f>
        <v>0</v>
      </c>
      <c r="HE79" s="173">
        <f>(HE72+HE74)*MAX(0,HE55)/12</f>
        <v>0</v>
      </c>
      <c r="HF79" s="173">
        <f>(HF72+HF74)*MAX(0,HF55)/12</f>
        <v>0</v>
      </c>
      <c r="HG79" s="173">
        <f>(HG72+HG74)*MAX(0,HG55)/12</f>
        <v>0</v>
      </c>
      <c r="HH79" s="173">
        <f>(HH72+HH74)*MAX(0,HH55)/12</f>
        <v>0</v>
      </c>
      <c r="HI79" s="173">
        <f>(HI72+HI74)*MAX(0,HI55)/12</f>
        <v>0</v>
      </c>
      <c r="HJ79" s="173">
        <f>(HJ72+HJ74)*MAX(0,HJ55)/12</f>
        <v>0</v>
      </c>
      <c r="HK79" s="173">
        <f>(HK72+HK74)*MAX(0,HK55)/12</f>
        <v>0</v>
      </c>
      <c r="HL79" s="173">
        <f>(HL72+HL74)*MAX(0,HL55)/12</f>
        <v>0</v>
      </c>
      <c r="HM79" s="173">
        <f>(HM72+HM74)*MAX(0,HM55)/12</f>
        <v>0</v>
      </c>
      <c r="HN79" s="173">
        <f>(HN72+HN74)*MAX(0,HN55)/12</f>
        <v>0</v>
      </c>
      <c r="HO79" s="173">
        <f>(HO72+HO74)*MAX(0,HO55)/12</f>
        <v>0</v>
      </c>
      <c r="HP79" s="173">
        <f>(HP72+HP74)*MAX(0,HP55)/12</f>
        <v>0</v>
      </c>
      <c r="HQ79" s="173">
        <f>(HQ72+HQ74)*MAX(0,HQ55)/12</f>
        <v>0</v>
      </c>
      <c r="HR79" s="173">
        <f>(HR72+HR74)*MAX(0,HR55)/12</f>
        <v>0</v>
      </c>
      <c r="HS79" s="173">
        <f>(HS72+HS74)*MAX(0,HS55)/12</f>
        <v>0</v>
      </c>
      <c r="HT79" s="173">
        <f>(HT72+HT74)*MAX(0,HT55)/12</f>
        <v>0</v>
      </c>
      <c r="HU79" s="173">
        <f>(HU72+HU74)*MAX(0,HU55)/12</f>
        <v>0</v>
      </c>
      <c r="HV79" s="173">
        <f>(HV72+HV74)*MAX(0,HV55)/12</f>
        <v>0</v>
      </c>
      <c r="HW79" s="173">
        <f>(HW72+HW74)*MAX(0,HW55)/12</f>
        <v>0</v>
      </c>
      <c r="HX79" s="173">
        <f>(HX72+HX74)*MAX(0,HX55)/12</f>
        <v>0</v>
      </c>
      <c r="HY79" s="173">
        <f>(HY72+HY74)*MAX(0,HY55)/12</f>
        <v>0</v>
      </c>
      <c r="HZ79" s="173">
        <f>(HZ72+HZ74)*MAX(0,HZ55)/12</f>
        <v>0</v>
      </c>
      <c r="IA79" s="173">
        <f>(IA72+IA74)*MAX(0,IA55)/12</f>
        <v>0</v>
      </c>
      <c r="IB79" s="173">
        <f>(IB72+IB74)*MAX(0,IB55)/12</f>
        <v>0</v>
      </c>
      <c r="IC79" s="173">
        <f>(IC72+IC74)*MAX(0,IC55)/12</f>
        <v>0</v>
      </c>
      <c r="ID79" s="173">
        <f>(ID72+ID74)*MAX(0,ID55)/12</f>
        <v>0</v>
      </c>
      <c r="IE79" s="173">
        <f>(IE72+IE74)*MAX(0,IE55)/12</f>
        <v>0</v>
      </c>
      <c r="IF79" s="173">
        <f>(IF72+IF74)*MAX(0,IF55)/12</f>
        <v>0</v>
      </c>
      <c r="IG79" s="173">
        <f>(IG72+IG74)*MAX(0,IG55)/12</f>
        <v>0</v>
      </c>
      <c r="IH79" s="173">
        <f>(IH72+IH74)*MAX(0,IH55)/12</f>
        <v>0</v>
      </c>
      <c r="II79" s="173">
        <f>(II72+II74)*MAX(0,II55)/12</f>
        <v>0</v>
      </c>
      <c r="IJ79" s="173">
        <f>(IJ72+IJ74)*MAX(0,IJ55)/12</f>
        <v>0</v>
      </c>
      <c r="IK79" s="173">
        <f>(IK72+IK74)*MAX(0,IK55)/12</f>
        <v>0</v>
      </c>
      <c r="IL79" s="173">
        <f>(IL72+IL74)*MAX(0,IL55)/12</f>
        <v>0</v>
      </c>
      <c r="IM79" s="173">
        <f>(IM72+IM74)*MAX(0,IM55)/12</f>
        <v>0</v>
      </c>
      <c r="IN79" s="173">
        <f>(IN72+IN74)*MAX(0,IN55)/12</f>
        <v>0</v>
      </c>
      <c r="IO79" s="173">
        <f>(IO72+IO74)*MAX(0,IO55)/12</f>
        <v>0</v>
      </c>
      <c r="IP79" s="173">
        <f>(IP72+IP74)*MAX(0,IP55)/12</f>
        <v>0</v>
      </c>
      <c r="IQ79" s="173">
        <f>(IQ72+IQ74)*MAX(0,IQ55)/12</f>
        <v>0</v>
      </c>
      <c r="IR79" s="173">
        <f>(IR72+IR74)*MAX(0,IR55)/12</f>
        <v>0</v>
      </c>
      <c r="IS79" s="173">
        <f>(IS72+IS74)*MAX(0,IS55)/12</f>
        <v>0</v>
      </c>
      <c r="IT79" s="173">
        <f>(IT72+IT74)*MAX(0,IT55)/12</f>
        <v>0</v>
      </c>
      <c r="IU79" s="173">
        <f>(IU72+IU74)*MAX(0,IU55)/12</f>
        <v>0</v>
      </c>
      <c r="IV79" s="173">
        <f>(IV72+IV74)*MAX(0,IV55)/12</f>
        <v>0</v>
      </c>
      <c r="IW79" s="173">
        <f>(IW72+IW74)*MAX(0,IW55)/12</f>
        <v>0</v>
      </c>
      <c r="IX79" s="173">
        <f>(IX72+IX74)*MAX(0,IX55)/12</f>
        <v>0</v>
      </c>
      <c r="IY79" s="173">
        <f>(IY72+IY74)*MAX(0,IY55)/12</f>
        <v>0</v>
      </c>
      <c r="IZ79" s="173">
        <f>(IZ72+IZ74)*MAX(0,IZ55)/12</f>
        <v>0</v>
      </c>
      <c r="JA79" s="173">
        <f>(JA72+JA74)*MAX(0,JA55)/12</f>
        <v>0</v>
      </c>
      <c r="JB79" s="173">
        <f>(JB72+JB74)*MAX(0,JB55)/12</f>
        <v>0</v>
      </c>
      <c r="JC79" s="173">
        <f>(JC72+JC74)*MAX(0,JC55)/12</f>
        <v>0</v>
      </c>
      <c r="JD79" s="173">
        <f>(JD72+JD74)*MAX(0,JD55)/12</f>
        <v>0</v>
      </c>
      <c r="JE79" s="173">
        <f>(JE72+JE74)*MAX(0,JE55)/12</f>
        <v>0</v>
      </c>
      <c r="JF79" s="173">
        <f>(JF72+JF74)*MAX(0,JF55)/12</f>
        <v>0</v>
      </c>
      <c r="JG79" s="173">
        <f>(JG72+JG74)*MAX(0,JG55)/12</f>
        <v>0</v>
      </c>
      <c r="JH79" s="173">
        <f>(JH72+JH74)*MAX(0,JH55)/12</f>
        <v>0</v>
      </c>
      <c r="JI79" s="173">
        <f>(JI72+JI74)*MAX(0,JI55)/12</f>
        <v>0</v>
      </c>
      <c r="JJ79" s="173">
        <f>(JJ72+JJ74)*MAX(0,JJ55)/12</f>
        <v>0</v>
      </c>
      <c r="JK79" s="173">
        <f>(JK72+JK74)*MAX(0,JK55)/12</f>
        <v>0</v>
      </c>
      <c r="JL79" s="173">
        <f>(JL72+JL74)*MAX(0,JL55)/12</f>
        <v>0</v>
      </c>
      <c r="JM79" s="173">
        <f>(JM72+JM74)*MAX(0,JM55)/12</f>
        <v>0</v>
      </c>
      <c r="JN79" s="173">
        <f>(JN72+JN74)*MAX(0,JN55)/12</f>
        <v>0</v>
      </c>
      <c r="JO79" s="173">
        <f>(JO72+JO74)*MAX(0,JO55)/12</f>
        <v>0</v>
      </c>
      <c r="JP79" s="173">
        <f>(JP72+JP74)*MAX(0,JP55)/12</f>
        <v>0</v>
      </c>
      <c r="JQ79" s="173">
        <f>(JQ72+JQ74)*MAX(0,JQ55)/12</f>
        <v>0</v>
      </c>
      <c r="JR79" s="173">
        <f>(JR72+JR74)*MAX(0,JR55)/12</f>
        <v>0</v>
      </c>
      <c r="JS79" s="173">
        <f>(JS72+JS74)*MAX(0,JS55)/12</f>
        <v>0</v>
      </c>
      <c r="JT79" s="173">
        <f>(JT72+JT74)*MAX(0,JT55)/12</f>
        <v>0</v>
      </c>
      <c r="JU79" s="173">
        <f>(JU72+JU74)*MAX(0,JU55)/12</f>
        <v>0</v>
      </c>
      <c r="JV79" s="173">
        <f>(JV72+JV74)*MAX(0,JV55)/12</f>
        <v>0</v>
      </c>
      <c r="JW79" s="173">
        <f>(JW72+JW74)*MAX(0,JW55)/12</f>
        <v>0</v>
      </c>
      <c r="JX79" s="173">
        <f>(JX72+JX74)*MAX(0,JX55)/12</f>
        <v>0</v>
      </c>
      <c r="JY79" s="173">
        <f>(JY72+JY74)*MAX(0,JY55)/12</f>
        <v>0</v>
      </c>
      <c r="JZ79" s="173">
        <f>(JZ72+JZ74)*MAX(0,JZ55)/12</f>
        <v>0</v>
      </c>
      <c r="KA79" s="173">
        <f>(KA72+KA74)*MAX(0,KA55)/12</f>
        <v>0</v>
      </c>
      <c r="KB79" s="173">
        <f>(KB72+KB74)*MAX(0,KB55)/12</f>
        <v>0</v>
      </c>
      <c r="KC79" s="173">
        <f>(KC72+KC74)*MAX(0,KC55)/12</f>
        <v>0</v>
      </c>
      <c r="KD79" s="173">
        <f>(KD72+KD74)*MAX(0,KD55)/12</f>
        <v>0</v>
      </c>
      <c r="KE79" s="173">
        <f>(KE72+KE74)*MAX(0,KE55)/12</f>
        <v>0</v>
      </c>
      <c r="KF79" s="173">
        <f>(KF72+KF74)*MAX(0,KF55)/12</f>
        <v>0</v>
      </c>
    </row>
    <row r="80" ht="20" customHeight="1">
      <c r="B80" s="113" t="inlineStr">
        <is>
          <t>Land lease liability</t>
        </is>
      </c>
      <c r="C80" s="37" t="inlineStr">
        <is>
          <t>የሊዝ ዕዳ</t>
        </is>
      </c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</row>
    <row r="81">
      <c r="B81" s="36" t="inlineStr">
        <is>
          <t>Lease liability recognised</t>
        </is>
      </c>
      <c r="C81" s="117" t="inlineStr">
        <is>
          <t>ETB</t>
        </is>
      </c>
      <c r="D81" s="169">
        <f>SUM(E81:KF81)</f>
        <v>135000000</v>
      </c>
      <c r="E81" s="173">
        <f>IF(LAND_TYPE=1,LAND_VALUE*(1-LEASE_DP),0)</f>
        <v>135000000</v>
      </c>
      <c r="F81" s="173" t="n">
        <v>0</v>
      </c>
      <c r="G81" s="173" t="n">
        <v>0</v>
      </c>
      <c r="H81" s="173" t="n">
        <v>0</v>
      </c>
      <c r="I81" s="173" t="n">
        <v>0</v>
      </c>
      <c r="J81" s="173" t="n">
        <v>0</v>
      </c>
      <c r="K81" s="173" t="n">
        <v>0</v>
      </c>
      <c r="L81" s="173" t="n">
        <v>0</v>
      </c>
      <c r="M81" s="173" t="n">
        <v>0</v>
      </c>
      <c r="N81" s="173" t="n">
        <v>0</v>
      </c>
      <c r="O81" s="173" t="n">
        <v>0</v>
      </c>
      <c r="P81" s="173" t="n">
        <v>0</v>
      </c>
      <c r="Q81" s="173" t="n">
        <v>0</v>
      </c>
      <c r="R81" s="173" t="n">
        <v>0</v>
      </c>
      <c r="S81" s="173" t="n">
        <v>0</v>
      </c>
      <c r="T81" s="173" t="n">
        <v>0</v>
      </c>
      <c r="U81" s="173" t="n">
        <v>0</v>
      </c>
      <c r="V81" s="173" t="n">
        <v>0</v>
      </c>
      <c r="W81" s="173" t="n">
        <v>0</v>
      </c>
      <c r="X81" s="173" t="n">
        <v>0</v>
      </c>
      <c r="Y81" s="173" t="n">
        <v>0</v>
      </c>
      <c r="Z81" s="173" t="n">
        <v>0</v>
      </c>
      <c r="AA81" s="173" t="n">
        <v>0</v>
      </c>
      <c r="AB81" s="173" t="n">
        <v>0</v>
      </c>
      <c r="AC81" s="173" t="n">
        <v>0</v>
      </c>
      <c r="AD81" s="173" t="n">
        <v>0</v>
      </c>
      <c r="AE81" s="173" t="n">
        <v>0</v>
      </c>
      <c r="AF81" s="173" t="n">
        <v>0</v>
      </c>
      <c r="AG81" s="173" t="n">
        <v>0</v>
      </c>
      <c r="AH81" s="173" t="n">
        <v>0</v>
      </c>
      <c r="AI81" s="173" t="n">
        <v>0</v>
      </c>
      <c r="AJ81" s="173" t="n">
        <v>0</v>
      </c>
      <c r="AK81" s="173" t="n">
        <v>0</v>
      </c>
      <c r="AL81" s="173" t="n">
        <v>0</v>
      </c>
      <c r="AM81" s="173" t="n">
        <v>0</v>
      </c>
      <c r="AN81" s="173" t="n">
        <v>0</v>
      </c>
      <c r="AO81" s="173" t="n">
        <v>0</v>
      </c>
      <c r="AP81" s="173" t="n">
        <v>0</v>
      </c>
      <c r="AQ81" s="173" t="n">
        <v>0</v>
      </c>
      <c r="AR81" s="173" t="n">
        <v>0</v>
      </c>
      <c r="AS81" s="173" t="n">
        <v>0</v>
      </c>
      <c r="AT81" s="173" t="n">
        <v>0</v>
      </c>
      <c r="AU81" s="173" t="n">
        <v>0</v>
      </c>
      <c r="AV81" s="173" t="n">
        <v>0</v>
      </c>
      <c r="AW81" s="173" t="n">
        <v>0</v>
      </c>
      <c r="AX81" s="173" t="n">
        <v>0</v>
      </c>
      <c r="AY81" s="173" t="n">
        <v>0</v>
      </c>
      <c r="AZ81" s="173" t="n">
        <v>0</v>
      </c>
      <c r="BA81" s="173" t="n">
        <v>0</v>
      </c>
      <c r="BB81" s="173" t="n">
        <v>0</v>
      </c>
      <c r="BC81" s="173" t="n">
        <v>0</v>
      </c>
      <c r="BD81" s="173" t="n">
        <v>0</v>
      </c>
      <c r="BE81" s="173" t="n">
        <v>0</v>
      </c>
      <c r="BF81" s="173" t="n">
        <v>0</v>
      </c>
      <c r="BG81" s="173" t="n">
        <v>0</v>
      </c>
      <c r="BH81" s="173" t="n">
        <v>0</v>
      </c>
      <c r="BI81" s="173" t="n">
        <v>0</v>
      </c>
      <c r="BJ81" s="173" t="n">
        <v>0</v>
      </c>
      <c r="BK81" s="173" t="n">
        <v>0</v>
      </c>
      <c r="BL81" s="173" t="n">
        <v>0</v>
      </c>
      <c r="BM81" s="173" t="n">
        <v>0</v>
      </c>
      <c r="BN81" s="173" t="n">
        <v>0</v>
      </c>
      <c r="BO81" s="173" t="n">
        <v>0</v>
      </c>
      <c r="BP81" s="173" t="n">
        <v>0</v>
      </c>
      <c r="BQ81" s="173" t="n">
        <v>0</v>
      </c>
      <c r="BR81" s="173" t="n">
        <v>0</v>
      </c>
      <c r="BS81" s="173" t="n">
        <v>0</v>
      </c>
      <c r="BT81" s="173" t="n">
        <v>0</v>
      </c>
      <c r="BU81" s="173" t="n">
        <v>0</v>
      </c>
      <c r="BV81" s="173" t="n">
        <v>0</v>
      </c>
      <c r="BW81" s="173" t="n">
        <v>0</v>
      </c>
      <c r="BX81" s="173" t="n">
        <v>0</v>
      </c>
      <c r="BY81" s="173" t="n">
        <v>0</v>
      </c>
      <c r="BZ81" s="173" t="n">
        <v>0</v>
      </c>
      <c r="CA81" s="173" t="n">
        <v>0</v>
      </c>
      <c r="CB81" s="173" t="n">
        <v>0</v>
      </c>
      <c r="CC81" s="173" t="n">
        <v>0</v>
      </c>
      <c r="CD81" s="173" t="n">
        <v>0</v>
      </c>
      <c r="CE81" s="173" t="n">
        <v>0</v>
      </c>
      <c r="CF81" s="173" t="n">
        <v>0</v>
      </c>
      <c r="CG81" s="173" t="n">
        <v>0</v>
      </c>
      <c r="CH81" s="173" t="n">
        <v>0</v>
      </c>
      <c r="CI81" s="173" t="n">
        <v>0</v>
      </c>
      <c r="CJ81" s="173" t="n">
        <v>0</v>
      </c>
      <c r="CK81" s="173" t="n">
        <v>0</v>
      </c>
      <c r="CL81" s="173" t="n">
        <v>0</v>
      </c>
      <c r="CM81" s="173" t="n">
        <v>0</v>
      </c>
      <c r="CN81" s="173" t="n">
        <v>0</v>
      </c>
      <c r="CO81" s="173" t="n">
        <v>0</v>
      </c>
      <c r="CP81" s="173" t="n">
        <v>0</v>
      </c>
      <c r="CQ81" s="173" t="n">
        <v>0</v>
      </c>
      <c r="CR81" s="173" t="n">
        <v>0</v>
      </c>
      <c r="CS81" s="173" t="n">
        <v>0</v>
      </c>
      <c r="CT81" s="173" t="n">
        <v>0</v>
      </c>
      <c r="CU81" s="173" t="n">
        <v>0</v>
      </c>
      <c r="CV81" s="173" t="n">
        <v>0</v>
      </c>
      <c r="CW81" s="173" t="n">
        <v>0</v>
      </c>
      <c r="CX81" s="173" t="n">
        <v>0</v>
      </c>
      <c r="CY81" s="173" t="n">
        <v>0</v>
      </c>
      <c r="CZ81" s="173" t="n">
        <v>0</v>
      </c>
      <c r="DA81" s="173" t="n">
        <v>0</v>
      </c>
      <c r="DB81" s="173" t="n">
        <v>0</v>
      </c>
      <c r="DC81" s="173" t="n">
        <v>0</v>
      </c>
      <c r="DD81" s="173" t="n">
        <v>0</v>
      </c>
      <c r="DE81" s="173" t="n">
        <v>0</v>
      </c>
      <c r="DF81" s="173" t="n">
        <v>0</v>
      </c>
      <c r="DG81" s="173" t="n">
        <v>0</v>
      </c>
      <c r="DH81" s="173" t="n">
        <v>0</v>
      </c>
      <c r="DI81" s="173" t="n">
        <v>0</v>
      </c>
      <c r="DJ81" s="173" t="n">
        <v>0</v>
      </c>
      <c r="DK81" s="173" t="n">
        <v>0</v>
      </c>
      <c r="DL81" s="173" t="n">
        <v>0</v>
      </c>
      <c r="DM81" s="173" t="n">
        <v>0</v>
      </c>
      <c r="DN81" s="173" t="n">
        <v>0</v>
      </c>
      <c r="DO81" s="173" t="n">
        <v>0</v>
      </c>
      <c r="DP81" s="173" t="n">
        <v>0</v>
      </c>
      <c r="DQ81" s="173" t="n">
        <v>0</v>
      </c>
      <c r="DR81" s="173" t="n">
        <v>0</v>
      </c>
      <c r="DS81" s="173" t="n">
        <v>0</v>
      </c>
      <c r="DT81" s="173" t="n">
        <v>0</v>
      </c>
      <c r="DU81" s="173" t="n">
        <v>0</v>
      </c>
      <c r="DV81" s="173" t="n">
        <v>0</v>
      </c>
      <c r="DW81" s="173" t="n">
        <v>0</v>
      </c>
      <c r="DX81" s="173" t="n">
        <v>0</v>
      </c>
      <c r="DY81" s="173" t="n">
        <v>0</v>
      </c>
      <c r="DZ81" s="173" t="n">
        <v>0</v>
      </c>
      <c r="EA81" s="173" t="n">
        <v>0</v>
      </c>
      <c r="EB81" s="173" t="n">
        <v>0</v>
      </c>
      <c r="EC81" s="173" t="n">
        <v>0</v>
      </c>
      <c r="ED81" s="173" t="n">
        <v>0</v>
      </c>
      <c r="EE81" s="173" t="n">
        <v>0</v>
      </c>
      <c r="EF81" s="173" t="n">
        <v>0</v>
      </c>
      <c r="EG81" s="173" t="n">
        <v>0</v>
      </c>
      <c r="EH81" s="173" t="n">
        <v>0</v>
      </c>
      <c r="EI81" s="173" t="n">
        <v>0</v>
      </c>
      <c r="EJ81" s="173" t="n">
        <v>0</v>
      </c>
      <c r="EK81" s="173" t="n">
        <v>0</v>
      </c>
      <c r="EL81" s="173" t="n">
        <v>0</v>
      </c>
      <c r="EM81" s="173" t="n">
        <v>0</v>
      </c>
      <c r="EN81" s="173" t="n">
        <v>0</v>
      </c>
      <c r="EO81" s="173" t="n">
        <v>0</v>
      </c>
      <c r="EP81" s="173" t="n">
        <v>0</v>
      </c>
      <c r="EQ81" s="173" t="n">
        <v>0</v>
      </c>
      <c r="ER81" s="173" t="n">
        <v>0</v>
      </c>
      <c r="ES81" s="173" t="n">
        <v>0</v>
      </c>
      <c r="ET81" s="173" t="n">
        <v>0</v>
      </c>
      <c r="EU81" s="173" t="n">
        <v>0</v>
      </c>
      <c r="EV81" s="173" t="n">
        <v>0</v>
      </c>
      <c r="EW81" s="173" t="n">
        <v>0</v>
      </c>
      <c r="EX81" s="173" t="n">
        <v>0</v>
      </c>
      <c r="EY81" s="173" t="n">
        <v>0</v>
      </c>
      <c r="EZ81" s="173" t="n">
        <v>0</v>
      </c>
      <c r="FA81" s="173" t="n">
        <v>0</v>
      </c>
      <c r="FB81" s="173" t="n">
        <v>0</v>
      </c>
      <c r="FC81" s="173" t="n">
        <v>0</v>
      </c>
      <c r="FD81" s="173" t="n">
        <v>0</v>
      </c>
      <c r="FE81" s="173" t="n">
        <v>0</v>
      </c>
      <c r="FF81" s="173" t="n">
        <v>0</v>
      </c>
      <c r="FG81" s="173" t="n">
        <v>0</v>
      </c>
      <c r="FH81" s="173" t="n">
        <v>0</v>
      </c>
      <c r="FI81" s="173" t="n">
        <v>0</v>
      </c>
      <c r="FJ81" s="173" t="n">
        <v>0</v>
      </c>
      <c r="FK81" s="173" t="n">
        <v>0</v>
      </c>
      <c r="FL81" s="173" t="n">
        <v>0</v>
      </c>
      <c r="FM81" s="173" t="n">
        <v>0</v>
      </c>
      <c r="FN81" s="173" t="n">
        <v>0</v>
      </c>
      <c r="FO81" s="173" t="n">
        <v>0</v>
      </c>
      <c r="FP81" s="173" t="n">
        <v>0</v>
      </c>
      <c r="FQ81" s="173" t="n">
        <v>0</v>
      </c>
      <c r="FR81" s="173" t="n">
        <v>0</v>
      </c>
      <c r="FS81" s="173" t="n">
        <v>0</v>
      </c>
      <c r="FT81" s="173" t="n">
        <v>0</v>
      </c>
      <c r="FU81" s="173" t="n">
        <v>0</v>
      </c>
      <c r="FV81" s="173" t="n">
        <v>0</v>
      </c>
      <c r="FW81" s="173" t="n">
        <v>0</v>
      </c>
      <c r="FX81" s="173" t="n">
        <v>0</v>
      </c>
      <c r="FY81" s="173" t="n">
        <v>0</v>
      </c>
      <c r="FZ81" s="173" t="n">
        <v>0</v>
      </c>
      <c r="GA81" s="173" t="n">
        <v>0</v>
      </c>
      <c r="GB81" s="173" t="n">
        <v>0</v>
      </c>
      <c r="GC81" s="173" t="n">
        <v>0</v>
      </c>
      <c r="GD81" s="173" t="n">
        <v>0</v>
      </c>
      <c r="GE81" s="173" t="n">
        <v>0</v>
      </c>
      <c r="GF81" s="173" t="n">
        <v>0</v>
      </c>
      <c r="GG81" s="173" t="n">
        <v>0</v>
      </c>
      <c r="GH81" s="173" t="n">
        <v>0</v>
      </c>
      <c r="GI81" s="173" t="n">
        <v>0</v>
      </c>
      <c r="GJ81" s="173" t="n">
        <v>0</v>
      </c>
      <c r="GK81" s="173" t="n">
        <v>0</v>
      </c>
      <c r="GL81" s="173" t="n">
        <v>0</v>
      </c>
      <c r="GM81" s="173" t="n">
        <v>0</v>
      </c>
      <c r="GN81" s="173" t="n">
        <v>0</v>
      </c>
      <c r="GO81" s="173" t="n">
        <v>0</v>
      </c>
      <c r="GP81" s="173" t="n">
        <v>0</v>
      </c>
      <c r="GQ81" s="173" t="n">
        <v>0</v>
      </c>
      <c r="GR81" s="173" t="n">
        <v>0</v>
      </c>
      <c r="GS81" s="173" t="n">
        <v>0</v>
      </c>
      <c r="GT81" s="173" t="n">
        <v>0</v>
      </c>
      <c r="GU81" s="173" t="n">
        <v>0</v>
      </c>
      <c r="GV81" s="173" t="n">
        <v>0</v>
      </c>
      <c r="GW81" s="173" t="n">
        <v>0</v>
      </c>
      <c r="GX81" s="173" t="n">
        <v>0</v>
      </c>
      <c r="GY81" s="173" t="n">
        <v>0</v>
      </c>
      <c r="GZ81" s="173" t="n">
        <v>0</v>
      </c>
      <c r="HA81" s="173" t="n">
        <v>0</v>
      </c>
      <c r="HB81" s="173" t="n">
        <v>0</v>
      </c>
      <c r="HC81" s="173" t="n">
        <v>0</v>
      </c>
      <c r="HD81" s="173" t="n">
        <v>0</v>
      </c>
      <c r="HE81" s="173" t="n">
        <v>0</v>
      </c>
      <c r="HF81" s="173" t="n">
        <v>0</v>
      </c>
      <c r="HG81" s="173" t="n">
        <v>0</v>
      </c>
      <c r="HH81" s="173" t="n">
        <v>0</v>
      </c>
      <c r="HI81" s="173" t="n">
        <v>0</v>
      </c>
      <c r="HJ81" s="173" t="n">
        <v>0</v>
      </c>
      <c r="HK81" s="173" t="n">
        <v>0</v>
      </c>
      <c r="HL81" s="173" t="n">
        <v>0</v>
      </c>
      <c r="HM81" s="173" t="n">
        <v>0</v>
      </c>
      <c r="HN81" s="173" t="n">
        <v>0</v>
      </c>
      <c r="HO81" s="173" t="n">
        <v>0</v>
      </c>
      <c r="HP81" s="173" t="n">
        <v>0</v>
      </c>
      <c r="HQ81" s="173" t="n">
        <v>0</v>
      </c>
      <c r="HR81" s="173" t="n">
        <v>0</v>
      </c>
      <c r="HS81" s="173" t="n">
        <v>0</v>
      </c>
      <c r="HT81" s="173" t="n">
        <v>0</v>
      </c>
      <c r="HU81" s="173" t="n">
        <v>0</v>
      </c>
      <c r="HV81" s="173" t="n">
        <v>0</v>
      </c>
      <c r="HW81" s="173" t="n">
        <v>0</v>
      </c>
      <c r="HX81" s="173" t="n">
        <v>0</v>
      </c>
      <c r="HY81" s="173" t="n">
        <v>0</v>
      </c>
      <c r="HZ81" s="173" t="n">
        <v>0</v>
      </c>
      <c r="IA81" s="173" t="n">
        <v>0</v>
      </c>
      <c r="IB81" s="173" t="n">
        <v>0</v>
      </c>
      <c r="IC81" s="173" t="n">
        <v>0</v>
      </c>
      <c r="ID81" s="173" t="n">
        <v>0</v>
      </c>
      <c r="IE81" s="173" t="n">
        <v>0</v>
      </c>
      <c r="IF81" s="173" t="n">
        <v>0</v>
      </c>
      <c r="IG81" s="173" t="n">
        <v>0</v>
      </c>
      <c r="IH81" s="173" t="n">
        <v>0</v>
      </c>
      <c r="II81" s="173" t="n">
        <v>0</v>
      </c>
      <c r="IJ81" s="173" t="n">
        <v>0</v>
      </c>
      <c r="IK81" s="173" t="n">
        <v>0</v>
      </c>
      <c r="IL81" s="173" t="n">
        <v>0</v>
      </c>
      <c r="IM81" s="173" t="n">
        <v>0</v>
      </c>
      <c r="IN81" s="173" t="n">
        <v>0</v>
      </c>
      <c r="IO81" s="173" t="n">
        <v>0</v>
      </c>
      <c r="IP81" s="173" t="n">
        <v>0</v>
      </c>
      <c r="IQ81" s="173" t="n">
        <v>0</v>
      </c>
      <c r="IR81" s="173" t="n">
        <v>0</v>
      </c>
      <c r="IS81" s="173" t="n">
        <v>0</v>
      </c>
      <c r="IT81" s="173" t="n">
        <v>0</v>
      </c>
      <c r="IU81" s="173" t="n">
        <v>0</v>
      </c>
      <c r="IV81" s="173" t="n">
        <v>0</v>
      </c>
      <c r="IW81" s="173" t="n">
        <v>0</v>
      </c>
      <c r="IX81" s="173" t="n">
        <v>0</v>
      </c>
      <c r="IY81" s="173" t="n">
        <v>0</v>
      </c>
      <c r="IZ81" s="173" t="n">
        <v>0</v>
      </c>
      <c r="JA81" s="173" t="n">
        <v>0</v>
      </c>
      <c r="JB81" s="173" t="n">
        <v>0</v>
      </c>
      <c r="JC81" s="173" t="n">
        <v>0</v>
      </c>
      <c r="JD81" s="173" t="n">
        <v>0</v>
      </c>
      <c r="JE81" s="173" t="n">
        <v>0</v>
      </c>
      <c r="JF81" s="173" t="n">
        <v>0</v>
      </c>
      <c r="JG81" s="173" t="n">
        <v>0</v>
      </c>
      <c r="JH81" s="173" t="n">
        <v>0</v>
      </c>
      <c r="JI81" s="173" t="n">
        <v>0</v>
      </c>
      <c r="JJ81" s="173" t="n">
        <v>0</v>
      </c>
      <c r="JK81" s="173" t="n">
        <v>0</v>
      </c>
      <c r="JL81" s="173" t="n">
        <v>0</v>
      </c>
      <c r="JM81" s="173" t="n">
        <v>0</v>
      </c>
      <c r="JN81" s="173" t="n">
        <v>0</v>
      </c>
      <c r="JO81" s="173" t="n">
        <v>0</v>
      </c>
      <c r="JP81" s="173" t="n">
        <v>0</v>
      </c>
      <c r="JQ81" s="173" t="n">
        <v>0</v>
      </c>
      <c r="JR81" s="173" t="n">
        <v>0</v>
      </c>
      <c r="JS81" s="173" t="n">
        <v>0</v>
      </c>
      <c r="JT81" s="173" t="n">
        <v>0</v>
      </c>
      <c r="JU81" s="173" t="n">
        <v>0</v>
      </c>
      <c r="JV81" s="173" t="n">
        <v>0</v>
      </c>
      <c r="JW81" s="173" t="n">
        <v>0</v>
      </c>
      <c r="JX81" s="173" t="n">
        <v>0</v>
      </c>
      <c r="JY81" s="173" t="n">
        <v>0</v>
      </c>
      <c r="JZ81" s="173" t="n">
        <v>0</v>
      </c>
      <c r="KA81" s="173" t="n">
        <v>0</v>
      </c>
      <c r="KB81" s="173" t="n">
        <v>0</v>
      </c>
      <c r="KC81" s="173" t="n">
        <v>0</v>
      </c>
      <c r="KD81" s="173" t="n">
        <v>0</v>
      </c>
      <c r="KE81" s="173" t="n">
        <v>0</v>
      </c>
      <c r="KF81" s="173" t="n">
        <v>0</v>
      </c>
    </row>
    <row r="82">
      <c r="B82" s="36" t="inlineStr">
        <is>
          <t>Opening lease liability</t>
        </is>
      </c>
      <c r="C82" s="117" t="inlineStr">
        <is>
          <t>ETB</t>
        </is>
      </c>
      <c r="E82" s="173">
        <f>0</f>
        <v>0</v>
      </c>
      <c r="F82" s="170">
        <f>E86</f>
        <v>135000000</v>
      </c>
      <c r="G82" s="170">
        <f>F86</f>
        <v>135000000</v>
      </c>
      <c r="H82" s="170">
        <f>G86</f>
        <v>135000000</v>
      </c>
      <c r="I82" s="170">
        <f>H86</f>
        <v>135000000</v>
      </c>
      <c r="J82" s="170">
        <f>I86</f>
        <v>135000000</v>
      </c>
      <c r="K82" s="170">
        <f>J86</f>
        <v>135000000</v>
      </c>
      <c r="L82" s="170">
        <f>K86</f>
        <v>135000000</v>
      </c>
      <c r="M82" s="170">
        <f>L86</f>
        <v>135000000</v>
      </c>
      <c r="N82" s="170">
        <f>M86</f>
        <v>135000000</v>
      </c>
      <c r="O82" s="170">
        <f>N86</f>
        <v>135000000</v>
      </c>
      <c r="P82" s="170">
        <f>O86</f>
        <v>135000000</v>
      </c>
      <c r="Q82" s="170">
        <f>P86</f>
        <v>135000000</v>
      </c>
      <c r="R82" s="170">
        <f>Q86</f>
        <v>130500000</v>
      </c>
      <c r="S82" s="170">
        <f>R86</f>
        <v>130500000</v>
      </c>
      <c r="T82" s="170">
        <f>S86</f>
        <v>130500000</v>
      </c>
      <c r="U82" s="170">
        <f>T86</f>
        <v>130500000</v>
      </c>
      <c r="V82" s="170">
        <f>U86</f>
        <v>130500000</v>
      </c>
      <c r="W82" s="170">
        <f>V86</f>
        <v>130500000</v>
      </c>
      <c r="X82" s="170">
        <f>W86</f>
        <v>130500000</v>
      </c>
      <c r="Y82" s="170">
        <f>X86</f>
        <v>130500000</v>
      </c>
      <c r="Z82" s="170">
        <f>Y86</f>
        <v>130500000</v>
      </c>
      <c r="AA82" s="170">
        <f>Z86</f>
        <v>130500000</v>
      </c>
      <c r="AB82" s="170">
        <f>AA86</f>
        <v>130500000</v>
      </c>
      <c r="AC82" s="170">
        <f>AB86</f>
        <v>130500000</v>
      </c>
      <c r="AD82" s="170">
        <f>AC86</f>
        <v>126000000</v>
      </c>
      <c r="AE82" s="170">
        <f>AD86</f>
        <v>126000000</v>
      </c>
      <c r="AF82" s="170">
        <f>AE86</f>
        <v>126000000</v>
      </c>
      <c r="AG82" s="170">
        <f>AF86</f>
        <v>126000000</v>
      </c>
      <c r="AH82" s="170">
        <f>AG86</f>
        <v>126000000</v>
      </c>
      <c r="AI82" s="170">
        <f>AH86</f>
        <v>126000000</v>
      </c>
      <c r="AJ82" s="170">
        <f>AI86</f>
        <v>126000000</v>
      </c>
      <c r="AK82" s="170">
        <f>AJ86</f>
        <v>126000000</v>
      </c>
      <c r="AL82" s="170">
        <f>AK86</f>
        <v>126000000</v>
      </c>
      <c r="AM82" s="170">
        <f>AL86</f>
        <v>126000000</v>
      </c>
      <c r="AN82" s="170">
        <f>AM86</f>
        <v>126000000</v>
      </c>
      <c r="AO82" s="170">
        <f>AN86</f>
        <v>126000000</v>
      </c>
      <c r="AP82" s="170">
        <f>AO86</f>
        <v>121500000</v>
      </c>
      <c r="AQ82" s="170">
        <f>AP86</f>
        <v>121500000</v>
      </c>
      <c r="AR82" s="170">
        <f>AQ86</f>
        <v>121500000</v>
      </c>
      <c r="AS82" s="170">
        <f>AR86</f>
        <v>121500000</v>
      </c>
      <c r="AT82" s="170">
        <f>AS86</f>
        <v>121500000</v>
      </c>
      <c r="AU82" s="170">
        <f>AT86</f>
        <v>121500000</v>
      </c>
      <c r="AV82" s="170">
        <f>AU86</f>
        <v>121500000</v>
      </c>
      <c r="AW82" s="170">
        <f>AV86</f>
        <v>121500000</v>
      </c>
      <c r="AX82" s="170">
        <f>AW86</f>
        <v>121500000</v>
      </c>
      <c r="AY82" s="170">
        <f>AX86</f>
        <v>121500000</v>
      </c>
      <c r="AZ82" s="170">
        <f>AY86</f>
        <v>121500000</v>
      </c>
      <c r="BA82" s="170">
        <f>AZ86</f>
        <v>121500000</v>
      </c>
      <c r="BB82" s="170">
        <f>BA86</f>
        <v>117000000</v>
      </c>
      <c r="BC82" s="170">
        <f>BB86</f>
        <v>117000000</v>
      </c>
      <c r="BD82" s="170">
        <f>BC86</f>
        <v>117000000</v>
      </c>
      <c r="BE82" s="170">
        <f>BD86</f>
        <v>117000000</v>
      </c>
      <c r="BF82" s="170">
        <f>BE86</f>
        <v>117000000</v>
      </c>
      <c r="BG82" s="170">
        <f>BF86</f>
        <v>117000000</v>
      </c>
      <c r="BH82" s="170">
        <f>BG86</f>
        <v>117000000</v>
      </c>
      <c r="BI82" s="170">
        <f>BH86</f>
        <v>117000000</v>
      </c>
      <c r="BJ82" s="170">
        <f>BI86</f>
        <v>117000000</v>
      </c>
      <c r="BK82" s="170">
        <f>BJ86</f>
        <v>117000000</v>
      </c>
      <c r="BL82" s="170">
        <f>BK86</f>
        <v>117000000</v>
      </c>
      <c r="BM82" s="170">
        <f>BL86</f>
        <v>117000000</v>
      </c>
      <c r="BN82" s="170">
        <f>BM86</f>
        <v>112500000</v>
      </c>
      <c r="BO82" s="170">
        <f>BN86</f>
        <v>112500000</v>
      </c>
      <c r="BP82" s="170">
        <f>BO86</f>
        <v>112500000</v>
      </c>
      <c r="BQ82" s="170">
        <f>BP86</f>
        <v>112500000</v>
      </c>
      <c r="BR82" s="170">
        <f>BQ86</f>
        <v>112500000</v>
      </c>
      <c r="BS82" s="170">
        <f>BR86</f>
        <v>112500000</v>
      </c>
      <c r="BT82" s="170">
        <f>BS86</f>
        <v>112500000</v>
      </c>
      <c r="BU82" s="170">
        <f>BT86</f>
        <v>112500000</v>
      </c>
      <c r="BV82" s="170">
        <f>BU86</f>
        <v>112500000</v>
      </c>
      <c r="BW82" s="170">
        <f>BV86</f>
        <v>112500000</v>
      </c>
      <c r="BX82" s="170">
        <f>BW86</f>
        <v>112500000</v>
      </c>
      <c r="BY82" s="170">
        <f>BX86</f>
        <v>112500000</v>
      </c>
      <c r="BZ82" s="170">
        <f>BY86</f>
        <v>108000000</v>
      </c>
      <c r="CA82" s="170">
        <f>BZ86</f>
        <v>108000000</v>
      </c>
      <c r="CB82" s="170">
        <f>CA86</f>
        <v>108000000</v>
      </c>
      <c r="CC82" s="170">
        <f>CB86</f>
        <v>108000000</v>
      </c>
      <c r="CD82" s="170">
        <f>CC86</f>
        <v>108000000</v>
      </c>
      <c r="CE82" s="170">
        <f>CD86</f>
        <v>108000000</v>
      </c>
      <c r="CF82" s="170">
        <f>CE86</f>
        <v>108000000</v>
      </c>
      <c r="CG82" s="170">
        <f>CF86</f>
        <v>108000000</v>
      </c>
      <c r="CH82" s="170">
        <f>CG86</f>
        <v>108000000</v>
      </c>
      <c r="CI82" s="170">
        <f>CH86</f>
        <v>108000000</v>
      </c>
      <c r="CJ82" s="170">
        <f>CI86</f>
        <v>108000000</v>
      </c>
      <c r="CK82" s="170">
        <f>CJ86</f>
        <v>108000000</v>
      </c>
      <c r="CL82" s="170">
        <f>CK86</f>
        <v>103500000</v>
      </c>
      <c r="CM82" s="170">
        <f>CL86</f>
        <v>103500000</v>
      </c>
      <c r="CN82" s="170">
        <f>CM86</f>
        <v>103500000</v>
      </c>
      <c r="CO82" s="170">
        <f>CN86</f>
        <v>103500000</v>
      </c>
      <c r="CP82" s="170">
        <f>CO86</f>
        <v>103500000</v>
      </c>
      <c r="CQ82" s="170">
        <f>CP86</f>
        <v>103500000</v>
      </c>
      <c r="CR82" s="170">
        <f>CQ86</f>
        <v>103500000</v>
      </c>
      <c r="CS82" s="170">
        <f>CR86</f>
        <v>103500000</v>
      </c>
      <c r="CT82" s="170">
        <f>CS86</f>
        <v>103500000</v>
      </c>
      <c r="CU82" s="170">
        <f>CT86</f>
        <v>103500000</v>
      </c>
      <c r="CV82" s="170">
        <f>CU86</f>
        <v>103500000</v>
      </c>
      <c r="CW82" s="170">
        <f>CV86</f>
        <v>103500000</v>
      </c>
      <c r="CX82" s="170">
        <f>CW86</f>
        <v>99000000</v>
      </c>
      <c r="CY82" s="170">
        <f>CX86</f>
        <v>99000000</v>
      </c>
      <c r="CZ82" s="170">
        <f>CY86</f>
        <v>99000000</v>
      </c>
      <c r="DA82" s="170">
        <f>CZ86</f>
        <v>99000000</v>
      </c>
      <c r="DB82" s="170">
        <f>DA86</f>
        <v>99000000</v>
      </c>
      <c r="DC82" s="170">
        <f>DB86</f>
        <v>99000000</v>
      </c>
      <c r="DD82" s="170">
        <f>DC86</f>
        <v>99000000</v>
      </c>
      <c r="DE82" s="170">
        <f>DD86</f>
        <v>99000000</v>
      </c>
      <c r="DF82" s="170">
        <f>DE86</f>
        <v>99000000</v>
      </c>
      <c r="DG82" s="170">
        <f>DF86</f>
        <v>99000000</v>
      </c>
      <c r="DH82" s="170">
        <f>DG86</f>
        <v>99000000</v>
      </c>
      <c r="DI82" s="170">
        <f>DH86</f>
        <v>99000000</v>
      </c>
      <c r="DJ82" s="170">
        <f>DI86</f>
        <v>94500000</v>
      </c>
      <c r="DK82" s="170">
        <f>DJ86</f>
        <v>94500000</v>
      </c>
      <c r="DL82" s="170">
        <f>DK86</f>
        <v>94500000</v>
      </c>
      <c r="DM82" s="170">
        <f>DL86</f>
        <v>94500000</v>
      </c>
      <c r="DN82" s="170">
        <f>DM86</f>
        <v>94500000</v>
      </c>
      <c r="DO82" s="170">
        <f>DN86</f>
        <v>94500000</v>
      </c>
      <c r="DP82" s="170">
        <f>DO86</f>
        <v>94500000</v>
      </c>
      <c r="DQ82" s="170">
        <f>DP86</f>
        <v>94500000</v>
      </c>
      <c r="DR82" s="170">
        <f>DQ86</f>
        <v>94500000</v>
      </c>
      <c r="DS82" s="170">
        <f>DR86</f>
        <v>94500000</v>
      </c>
      <c r="DT82" s="170">
        <f>DS86</f>
        <v>94500000</v>
      </c>
      <c r="DU82" s="170">
        <f>DT86</f>
        <v>94500000</v>
      </c>
      <c r="DV82" s="170">
        <f>DU86</f>
        <v>90000000</v>
      </c>
      <c r="DW82" s="170">
        <f>DV86</f>
        <v>90000000</v>
      </c>
      <c r="DX82" s="170">
        <f>DW86</f>
        <v>90000000</v>
      </c>
      <c r="DY82" s="170">
        <f>DX86</f>
        <v>90000000</v>
      </c>
      <c r="DZ82" s="170">
        <f>DY86</f>
        <v>90000000</v>
      </c>
      <c r="EA82" s="170">
        <f>DZ86</f>
        <v>90000000</v>
      </c>
      <c r="EB82" s="170">
        <f>EA86</f>
        <v>90000000</v>
      </c>
      <c r="EC82" s="170">
        <f>EB86</f>
        <v>90000000</v>
      </c>
      <c r="ED82" s="170">
        <f>EC86</f>
        <v>90000000</v>
      </c>
      <c r="EE82" s="170">
        <f>ED86</f>
        <v>90000000</v>
      </c>
      <c r="EF82" s="170">
        <f>EE86</f>
        <v>90000000</v>
      </c>
      <c r="EG82" s="170">
        <f>EF86</f>
        <v>90000000</v>
      </c>
      <c r="EH82" s="170">
        <f>EG86</f>
        <v>85500000</v>
      </c>
      <c r="EI82" s="170">
        <f>EH86</f>
        <v>85500000</v>
      </c>
      <c r="EJ82" s="170">
        <f>EI86</f>
        <v>85500000</v>
      </c>
      <c r="EK82" s="170">
        <f>EJ86</f>
        <v>85500000</v>
      </c>
      <c r="EL82" s="170">
        <f>EK86</f>
        <v>85500000</v>
      </c>
      <c r="EM82" s="170">
        <f>EL86</f>
        <v>85500000</v>
      </c>
      <c r="EN82" s="170">
        <f>EM86</f>
        <v>85500000</v>
      </c>
      <c r="EO82" s="170">
        <f>EN86</f>
        <v>85500000</v>
      </c>
      <c r="EP82" s="170">
        <f>EO86</f>
        <v>85500000</v>
      </c>
      <c r="EQ82" s="170">
        <f>EP86</f>
        <v>85500000</v>
      </c>
      <c r="ER82" s="170">
        <f>EQ86</f>
        <v>85500000</v>
      </c>
      <c r="ES82" s="170">
        <f>ER86</f>
        <v>85500000</v>
      </c>
      <c r="ET82" s="170">
        <f>ES86</f>
        <v>81000000</v>
      </c>
      <c r="EU82" s="170">
        <f>ET86</f>
        <v>81000000</v>
      </c>
      <c r="EV82" s="170">
        <f>EU86</f>
        <v>81000000</v>
      </c>
      <c r="EW82" s="170">
        <f>EV86</f>
        <v>81000000</v>
      </c>
      <c r="EX82" s="170">
        <f>EW86</f>
        <v>81000000</v>
      </c>
      <c r="EY82" s="170">
        <f>EX86</f>
        <v>81000000</v>
      </c>
      <c r="EZ82" s="170">
        <f>EY86</f>
        <v>81000000</v>
      </c>
      <c r="FA82" s="170">
        <f>EZ86</f>
        <v>81000000</v>
      </c>
      <c r="FB82" s="170">
        <f>FA86</f>
        <v>81000000</v>
      </c>
      <c r="FC82" s="170">
        <f>FB86</f>
        <v>81000000</v>
      </c>
      <c r="FD82" s="170">
        <f>FC86</f>
        <v>81000000</v>
      </c>
      <c r="FE82" s="170">
        <f>FD86</f>
        <v>81000000</v>
      </c>
      <c r="FF82" s="170">
        <f>FE86</f>
        <v>76500000</v>
      </c>
      <c r="FG82" s="170">
        <f>FF86</f>
        <v>76500000</v>
      </c>
      <c r="FH82" s="170">
        <f>FG86</f>
        <v>76500000</v>
      </c>
      <c r="FI82" s="170">
        <f>FH86</f>
        <v>76500000</v>
      </c>
      <c r="FJ82" s="170">
        <f>FI86</f>
        <v>76500000</v>
      </c>
      <c r="FK82" s="170">
        <f>FJ86</f>
        <v>76500000</v>
      </c>
      <c r="FL82" s="170">
        <f>FK86</f>
        <v>76500000</v>
      </c>
      <c r="FM82" s="170">
        <f>FL86</f>
        <v>76500000</v>
      </c>
      <c r="FN82" s="170">
        <f>FM86</f>
        <v>76500000</v>
      </c>
      <c r="FO82" s="170">
        <f>FN86</f>
        <v>76500000</v>
      </c>
      <c r="FP82" s="170">
        <f>FO86</f>
        <v>76500000</v>
      </c>
      <c r="FQ82" s="170">
        <f>FP86</f>
        <v>76500000</v>
      </c>
      <c r="FR82" s="170">
        <f>FQ86</f>
        <v>72000000</v>
      </c>
      <c r="FS82" s="170">
        <f>FR86</f>
        <v>72000000</v>
      </c>
      <c r="FT82" s="170">
        <f>FS86</f>
        <v>72000000</v>
      </c>
      <c r="FU82" s="170">
        <f>FT86</f>
        <v>72000000</v>
      </c>
      <c r="FV82" s="170">
        <f>FU86</f>
        <v>72000000</v>
      </c>
      <c r="FW82" s="170">
        <f>FV86</f>
        <v>72000000</v>
      </c>
      <c r="FX82" s="170">
        <f>FW86</f>
        <v>72000000</v>
      </c>
      <c r="FY82" s="170">
        <f>FX86</f>
        <v>72000000</v>
      </c>
      <c r="FZ82" s="170">
        <f>FY86</f>
        <v>72000000</v>
      </c>
      <c r="GA82" s="170">
        <f>FZ86</f>
        <v>72000000</v>
      </c>
      <c r="GB82" s="170">
        <f>GA86</f>
        <v>72000000</v>
      </c>
      <c r="GC82" s="170">
        <f>GB86</f>
        <v>72000000</v>
      </c>
      <c r="GD82" s="170">
        <f>GC86</f>
        <v>67500000</v>
      </c>
      <c r="GE82" s="170">
        <f>GD86</f>
        <v>67500000</v>
      </c>
      <c r="GF82" s="170">
        <f>GE86</f>
        <v>67500000</v>
      </c>
      <c r="GG82" s="170">
        <f>GF86</f>
        <v>67500000</v>
      </c>
      <c r="GH82" s="170">
        <f>GG86</f>
        <v>67500000</v>
      </c>
      <c r="GI82" s="170">
        <f>GH86</f>
        <v>67500000</v>
      </c>
      <c r="GJ82" s="170">
        <f>GI86</f>
        <v>67500000</v>
      </c>
      <c r="GK82" s="170">
        <f>GJ86</f>
        <v>67500000</v>
      </c>
      <c r="GL82" s="170">
        <f>GK86</f>
        <v>67500000</v>
      </c>
      <c r="GM82" s="170">
        <f>GL86</f>
        <v>67500000</v>
      </c>
      <c r="GN82" s="170">
        <f>GM86</f>
        <v>67500000</v>
      </c>
      <c r="GO82" s="170">
        <f>GN86</f>
        <v>67500000</v>
      </c>
      <c r="GP82" s="170">
        <f>GO86</f>
        <v>63000000</v>
      </c>
      <c r="GQ82" s="170">
        <f>GP86</f>
        <v>63000000</v>
      </c>
      <c r="GR82" s="170">
        <f>GQ86</f>
        <v>63000000</v>
      </c>
      <c r="GS82" s="170">
        <f>GR86</f>
        <v>63000000</v>
      </c>
      <c r="GT82" s="170">
        <f>GS86</f>
        <v>63000000</v>
      </c>
      <c r="GU82" s="170">
        <f>GT86</f>
        <v>63000000</v>
      </c>
      <c r="GV82" s="170">
        <f>GU86</f>
        <v>63000000</v>
      </c>
      <c r="GW82" s="170">
        <f>GV86</f>
        <v>63000000</v>
      </c>
      <c r="GX82" s="170">
        <f>GW86</f>
        <v>63000000</v>
      </c>
      <c r="GY82" s="170">
        <f>GX86</f>
        <v>63000000</v>
      </c>
      <c r="GZ82" s="170">
        <f>GY86</f>
        <v>63000000</v>
      </c>
      <c r="HA82" s="170">
        <f>GZ86</f>
        <v>63000000</v>
      </c>
      <c r="HB82" s="170">
        <f>HA86</f>
        <v>58500000</v>
      </c>
      <c r="HC82" s="170">
        <f>HB86</f>
        <v>58500000</v>
      </c>
      <c r="HD82" s="170">
        <f>HC86</f>
        <v>58500000</v>
      </c>
      <c r="HE82" s="170">
        <f>HD86</f>
        <v>58500000</v>
      </c>
      <c r="HF82" s="170">
        <f>HE86</f>
        <v>58500000</v>
      </c>
      <c r="HG82" s="170">
        <f>HF86</f>
        <v>58500000</v>
      </c>
      <c r="HH82" s="170">
        <f>HG86</f>
        <v>58500000</v>
      </c>
      <c r="HI82" s="170">
        <f>HH86</f>
        <v>58500000</v>
      </c>
      <c r="HJ82" s="170">
        <f>HI86</f>
        <v>58500000</v>
      </c>
      <c r="HK82" s="170">
        <f>HJ86</f>
        <v>58500000</v>
      </c>
      <c r="HL82" s="170">
        <f>HK86</f>
        <v>58500000</v>
      </c>
      <c r="HM82" s="170">
        <f>HL86</f>
        <v>58500000</v>
      </c>
      <c r="HN82" s="170">
        <f>HM86</f>
        <v>54000000</v>
      </c>
      <c r="HO82" s="170">
        <f>HN86</f>
        <v>54000000</v>
      </c>
      <c r="HP82" s="170">
        <f>HO86</f>
        <v>54000000</v>
      </c>
      <c r="HQ82" s="170">
        <f>HP86</f>
        <v>54000000</v>
      </c>
      <c r="HR82" s="170">
        <f>HQ86</f>
        <v>54000000</v>
      </c>
      <c r="HS82" s="170">
        <f>HR86</f>
        <v>54000000</v>
      </c>
      <c r="HT82" s="170">
        <f>HS86</f>
        <v>54000000</v>
      </c>
      <c r="HU82" s="170">
        <f>HT86</f>
        <v>54000000</v>
      </c>
      <c r="HV82" s="170">
        <f>HU86</f>
        <v>54000000</v>
      </c>
      <c r="HW82" s="170">
        <f>HV86</f>
        <v>54000000</v>
      </c>
      <c r="HX82" s="170">
        <f>HW86</f>
        <v>54000000</v>
      </c>
      <c r="HY82" s="170">
        <f>HX86</f>
        <v>54000000</v>
      </c>
      <c r="HZ82" s="170">
        <f>HY86</f>
        <v>49500000</v>
      </c>
      <c r="IA82" s="170">
        <f>HZ86</f>
        <v>49500000</v>
      </c>
      <c r="IB82" s="170">
        <f>IA86</f>
        <v>49500000</v>
      </c>
      <c r="IC82" s="170">
        <f>IB86</f>
        <v>49500000</v>
      </c>
      <c r="ID82" s="170">
        <f>IC86</f>
        <v>49500000</v>
      </c>
      <c r="IE82" s="170">
        <f>ID86</f>
        <v>49500000</v>
      </c>
      <c r="IF82" s="170">
        <f>IE86</f>
        <v>49500000</v>
      </c>
      <c r="IG82" s="170">
        <f>IF86</f>
        <v>49500000</v>
      </c>
      <c r="IH82" s="170">
        <f>IG86</f>
        <v>49500000</v>
      </c>
      <c r="II82" s="170">
        <f>IH86</f>
        <v>49500000</v>
      </c>
      <c r="IJ82" s="170">
        <f>II86</f>
        <v>49500000</v>
      </c>
      <c r="IK82" s="170">
        <f>IJ86</f>
        <v>49500000</v>
      </c>
      <c r="IL82" s="170">
        <f>IK86</f>
        <v>45000000</v>
      </c>
      <c r="IM82" s="170">
        <f>IL86</f>
        <v>45000000</v>
      </c>
      <c r="IN82" s="170">
        <f>IM86</f>
        <v>45000000</v>
      </c>
      <c r="IO82" s="170">
        <f>IN86</f>
        <v>45000000</v>
      </c>
      <c r="IP82" s="170">
        <f>IO86</f>
        <v>45000000</v>
      </c>
      <c r="IQ82" s="170">
        <f>IP86</f>
        <v>45000000</v>
      </c>
      <c r="IR82" s="170">
        <f>IQ86</f>
        <v>45000000</v>
      </c>
      <c r="IS82" s="170">
        <f>IR86</f>
        <v>45000000</v>
      </c>
      <c r="IT82" s="170">
        <f>IS86</f>
        <v>45000000</v>
      </c>
      <c r="IU82" s="170">
        <f>IT86</f>
        <v>45000000</v>
      </c>
      <c r="IV82" s="170">
        <f>IU86</f>
        <v>45000000</v>
      </c>
      <c r="IW82" s="170">
        <f>IV86</f>
        <v>45000000</v>
      </c>
      <c r="IX82" s="170">
        <f>IW86</f>
        <v>40500000</v>
      </c>
      <c r="IY82" s="170">
        <f>IX86</f>
        <v>40500000</v>
      </c>
      <c r="IZ82" s="170">
        <f>IY86</f>
        <v>40500000</v>
      </c>
      <c r="JA82" s="170">
        <f>IZ86</f>
        <v>40500000</v>
      </c>
      <c r="JB82" s="170">
        <f>JA86</f>
        <v>40500000</v>
      </c>
      <c r="JC82" s="170">
        <f>JB86</f>
        <v>40500000</v>
      </c>
      <c r="JD82" s="170">
        <f>JC86</f>
        <v>40500000</v>
      </c>
      <c r="JE82" s="170">
        <f>JD86</f>
        <v>40500000</v>
      </c>
      <c r="JF82" s="170">
        <f>JE86</f>
        <v>40500000</v>
      </c>
      <c r="JG82" s="170">
        <f>JF86</f>
        <v>40500000</v>
      </c>
      <c r="JH82" s="170">
        <f>JG86</f>
        <v>40500000</v>
      </c>
      <c r="JI82" s="170">
        <f>JH86</f>
        <v>40500000</v>
      </c>
      <c r="JJ82" s="170">
        <f>JI86</f>
        <v>36000000</v>
      </c>
      <c r="JK82" s="170">
        <f>JJ86</f>
        <v>36000000</v>
      </c>
      <c r="JL82" s="170">
        <f>JK86</f>
        <v>36000000</v>
      </c>
      <c r="JM82" s="170">
        <f>JL86</f>
        <v>36000000</v>
      </c>
      <c r="JN82" s="170">
        <f>JM86</f>
        <v>36000000</v>
      </c>
      <c r="JO82" s="170">
        <f>JN86</f>
        <v>36000000</v>
      </c>
      <c r="JP82" s="170">
        <f>JO86</f>
        <v>36000000</v>
      </c>
      <c r="JQ82" s="170">
        <f>JP86</f>
        <v>36000000</v>
      </c>
      <c r="JR82" s="170">
        <f>JQ86</f>
        <v>36000000</v>
      </c>
      <c r="JS82" s="170">
        <f>JR86</f>
        <v>36000000</v>
      </c>
      <c r="JT82" s="170">
        <f>JS86</f>
        <v>36000000</v>
      </c>
      <c r="JU82" s="170">
        <f>JT86</f>
        <v>36000000</v>
      </c>
      <c r="JV82" s="170">
        <f>JU86</f>
        <v>31500000</v>
      </c>
      <c r="JW82" s="170">
        <f>JV86</f>
        <v>31500000</v>
      </c>
      <c r="JX82" s="170">
        <f>JW86</f>
        <v>31500000</v>
      </c>
      <c r="JY82" s="170">
        <f>JX86</f>
        <v>31500000</v>
      </c>
      <c r="JZ82" s="170">
        <f>JY86</f>
        <v>31500000</v>
      </c>
      <c r="KA82" s="170">
        <f>JZ86</f>
        <v>31500000</v>
      </c>
      <c r="KB82" s="170">
        <f>KA86</f>
        <v>31500000</v>
      </c>
      <c r="KC82" s="170">
        <f>KB86</f>
        <v>31500000</v>
      </c>
      <c r="KD82" s="170">
        <f>KC86</f>
        <v>31500000</v>
      </c>
      <c r="KE82" s="170">
        <f>KD86</f>
        <v>31500000</v>
      </c>
      <c r="KF82" s="170">
        <f>KE86</f>
        <v>31500000</v>
      </c>
    </row>
    <row r="83">
      <c r="B83" s="36" t="inlineStr">
        <is>
          <t>Instalment month flag</t>
        </is>
      </c>
      <c r="C83" s="117" t="inlineStr">
        <is>
          <t>flag</t>
        </is>
      </c>
      <c r="D83" s="147">
        <f>SUM(E83:KF83)</f>
        <v>23</v>
      </c>
      <c r="E83" s="148">
        <f>IF(AND(LAND_TYPE=1,E53&gt;1,MOD(E53-1,12)=0,(E53-1)/12&lt;=LEASE_N),1,0)</f>
        <v>0</v>
      </c>
      <c r="F83" s="148">
        <f>IF(AND(LAND_TYPE=1,F53&gt;1,MOD(F53-1,12)=0,(F53-1)/12&lt;=LEASE_N),1,0)</f>
        <v>0</v>
      </c>
      <c r="G83" s="148">
        <f>IF(AND(LAND_TYPE=1,G53&gt;1,MOD(G53-1,12)=0,(G53-1)/12&lt;=LEASE_N),1,0)</f>
        <v>0</v>
      </c>
      <c r="H83" s="148">
        <f>IF(AND(LAND_TYPE=1,H53&gt;1,MOD(H53-1,12)=0,(H53-1)/12&lt;=LEASE_N),1,0)</f>
        <v>0</v>
      </c>
      <c r="I83" s="148">
        <f>IF(AND(LAND_TYPE=1,I53&gt;1,MOD(I53-1,12)=0,(I53-1)/12&lt;=LEASE_N),1,0)</f>
        <v>0</v>
      </c>
      <c r="J83" s="148">
        <f>IF(AND(LAND_TYPE=1,J53&gt;1,MOD(J53-1,12)=0,(J53-1)/12&lt;=LEASE_N),1,0)</f>
        <v>0</v>
      </c>
      <c r="K83" s="148">
        <f>IF(AND(LAND_TYPE=1,K53&gt;1,MOD(K53-1,12)=0,(K53-1)/12&lt;=LEASE_N),1,0)</f>
        <v>0</v>
      </c>
      <c r="L83" s="148">
        <f>IF(AND(LAND_TYPE=1,L53&gt;1,MOD(L53-1,12)=0,(L53-1)/12&lt;=LEASE_N),1,0)</f>
        <v>0</v>
      </c>
      <c r="M83" s="148">
        <f>IF(AND(LAND_TYPE=1,M53&gt;1,MOD(M53-1,12)=0,(M53-1)/12&lt;=LEASE_N),1,0)</f>
        <v>0</v>
      </c>
      <c r="N83" s="148">
        <f>IF(AND(LAND_TYPE=1,N53&gt;1,MOD(N53-1,12)=0,(N53-1)/12&lt;=LEASE_N),1,0)</f>
        <v>0</v>
      </c>
      <c r="O83" s="148">
        <f>IF(AND(LAND_TYPE=1,O53&gt;1,MOD(O53-1,12)=0,(O53-1)/12&lt;=LEASE_N),1,0)</f>
        <v>0</v>
      </c>
      <c r="P83" s="148">
        <f>IF(AND(LAND_TYPE=1,P53&gt;1,MOD(P53-1,12)=0,(P53-1)/12&lt;=LEASE_N),1,0)</f>
        <v>0</v>
      </c>
      <c r="Q83" s="148">
        <f>IF(AND(LAND_TYPE=1,Q53&gt;1,MOD(Q53-1,12)=0,(Q53-1)/12&lt;=LEASE_N),1,0)</f>
        <v>1</v>
      </c>
      <c r="R83" s="148">
        <f>IF(AND(LAND_TYPE=1,R53&gt;1,MOD(R53-1,12)=0,(R53-1)/12&lt;=LEASE_N),1,0)</f>
        <v>0</v>
      </c>
      <c r="S83" s="148">
        <f>IF(AND(LAND_TYPE=1,S53&gt;1,MOD(S53-1,12)=0,(S53-1)/12&lt;=LEASE_N),1,0)</f>
        <v>0</v>
      </c>
      <c r="T83" s="148">
        <f>IF(AND(LAND_TYPE=1,T53&gt;1,MOD(T53-1,12)=0,(T53-1)/12&lt;=LEASE_N),1,0)</f>
        <v>0</v>
      </c>
      <c r="U83" s="148">
        <f>IF(AND(LAND_TYPE=1,U53&gt;1,MOD(U53-1,12)=0,(U53-1)/12&lt;=LEASE_N),1,0)</f>
        <v>0</v>
      </c>
      <c r="V83" s="148">
        <f>IF(AND(LAND_TYPE=1,V53&gt;1,MOD(V53-1,12)=0,(V53-1)/12&lt;=LEASE_N),1,0)</f>
        <v>0</v>
      </c>
      <c r="W83" s="148">
        <f>IF(AND(LAND_TYPE=1,W53&gt;1,MOD(W53-1,12)=0,(W53-1)/12&lt;=LEASE_N),1,0)</f>
        <v>0</v>
      </c>
      <c r="X83" s="148">
        <f>IF(AND(LAND_TYPE=1,X53&gt;1,MOD(X53-1,12)=0,(X53-1)/12&lt;=LEASE_N),1,0)</f>
        <v>0</v>
      </c>
      <c r="Y83" s="148">
        <f>IF(AND(LAND_TYPE=1,Y53&gt;1,MOD(Y53-1,12)=0,(Y53-1)/12&lt;=LEASE_N),1,0)</f>
        <v>0</v>
      </c>
      <c r="Z83" s="148">
        <f>IF(AND(LAND_TYPE=1,Z53&gt;1,MOD(Z53-1,12)=0,(Z53-1)/12&lt;=LEASE_N),1,0)</f>
        <v>0</v>
      </c>
      <c r="AA83" s="148">
        <f>IF(AND(LAND_TYPE=1,AA53&gt;1,MOD(AA53-1,12)=0,(AA53-1)/12&lt;=LEASE_N),1,0)</f>
        <v>0</v>
      </c>
      <c r="AB83" s="148">
        <f>IF(AND(LAND_TYPE=1,AB53&gt;1,MOD(AB53-1,12)=0,(AB53-1)/12&lt;=LEASE_N),1,0)</f>
        <v>0</v>
      </c>
      <c r="AC83" s="148">
        <f>IF(AND(LAND_TYPE=1,AC53&gt;1,MOD(AC53-1,12)=0,(AC53-1)/12&lt;=LEASE_N),1,0)</f>
        <v>1</v>
      </c>
      <c r="AD83" s="148">
        <f>IF(AND(LAND_TYPE=1,AD53&gt;1,MOD(AD53-1,12)=0,(AD53-1)/12&lt;=LEASE_N),1,0)</f>
        <v>0</v>
      </c>
      <c r="AE83" s="148">
        <f>IF(AND(LAND_TYPE=1,AE53&gt;1,MOD(AE53-1,12)=0,(AE53-1)/12&lt;=LEASE_N),1,0)</f>
        <v>0</v>
      </c>
      <c r="AF83" s="148">
        <f>IF(AND(LAND_TYPE=1,AF53&gt;1,MOD(AF53-1,12)=0,(AF53-1)/12&lt;=LEASE_N),1,0)</f>
        <v>0</v>
      </c>
      <c r="AG83" s="148">
        <f>IF(AND(LAND_TYPE=1,AG53&gt;1,MOD(AG53-1,12)=0,(AG53-1)/12&lt;=LEASE_N),1,0)</f>
        <v>0</v>
      </c>
      <c r="AH83" s="148">
        <f>IF(AND(LAND_TYPE=1,AH53&gt;1,MOD(AH53-1,12)=0,(AH53-1)/12&lt;=LEASE_N),1,0)</f>
        <v>0</v>
      </c>
      <c r="AI83" s="148">
        <f>IF(AND(LAND_TYPE=1,AI53&gt;1,MOD(AI53-1,12)=0,(AI53-1)/12&lt;=LEASE_N),1,0)</f>
        <v>0</v>
      </c>
      <c r="AJ83" s="148">
        <f>IF(AND(LAND_TYPE=1,AJ53&gt;1,MOD(AJ53-1,12)=0,(AJ53-1)/12&lt;=LEASE_N),1,0)</f>
        <v>0</v>
      </c>
      <c r="AK83" s="148">
        <f>IF(AND(LAND_TYPE=1,AK53&gt;1,MOD(AK53-1,12)=0,(AK53-1)/12&lt;=LEASE_N),1,0)</f>
        <v>0</v>
      </c>
      <c r="AL83" s="148">
        <f>IF(AND(LAND_TYPE=1,AL53&gt;1,MOD(AL53-1,12)=0,(AL53-1)/12&lt;=LEASE_N),1,0)</f>
        <v>0</v>
      </c>
      <c r="AM83" s="148">
        <f>IF(AND(LAND_TYPE=1,AM53&gt;1,MOD(AM53-1,12)=0,(AM53-1)/12&lt;=LEASE_N),1,0)</f>
        <v>0</v>
      </c>
      <c r="AN83" s="148">
        <f>IF(AND(LAND_TYPE=1,AN53&gt;1,MOD(AN53-1,12)=0,(AN53-1)/12&lt;=LEASE_N),1,0)</f>
        <v>0</v>
      </c>
      <c r="AO83" s="148">
        <f>IF(AND(LAND_TYPE=1,AO53&gt;1,MOD(AO53-1,12)=0,(AO53-1)/12&lt;=LEASE_N),1,0)</f>
        <v>1</v>
      </c>
      <c r="AP83" s="148">
        <f>IF(AND(LAND_TYPE=1,AP53&gt;1,MOD(AP53-1,12)=0,(AP53-1)/12&lt;=LEASE_N),1,0)</f>
        <v>0</v>
      </c>
      <c r="AQ83" s="148">
        <f>IF(AND(LAND_TYPE=1,AQ53&gt;1,MOD(AQ53-1,12)=0,(AQ53-1)/12&lt;=LEASE_N),1,0)</f>
        <v>0</v>
      </c>
      <c r="AR83" s="148">
        <f>IF(AND(LAND_TYPE=1,AR53&gt;1,MOD(AR53-1,12)=0,(AR53-1)/12&lt;=LEASE_N),1,0)</f>
        <v>0</v>
      </c>
      <c r="AS83" s="148">
        <f>IF(AND(LAND_TYPE=1,AS53&gt;1,MOD(AS53-1,12)=0,(AS53-1)/12&lt;=LEASE_N),1,0)</f>
        <v>0</v>
      </c>
      <c r="AT83" s="148">
        <f>IF(AND(LAND_TYPE=1,AT53&gt;1,MOD(AT53-1,12)=0,(AT53-1)/12&lt;=LEASE_N),1,0)</f>
        <v>0</v>
      </c>
      <c r="AU83" s="148">
        <f>IF(AND(LAND_TYPE=1,AU53&gt;1,MOD(AU53-1,12)=0,(AU53-1)/12&lt;=LEASE_N),1,0)</f>
        <v>0</v>
      </c>
      <c r="AV83" s="148">
        <f>IF(AND(LAND_TYPE=1,AV53&gt;1,MOD(AV53-1,12)=0,(AV53-1)/12&lt;=LEASE_N),1,0)</f>
        <v>0</v>
      </c>
      <c r="AW83" s="148">
        <f>IF(AND(LAND_TYPE=1,AW53&gt;1,MOD(AW53-1,12)=0,(AW53-1)/12&lt;=LEASE_N),1,0)</f>
        <v>0</v>
      </c>
      <c r="AX83" s="148">
        <f>IF(AND(LAND_TYPE=1,AX53&gt;1,MOD(AX53-1,12)=0,(AX53-1)/12&lt;=LEASE_N),1,0)</f>
        <v>0</v>
      </c>
      <c r="AY83" s="148">
        <f>IF(AND(LAND_TYPE=1,AY53&gt;1,MOD(AY53-1,12)=0,(AY53-1)/12&lt;=LEASE_N),1,0)</f>
        <v>0</v>
      </c>
      <c r="AZ83" s="148">
        <f>IF(AND(LAND_TYPE=1,AZ53&gt;1,MOD(AZ53-1,12)=0,(AZ53-1)/12&lt;=LEASE_N),1,0)</f>
        <v>0</v>
      </c>
      <c r="BA83" s="148">
        <f>IF(AND(LAND_TYPE=1,BA53&gt;1,MOD(BA53-1,12)=0,(BA53-1)/12&lt;=LEASE_N),1,0)</f>
        <v>1</v>
      </c>
      <c r="BB83" s="148">
        <f>IF(AND(LAND_TYPE=1,BB53&gt;1,MOD(BB53-1,12)=0,(BB53-1)/12&lt;=LEASE_N),1,0)</f>
        <v>0</v>
      </c>
      <c r="BC83" s="148">
        <f>IF(AND(LAND_TYPE=1,BC53&gt;1,MOD(BC53-1,12)=0,(BC53-1)/12&lt;=LEASE_N),1,0)</f>
        <v>0</v>
      </c>
      <c r="BD83" s="148">
        <f>IF(AND(LAND_TYPE=1,BD53&gt;1,MOD(BD53-1,12)=0,(BD53-1)/12&lt;=LEASE_N),1,0)</f>
        <v>0</v>
      </c>
      <c r="BE83" s="148">
        <f>IF(AND(LAND_TYPE=1,BE53&gt;1,MOD(BE53-1,12)=0,(BE53-1)/12&lt;=LEASE_N),1,0)</f>
        <v>0</v>
      </c>
      <c r="BF83" s="148">
        <f>IF(AND(LAND_TYPE=1,BF53&gt;1,MOD(BF53-1,12)=0,(BF53-1)/12&lt;=LEASE_N),1,0)</f>
        <v>0</v>
      </c>
      <c r="BG83" s="148">
        <f>IF(AND(LAND_TYPE=1,BG53&gt;1,MOD(BG53-1,12)=0,(BG53-1)/12&lt;=LEASE_N),1,0)</f>
        <v>0</v>
      </c>
      <c r="BH83" s="148">
        <f>IF(AND(LAND_TYPE=1,BH53&gt;1,MOD(BH53-1,12)=0,(BH53-1)/12&lt;=LEASE_N),1,0)</f>
        <v>0</v>
      </c>
      <c r="BI83" s="148">
        <f>IF(AND(LAND_TYPE=1,BI53&gt;1,MOD(BI53-1,12)=0,(BI53-1)/12&lt;=LEASE_N),1,0)</f>
        <v>0</v>
      </c>
      <c r="BJ83" s="148">
        <f>IF(AND(LAND_TYPE=1,BJ53&gt;1,MOD(BJ53-1,12)=0,(BJ53-1)/12&lt;=LEASE_N),1,0)</f>
        <v>0</v>
      </c>
      <c r="BK83" s="148">
        <f>IF(AND(LAND_TYPE=1,BK53&gt;1,MOD(BK53-1,12)=0,(BK53-1)/12&lt;=LEASE_N),1,0)</f>
        <v>0</v>
      </c>
      <c r="BL83" s="148">
        <f>IF(AND(LAND_TYPE=1,BL53&gt;1,MOD(BL53-1,12)=0,(BL53-1)/12&lt;=LEASE_N),1,0)</f>
        <v>0</v>
      </c>
      <c r="BM83" s="148">
        <f>IF(AND(LAND_TYPE=1,BM53&gt;1,MOD(BM53-1,12)=0,(BM53-1)/12&lt;=LEASE_N),1,0)</f>
        <v>1</v>
      </c>
      <c r="BN83" s="148">
        <f>IF(AND(LAND_TYPE=1,BN53&gt;1,MOD(BN53-1,12)=0,(BN53-1)/12&lt;=LEASE_N),1,0)</f>
        <v>0</v>
      </c>
      <c r="BO83" s="148">
        <f>IF(AND(LAND_TYPE=1,BO53&gt;1,MOD(BO53-1,12)=0,(BO53-1)/12&lt;=LEASE_N),1,0)</f>
        <v>0</v>
      </c>
      <c r="BP83" s="148">
        <f>IF(AND(LAND_TYPE=1,BP53&gt;1,MOD(BP53-1,12)=0,(BP53-1)/12&lt;=LEASE_N),1,0)</f>
        <v>0</v>
      </c>
      <c r="BQ83" s="148">
        <f>IF(AND(LAND_TYPE=1,BQ53&gt;1,MOD(BQ53-1,12)=0,(BQ53-1)/12&lt;=LEASE_N),1,0)</f>
        <v>0</v>
      </c>
      <c r="BR83" s="148">
        <f>IF(AND(LAND_TYPE=1,BR53&gt;1,MOD(BR53-1,12)=0,(BR53-1)/12&lt;=LEASE_N),1,0)</f>
        <v>0</v>
      </c>
      <c r="BS83" s="148">
        <f>IF(AND(LAND_TYPE=1,BS53&gt;1,MOD(BS53-1,12)=0,(BS53-1)/12&lt;=LEASE_N),1,0)</f>
        <v>0</v>
      </c>
      <c r="BT83" s="148">
        <f>IF(AND(LAND_TYPE=1,BT53&gt;1,MOD(BT53-1,12)=0,(BT53-1)/12&lt;=LEASE_N),1,0)</f>
        <v>0</v>
      </c>
      <c r="BU83" s="148">
        <f>IF(AND(LAND_TYPE=1,BU53&gt;1,MOD(BU53-1,12)=0,(BU53-1)/12&lt;=LEASE_N),1,0)</f>
        <v>0</v>
      </c>
      <c r="BV83" s="148">
        <f>IF(AND(LAND_TYPE=1,BV53&gt;1,MOD(BV53-1,12)=0,(BV53-1)/12&lt;=LEASE_N),1,0)</f>
        <v>0</v>
      </c>
      <c r="BW83" s="148">
        <f>IF(AND(LAND_TYPE=1,BW53&gt;1,MOD(BW53-1,12)=0,(BW53-1)/12&lt;=LEASE_N),1,0)</f>
        <v>0</v>
      </c>
      <c r="BX83" s="148">
        <f>IF(AND(LAND_TYPE=1,BX53&gt;1,MOD(BX53-1,12)=0,(BX53-1)/12&lt;=LEASE_N),1,0)</f>
        <v>0</v>
      </c>
      <c r="BY83" s="148">
        <f>IF(AND(LAND_TYPE=1,BY53&gt;1,MOD(BY53-1,12)=0,(BY53-1)/12&lt;=LEASE_N),1,0)</f>
        <v>1</v>
      </c>
      <c r="BZ83" s="148">
        <f>IF(AND(LAND_TYPE=1,BZ53&gt;1,MOD(BZ53-1,12)=0,(BZ53-1)/12&lt;=LEASE_N),1,0)</f>
        <v>0</v>
      </c>
      <c r="CA83" s="148">
        <f>IF(AND(LAND_TYPE=1,CA53&gt;1,MOD(CA53-1,12)=0,(CA53-1)/12&lt;=LEASE_N),1,0)</f>
        <v>0</v>
      </c>
      <c r="CB83" s="148">
        <f>IF(AND(LAND_TYPE=1,CB53&gt;1,MOD(CB53-1,12)=0,(CB53-1)/12&lt;=LEASE_N),1,0)</f>
        <v>0</v>
      </c>
      <c r="CC83" s="148">
        <f>IF(AND(LAND_TYPE=1,CC53&gt;1,MOD(CC53-1,12)=0,(CC53-1)/12&lt;=LEASE_N),1,0)</f>
        <v>0</v>
      </c>
      <c r="CD83" s="148">
        <f>IF(AND(LAND_TYPE=1,CD53&gt;1,MOD(CD53-1,12)=0,(CD53-1)/12&lt;=LEASE_N),1,0)</f>
        <v>0</v>
      </c>
      <c r="CE83" s="148">
        <f>IF(AND(LAND_TYPE=1,CE53&gt;1,MOD(CE53-1,12)=0,(CE53-1)/12&lt;=LEASE_N),1,0)</f>
        <v>0</v>
      </c>
      <c r="CF83" s="148">
        <f>IF(AND(LAND_TYPE=1,CF53&gt;1,MOD(CF53-1,12)=0,(CF53-1)/12&lt;=LEASE_N),1,0)</f>
        <v>0</v>
      </c>
      <c r="CG83" s="148">
        <f>IF(AND(LAND_TYPE=1,CG53&gt;1,MOD(CG53-1,12)=0,(CG53-1)/12&lt;=LEASE_N),1,0)</f>
        <v>0</v>
      </c>
      <c r="CH83" s="148">
        <f>IF(AND(LAND_TYPE=1,CH53&gt;1,MOD(CH53-1,12)=0,(CH53-1)/12&lt;=LEASE_N),1,0)</f>
        <v>0</v>
      </c>
      <c r="CI83" s="148">
        <f>IF(AND(LAND_TYPE=1,CI53&gt;1,MOD(CI53-1,12)=0,(CI53-1)/12&lt;=LEASE_N),1,0)</f>
        <v>0</v>
      </c>
      <c r="CJ83" s="148">
        <f>IF(AND(LAND_TYPE=1,CJ53&gt;1,MOD(CJ53-1,12)=0,(CJ53-1)/12&lt;=LEASE_N),1,0)</f>
        <v>0</v>
      </c>
      <c r="CK83" s="148">
        <f>IF(AND(LAND_TYPE=1,CK53&gt;1,MOD(CK53-1,12)=0,(CK53-1)/12&lt;=LEASE_N),1,0)</f>
        <v>1</v>
      </c>
      <c r="CL83" s="148">
        <f>IF(AND(LAND_TYPE=1,CL53&gt;1,MOD(CL53-1,12)=0,(CL53-1)/12&lt;=LEASE_N),1,0)</f>
        <v>0</v>
      </c>
      <c r="CM83" s="148">
        <f>IF(AND(LAND_TYPE=1,CM53&gt;1,MOD(CM53-1,12)=0,(CM53-1)/12&lt;=LEASE_N),1,0)</f>
        <v>0</v>
      </c>
      <c r="CN83" s="148">
        <f>IF(AND(LAND_TYPE=1,CN53&gt;1,MOD(CN53-1,12)=0,(CN53-1)/12&lt;=LEASE_N),1,0)</f>
        <v>0</v>
      </c>
      <c r="CO83" s="148">
        <f>IF(AND(LAND_TYPE=1,CO53&gt;1,MOD(CO53-1,12)=0,(CO53-1)/12&lt;=LEASE_N),1,0)</f>
        <v>0</v>
      </c>
      <c r="CP83" s="148">
        <f>IF(AND(LAND_TYPE=1,CP53&gt;1,MOD(CP53-1,12)=0,(CP53-1)/12&lt;=LEASE_N),1,0)</f>
        <v>0</v>
      </c>
      <c r="CQ83" s="148">
        <f>IF(AND(LAND_TYPE=1,CQ53&gt;1,MOD(CQ53-1,12)=0,(CQ53-1)/12&lt;=LEASE_N),1,0)</f>
        <v>0</v>
      </c>
      <c r="CR83" s="148">
        <f>IF(AND(LAND_TYPE=1,CR53&gt;1,MOD(CR53-1,12)=0,(CR53-1)/12&lt;=LEASE_N),1,0)</f>
        <v>0</v>
      </c>
      <c r="CS83" s="148">
        <f>IF(AND(LAND_TYPE=1,CS53&gt;1,MOD(CS53-1,12)=0,(CS53-1)/12&lt;=LEASE_N),1,0)</f>
        <v>0</v>
      </c>
      <c r="CT83" s="148">
        <f>IF(AND(LAND_TYPE=1,CT53&gt;1,MOD(CT53-1,12)=0,(CT53-1)/12&lt;=LEASE_N),1,0)</f>
        <v>0</v>
      </c>
      <c r="CU83" s="148">
        <f>IF(AND(LAND_TYPE=1,CU53&gt;1,MOD(CU53-1,12)=0,(CU53-1)/12&lt;=LEASE_N),1,0)</f>
        <v>0</v>
      </c>
      <c r="CV83" s="148">
        <f>IF(AND(LAND_TYPE=1,CV53&gt;1,MOD(CV53-1,12)=0,(CV53-1)/12&lt;=LEASE_N),1,0)</f>
        <v>0</v>
      </c>
      <c r="CW83" s="148">
        <f>IF(AND(LAND_TYPE=1,CW53&gt;1,MOD(CW53-1,12)=0,(CW53-1)/12&lt;=LEASE_N),1,0)</f>
        <v>1</v>
      </c>
      <c r="CX83" s="148">
        <f>IF(AND(LAND_TYPE=1,CX53&gt;1,MOD(CX53-1,12)=0,(CX53-1)/12&lt;=LEASE_N),1,0)</f>
        <v>0</v>
      </c>
      <c r="CY83" s="148">
        <f>IF(AND(LAND_TYPE=1,CY53&gt;1,MOD(CY53-1,12)=0,(CY53-1)/12&lt;=LEASE_N),1,0)</f>
        <v>0</v>
      </c>
      <c r="CZ83" s="148">
        <f>IF(AND(LAND_TYPE=1,CZ53&gt;1,MOD(CZ53-1,12)=0,(CZ53-1)/12&lt;=LEASE_N),1,0)</f>
        <v>0</v>
      </c>
      <c r="DA83" s="148">
        <f>IF(AND(LAND_TYPE=1,DA53&gt;1,MOD(DA53-1,12)=0,(DA53-1)/12&lt;=LEASE_N),1,0)</f>
        <v>0</v>
      </c>
      <c r="DB83" s="148">
        <f>IF(AND(LAND_TYPE=1,DB53&gt;1,MOD(DB53-1,12)=0,(DB53-1)/12&lt;=LEASE_N),1,0)</f>
        <v>0</v>
      </c>
      <c r="DC83" s="148">
        <f>IF(AND(LAND_TYPE=1,DC53&gt;1,MOD(DC53-1,12)=0,(DC53-1)/12&lt;=LEASE_N),1,0)</f>
        <v>0</v>
      </c>
      <c r="DD83" s="148">
        <f>IF(AND(LAND_TYPE=1,DD53&gt;1,MOD(DD53-1,12)=0,(DD53-1)/12&lt;=LEASE_N),1,0)</f>
        <v>0</v>
      </c>
      <c r="DE83" s="148">
        <f>IF(AND(LAND_TYPE=1,DE53&gt;1,MOD(DE53-1,12)=0,(DE53-1)/12&lt;=LEASE_N),1,0)</f>
        <v>0</v>
      </c>
      <c r="DF83" s="148">
        <f>IF(AND(LAND_TYPE=1,DF53&gt;1,MOD(DF53-1,12)=0,(DF53-1)/12&lt;=LEASE_N),1,0)</f>
        <v>0</v>
      </c>
      <c r="DG83" s="148">
        <f>IF(AND(LAND_TYPE=1,DG53&gt;1,MOD(DG53-1,12)=0,(DG53-1)/12&lt;=LEASE_N),1,0)</f>
        <v>0</v>
      </c>
      <c r="DH83" s="148">
        <f>IF(AND(LAND_TYPE=1,DH53&gt;1,MOD(DH53-1,12)=0,(DH53-1)/12&lt;=LEASE_N),1,0)</f>
        <v>0</v>
      </c>
      <c r="DI83" s="148">
        <f>IF(AND(LAND_TYPE=1,DI53&gt;1,MOD(DI53-1,12)=0,(DI53-1)/12&lt;=LEASE_N),1,0)</f>
        <v>1</v>
      </c>
      <c r="DJ83" s="148">
        <f>IF(AND(LAND_TYPE=1,DJ53&gt;1,MOD(DJ53-1,12)=0,(DJ53-1)/12&lt;=LEASE_N),1,0)</f>
        <v>0</v>
      </c>
      <c r="DK83" s="148">
        <f>IF(AND(LAND_TYPE=1,DK53&gt;1,MOD(DK53-1,12)=0,(DK53-1)/12&lt;=LEASE_N),1,0)</f>
        <v>0</v>
      </c>
      <c r="DL83" s="148">
        <f>IF(AND(LAND_TYPE=1,DL53&gt;1,MOD(DL53-1,12)=0,(DL53-1)/12&lt;=LEASE_N),1,0)</f>
        <v>0</v>
      </c>
      <c r="DM83" s="148">
        <f>IF(AND(LAND_TYPE=1,DM53&gt;1,MOD(DM53-1,12)=0,(DM53-1)/12&lt;=LEASE_N),1,0)</f>
        <v>0</v>
      </c>
      <c r="DN83" s="148">
        <f>IF(AND(LAND_TYPE=1,DN53&gt;1,MOD(DN53-1,12)=0,(DN53-1)/12&lt;=LEASE_N),1,0)</f>
        <v>0</v>
      </c>
      <c r="DO83" s="148">
        <f>IF(AND(LAND_TYPE=1,DO53&gt;1,MOD(DO53-1,12)=0,(DO53-1)/12&lt;=LEASE_N),1,0)</f>
        <v>0</v>
      </c>
      <c r="DP83" s="148">
        <f>IF(AND(LAND_TYPE=1,DP53&gt;1,MOD(DP53-1,12)=0,(DP53-1)/12&lt;=LEASE_N),1,0)</f>
        <v>0</v>
      </c>
      <c r="DQ83" s="148">
        <f>IF(AND(LAND_TYPE=1,DQ53&gt;1,MOD(DQ53-1,12)=0,(DQ53-1)/12&lt;=LEASE_N),1,0)</f>
        <v>0</v>
      </c>
      <c r="DR83" s="148">
        <f>IF(AND(LAND_TYPE=1,DR53&gt;1,MOD(DR53-1,12)=0,(DR53-1)/12&lt;=LEASE_N),1,0)</f>
        <v>0</v>
      </c>
      <c r="DS83" s="148">
        <f>IF(AND(LAND_TYPE=1,DS53&gt;1,MOD(DS53-1,12)=0,(DS53-1)/12&lt;=LEASE_N),1,0)</f>
        <v>0</v>
      </c>
      <c r="DT83" s="148">
        <f>IF(AND(LAND_TYPE=1,DT53&gt;1,MOD(DT53-1,12)=0,(DT53-1)/12&lt;=LEASE_N),1,0)</f>
        <v>0</v>
      </c>
      <c r="DU83" s="148">
        <f>IF(AND(LAND_TYPE=1,DU53&gt;1,MOD(DU53-1,12)=0,(DU53-1)/12&lt;=LEASE_N),1,0)</f>
        <v>1</v>
      </c>
      <c r="DV83" s="148">
        <f>IF(AND(LAND_TYPE=1,DV53&gt;1,MOD(DV53-1,12)=0,(DV53-1)/12&lt;=LEASE_N),1,0)</f>
        <v>0</v>
      </c>
      <c r="DW83" s="148">
        <f>IF(AND(LAND_TYPE=1,DW53&gt;1,MOD(DW53-1,12)=0,(DW53-1)/12&lt;=LEASE_N),1,0)</f>
        <v>0</v>
      </c>
      <c r="DX83" s="148">
        <f>IF(AND(LAND_TYPE=1,DX53&gt;1,MOD(DX53-1,12)=0,(DX53-1)/12&lt;=LEASE_N),1,0)</f>
        <v>0</v>
      </c>
      <c r="DY83" s="148">
        <f>IF(AND(LAND_TYPE=1,DY53&gt;1,MOD(DY53-1,12)=0,(DY53-1)/12&lt;=LEASE_N),1,0)</f>
        <v>0</v>
      </c>
      <c r="DZ83" s="148">
        <f>IF(AND(LAND_TYPE=1,DZ53&gt;1,MOD(DZ53-1,12)=0,(DZ53-1)/12&lt;=LEASE_N),1,0)</f>
        <v>0</v>
      </c>
      <c r="EA83" s="148">
        <f>IF(AND(LAND_TYPE=1,EA53&gt;1,MOD(EA53-1,12)=0,(EA53-1)/12&lt;=LEASE_N),1,0)</f>
        <v>0</v>
      </c>
      <c r="EB83" s="148">
        <f>IF(AND(LAND_TYPE=1,EB53&gt;1,MOD(EB53-1,12)=0,(EB53-1)/12&lt;=LEASE_N),1,0)</f>
        <v>0</v>
      </c>
      <c r="EC83" s="148">
        <f>IF(AND(LAND_TYPE=1,EC53&gt;1,MOD(EC53-1,12)=0,(EC53-1)/12&lt;=LEASE_N),1,0)</f>
        <v>0</v>
      </c>
      <c r="ED83" s="148">
        <f>IF(AND(LAND_TYPE=1,ED53&gt;1,MOD(ED53-1,12)=0,(ED53-1)/12&lt;=LEASE_N),1,0)</f>
        <v>0</v>
      </c>
      <c r="EE83" s="148">
        <f>IF(AND(LAND_TYPE=1,EE53&gt;1,MOD(EE53-1,12)=0,(EE53-1)/12&lt;=LEASE_N),1,0)</f>
        <v>0</v>
      </c>
      <c r="EF83" s="148">
        <f>IF(AND(LAND_TYPE=1,EF53&gt;1,MOD(EF53-1,12)=0,(EF53-1)/12&lt;=LEASE_N),1,0)</f>
        <v>0</v>
      </c>
      <c r="EG83" s="148">
        <f>IF(AND(LAND_TYPE=1,EG53&gt;1,MOD(EG53-1,12)=0,(EG53-1)/12&lt;=LEASE_N),1,0)</f>
        <v>1</v>
      </c>
      <c r="EH83" s="148">
        <f>IF(AND(LAND_TYPE=1,EH53&gt;1,MOD(EH53-1,12)=0,(EH53-1)/12&lt;=LEASE_N),1,0)</f>
        <v>0</v>
      </c>
      <c r="EI83" s="148">
        <f>IF(AND(LAND_TYPE=1,EI53&gt;1,MOD(EI53-1,12)=0,(EI53-1)/12&lt;=LEASE_N),1,0)</f>
        <v>0</v>
      </c>
      <c r="EJ83" s="148">
        <f>IF(AND(LAND_TYPE=1,EJ53&gt;1,MOD(EJ53-1,12)=0,(EJ53-1)/12&lt;=LEASE_N),1,0)</f>
        <v>0</v>
      </c>
      <c r="EK83" s="148">
        <f>IF(AND(LAND_TYPE=1,EK53&gt;1,MOD(EK53-1,12)=0,(EK53-1)/12&lt;=LEASE_N),1,0)</f>
        <v>0</v>
      </c>
      <c r="EL83" s="148">
        <f>IF(AND(LAND_TYPE=1,EL53&gt;1,MOD(EL53-1,12)=0,(EL53-1)/12&lt;=LEASE_N),1,0)</f>
        <v>0</v>
      </c>
      <c r="EM83" s="148">
        <f>IF(AND(LAND_TYPE=1,EM53&gt;1,MOD(EM53-1,12)=0,(EM53-1)/12&lt;=LEASE_N),1,0)</f>
        <v>0</v>
      </c>
      <c r="EN83" s="148">
        <f>IF(AND(LAND_TYPE=1,EN53&gt;1,MOD(EN53-1,12)=0,(EN53-1)/12&lt;=LEASE_N),1,0)</f>
        <v>0</v>
      </c>
      <c r="EO83" s="148">
        <f>IF(AND(LAND_TYPE=1,EO53&gt;1,MOD(EO53-1,12)=0,(EO53-1)/12&lt;=LEASE_N),1,0)</f>
        <v>0</v>
      </c>
      <c r="EP83" s="148">
        <f>IF(AND(LAND_TYPE=1,EP53&gt;1,MOD(EP53-1,12)=0,(EP53-1)/12&lt;=LEASE_N),1,0)</f>
        <v>0</v>
      </c>
      <c r="EQ83" s="148">
        <f>IF(AND(LAND_TYPE=1,EQ53&gt;1,MOD(EQ53-1,12)=0,(EQ53-1)/12&lt;=LEASE_N),1,0)</f>
        <v>0</v>
      </c>
      <c r="ER83" s="148">
        <f>IF(AND(LAND_TYPE=1,ER53&gt;1,MOD(ER53-1,12)=0,(ER53-1)/12&lt;=LEASE_N),1,0)</f>
        <v>0</v>
      </c>
      <c r="ES83" s="148">
        <f>IF(AND(LAND_TYPE=1,ES53&gt;1,MOD(ES53-1,12)=0,(ES53-1)/12&lt;=LEASE_N),1,0)</f>
        <v>1</v>
      </c>
      <c r="ET83" s="148">
        <f>IF(AND(LAND_TYPE=1,ET53&gt;1,MOD(ET53-1,12)=0,(ET53-1)/12&lt;=LEASE_N),1,0)</f>
        <v>0</v>
      </c>
      <c r="EU83" s="148">
        <f>IF(AND(LAND_TYPE=1,EU53&gt;1,MOD(EU53-1,12)=0,(EU53-1)/12&lt;=LEASE_N),1,0)</f>
        <v>0</v>
      </c>
      <c r="EV83" s="148">
        <f>IF(AND(LAND_TYPE=1,EV53&gt;1,MOD(EV53-1,12)=0,(EV53-1)/12&lt;=LEASE_N),1,0)</f>
        <v>0</v>
      </c>
      <c r="EW83" s="148">
        <f>IF(AND(LAND_TYPE=1,EW53&gt;1,MOD(EW53-1,12)=0,(EW53-1)/12&lt;=LEASE_N),1,0)</f>
        <v>0</v>
      </c>
      <c r="EX83" s="148">
        <f>IF(AND(LAND_TYPE=1,EX53&gt;1,MOD(EX53-1,12)=0,(EX53-1)/12&lt;=LEASE_N),1,0)</f>
        <v>0</v>
      </c>
      <c r="EY83" s="148">
        <f>IF(AND(LAND_TYPE=1,EY53&gt;1,MOD(EY53-1,12)=0,(EY53-1)/12&lt;=LEASE_N),1,0)</f>
        <v>0</v>
      </c>
      <c r="EZ83" s="148">
        <f>IF(AND(LAND_TYPE=1,EZ53&gt;1,MOD(EZ53-1,12)=0,(EZ53-1)/12&lt;=LEASE_N),1,0)</f>
        <v>0</v>
      </c>
      <c r="FA83" s="148">
        <f>IF(AND(LAND_TYPE=1,FA53&gt;1,MOD(FA53-1,12)=0,(FA53-1)/12&lt;=LEASE_N),1,0)</f>
        <v>0</v>
      </c>
      <c r="FB83" s="148">
        <f>IF(AND(LAND_TYPE=1,FB53&gt;1,MOD(FB53-1,12)=0,(FB53-1)/12&lt;=LEASE_N),1,0)</f>
        <v>0</v>
      </c>
      <c r="FC83" s="148">
        <f>IF(AND(LAND_TYPE=1,FC53&gt;1,MOD(FC53-1,12)=0,(FC53-1)/12&lt;=LEASE_N),1,0)</f>
        <v>0</v>
      </c>
      <c r="FD83" s="148">
        <f>IF(AND(LAND_TYPE=1,FD53&gt;1,MOD(FD53-1,12)=0,(FD53-1)/12&lt;=LEASE_N),1,0)</f>
        <v>0</v>
      </c>
      <c r="FE83" s="148">
        <f>IF(AND(LAND_TYPE=1,FE53&gt;1,MOD(FE53-1,12)=0,(FE53-1)/12&lt;=LEASE_N),1,0)</f>
        <v>1</v>
      </c>
      <c r="FF83" s="148">
        <f>IF(AND(LAND_TYPE=1,FF53&gt;1,MOD(FF53-1,12)=0,(FF53-1)/12&lt;=LEASE_N),1,0)</f>
        <v>0</v>
      </c>
      <c r="FG83" s="148">
        <f>IF(AND(LAND_TYPE=1,FG53&gt;1,MOD(FG53-1,12)=0,(FG53-1)/12&lt;=LEASE_N),1,0)</f>
        <v>0</v>
      </c>
      <c r="FH83" s="148">
        <f>IF(AND(LAND_TYPE=1,FH53&gt;1,MOD(FH53-1,12)=0,(FH53-1)/12&lt;=LEASE_N),1,0)</f>
        <v>0</v>
      </c>
      <c r="FI83" s="148">
        <f>IF(AND(LAND_TYPE=1,FI53&gt;1,MOD(FI53-1,12)=0,(FI53-1)/12&lt;=LEASE_N),1,0)</f>
        <v>0</v>
      </c>
      <c r="FJ83" s="148">
        <f>IF(AND(LAND_TYPE=1,FJ53&gt;1,MOD(FJ53-1,12)=0,(FJ53-1)/12&lt;=LEASE_N),1,0)</f>
        <v>0</v>
      </c>
      <c r="FK83" s="148">
        <f>IF(AND(LAND_TYPE=1,FK53&gt;1,MOD(FK53-1,12)=0,(FK53-1)/12&lt;=LEASE_N),1,0)</f>
        <v>0</v>
      </c>
      <c r="FL83" s="148">
        <f>IF(AND(LAND_TYPE=1,FL53&gt;1,MOD(FL53-1,12)=0,(FL53-1)/12&lt;=LEASE_N),1,0)</f>
        <v>0</v>
      </c>
      <c r="FM83" s="148">
        <f>IF(AND(LAND_TYPE=1,FM53&gt;1,MOD(FM53-1,12)=0,(FM53-1)/12&lt;=LEASE_N),1,0)</f>
        <v>0</v>
      </c>
      <c r="FN83" s="148">
        <f>IF(AND(LAND_TYPE=1,FN53&gt;1,MOD(FN53-1,12)=0,(FN53-1)/12&lt;=LEASE_N),1,0)</f>
        <v>0</v>
      </c>
      <c r="FO83" s="148">
        <f>IF(AND(LAND_TYPE=1,FO53&gt;1,MOD(FO53-1,12)=0,(FO53-1)/12&lt;=LEASE_N),1,0)</f>
        <v>0</v>
      </c>
      <c r="FP83" s="148">
        <f>IF(AND(LAND_TYPE=1,FP53&gt;1,MOD(FP53-1,12)=0,(FP53-1)/12&lt;=LEASE_N),1,0)</f>
        <v>0</v>
      </c>
      <c r="FQ83" s="148">
        <f>IF(AND(LAND_TYPE=1,FQ53&gt;1,MOD(FQ53-1,12)=0,(FQ53-1)/12&lt;=LEASE_N),1,0)</f>
        <v>1</v>
      </c>
      <c r="FR83" s="148">
        <f>IF(AND(LAND_TYPE=1,FR53&gt;1,MOD(FR53-1,12)=0,(FR53-1)/12&lt;=LEASE_N),1,0)</f>
        <v>0</v>
      </c>
      <c r="FS83" s="148">
        <f>IF(AND(LAND_TYPE=1,FS53&gt;1,MOD(FS53-1,12)=0,(FS53-1)/12&lt;=LEASE_N),1,0)</f>
        <v>0</v>
      </c>
      <c r="FT83" s="148">
        <f>IF(AND(LAND_TYPE=1,FT53&gt;1,MOD(FT53-1,12)=0,(FT53-1)/12&lt;=LEASE_N),1,0)</f>
        <v>0</v>
      </c>
      <c r="FU83" s="148">
        <f>IF(AND(LAND_TYPE=1,FU53&gt;1,MOD(FU53-1,12)=0,(FU53-1)/12&lt;=LEASE_N),1,0)</f>
        <v>0</v>
      </c>
      <c r="FV83" s="148">
        <f>IF(AND(LAND_TYPE=1,FV53&gt;1,MOD(FV53-1,12)=0,(FV53-1)/12&lt;=LEASE_N),1,0)</f>
        <v>0</v>
      </c>
      <c r="FW83" s="148">
        <f>IF(AND(LAND_TYPE=1,FW53&gt;1,MOD(FW53-1,12)=0,(FW53-1)/12&lt;=LEASE_N),1,0)</f>
        <v>0</v>
      </c>
      <c r="FX83" s="148">
        <f>IF(AND(LAND_TYPE=1,FX53&gt;1,MOD(FX53-1,12)=0,(FX53-1)/12&lt;=LEASE_N),1,0)</f>
        <v>0</v>
      </c>
      <c r="FY83" s="148">
        <f>IF(AND(LAND_TYPE=1,FY53&gt;1,MOD(FY53-1,12)=0,(FY53-1)/12&lt;=LEASE_N),1,0)</f>
        <v>0</v>
      </c>
      <c r="FZ83" s="148">
        <f>IF(AND(LAND_TYPE=1,FZ53&gt;1,MOD(FZ53-1,12)=0,(FZ53-1)/12&lt;=LEASE_N),1,0)</f>
        <v>0</v>
      </c>
      <c r="GA83" s="148">
        <f>IF(AND(LAND_TYPE=1,GA53&gt;1,MOD(GA53-1,12)=0,(GA53-1)/12&lt;=LEASE_N),1,0)</f>
        <v>0</v>
      </c>
      <c r="GB83" s="148">
        <f>IF(AND(LAND_TYPE=1,GB53&gt;1,MOD(GB53-1,12)=0,(GB53-1)/12&lt;=LEASE_N),1,0)</f>
        <v>0</v>
      </c>
      <c r="GC83" s="148">
        <f>IF(AND(LAND_TYPE=1,GC53&gt;1,MOD(GC53-1,12)=0,(GC53-1)/12&lt;=LEASE_N),1,0)</f>
        <v>1</v>
      </c>
      <c r="GD83" s="148">
        <f>IF(AND(LAND_TYPE=1,GD53&gt;1,MOD(GD53-1,12)=0,(GD53-1)/12&lt;=LEASE_N),1,0)</f>
        <v>0</v>
      </c>
      <c r="GE83" s="148">
        <f>IF(AND(LAND_TYPE=1,GE53&gt;1,MOD(GE53-1,12)=0,(GE53-1)/12&lt;=LEASE_N),1,0)</f>
        <v>0</v>
      </c>
      <c r="GF83" s="148">
        <f>IF(AND(LAND_TYPE=1,GF53&gt;1,MOD(GF53-1,12)=0,(GF53-1)/12&lt;=LEASE_N),1,0)</f>
        <v>0</v>
      </c>
      <c r="GG83" s="148">
        <f>IF(AND(LAND_TYPE=1,GG53&gt;1,MOD(GG53-1,12)=0,(GG53-1)/12&lt;=LEASE_N),1,0)</f>
        <v>0</v>
      </c>
      <c r="GH83" s="148">
        <f>IF(AND(LAND_TYPE=1,GH53&gt;1,MOD(GH53-1,12)=0,(GH53-1)/12&lt;=LEASE_N),1,0)</f>
        <v>0</v>
      </c>
      <c r="GI83" s="148">
        <f>IF(AND(LAND_TYPE=1,GI53&gt;1,MOD(GI53-1,12)=0,(GI53-1)/12&lt;=LEASE_N),1,0)</f>
        <v>0</v>
      </c>
      <c r="GJ83" s="148">
        <f>IF(AND(LAND_TYPE=1,GJ53&gt;1,MOD(GJ53-1,12)=0,(GJ53-1)/12&lt;=LEASE_N),1,0)</f>
        <v>0</v>
      </c>
      <c r="GK83" s="148">
        <f>IF(AND(LAND_TYPE=1,GK53&gt;1,MOD(GK53-1,12)=0,(GK53-1)/12&lt;=LEASE_N),1,0)</f>
        <v>0</v>
      </c>
      <c r="GL83" s="148">
        <f>IF(AND(LAND_TYPE=1,GL53&gt;1,MOD(GL53-1,12)=0,(GL53-1)/12&lt;=LEASE_N),1,0)</f>
        <v>0</v>
      </c>
      <c r="GM83" s="148">
        <f>IF(AND(LAND_TYPE=1,GM53&gt;1,MOD(GM53-1,12)=0,(GM53-1)/12&lt;=LEASE_N),1,0)</f>
        <v>0</v>
      </c>
      <c r="GN83" s="148">
        <f>IF(AND(LAND_TYPE=1,GN53&gt;1,MOD(GN53-1,12)=0,(GN53-1)/12&lt;=LEASE_N),1,0)</f>
        <v>0</v>
      </c>
      <c r="GO83" s="148">
        <f>IF(AND(LAND_TYPE=1,GO53&gt;1,MOD(GO53-1,12)=0,(GO53-1)/12&lt;=LEASE_N),1,0)</f>
        <v>1</v>
      </c>
      <c r="GP83" s="148">
        <f>IF(AND(LAND_TYPE=1,GP53&gt;1,MOD(GP53-1,12)=0,(GP53-1)/12&lt;=LEASE_N),1,0)</f>
        <v>0</v>
      </c>
      <c r="GQ83" s="148">
        <f>IF(AND(LAND_TYPE=1,GQ53&gt;1,MOD(GQ53-1,12)=0,(GQ53-1)/12&lt;=LEASE_N),1,0)</f>
        <v>0</v>
      </c>
      <c r="GR83" s="148">
        <f>IF(AND(LAND_TYPE=1,GR53&gt;1,MOD(GR53-1,12)=0,(GR53-1)/12&lt;=LEASE_N),1,0)</f>
        <v>0</v>
      </c>
      <c r="GS83" s="148">
        <f>IF(AND(LAND_TYPE=1,GS53&gt;1,MOD(GS53-1,12)=0,(GS53-1)/12&lt;=LEASE_N),1,0)</f>
        <v>0</v>
      </c>
      <c r="GT83" s="148">
        <f>IF(AND(LAND_TYPE=1,GT53&gt;1,MOD(GT53-1,12)=0,(GT53-1)/12&lt;=LEASE_N),1,0)</f>
        <v>0</v>
      </c>
      <c r="GU83" s="148">
        <f>IF(AND(LAND_TYPE=1,GU53&gt;1,MOD(GU53-1,12)=0,(GU53-1)/12&lt;=LEASE_N),1,0)</f>
        <v>0</v>
      </c>
      <c r="GV83" s="148">
        <f>IF(AND(LAND_TYPE=1,GV53&gt;1,MOD(GV53-1,12)=0,(GV53-1)/12&lt;=LEASE_N),1,0)</f>
        <v>0</v>
      </c>
      <c r="GW83" s="148">
        <f>IF(AND(LAND_TYPE=1,GW53&gt;1,MOD(GW53-1,12)=0,(GW53-1)/12&lt;=LEASE_N),1,0)</f>
        <v>0</v>
      </c>
      <c r="GX83" s="148">
        <f>IF(AND(LAND_TYPE=1,GX53&gt;1,MOD(GX53-1,12)=0,(GX53-1)/12&lt;=LEASE_N),1,0)</f>
        <v>0</v>
      </c>
      <c r="GY83" s="148">
        <f>IF(AND(LAND_TYPE=1,GY53&gt;1,MOD(GY53-1,12)=0,(GY53-1)/12&lt;=LEASE_N),1,0)</f>
        <v>0</v>
      </c>
      <c r="GZ83" s="148">
        <f>IF(AND(LAND_TYPE=1,GZ53&gt;1,MOD(GZ53-1,12)=0,(GZ53-1)/12&lt;=LEASE_N),1,0)</f>
        <v>0</v>
      </c>
      <c r="HA83" s="148">
        <f>IF(AND(LAND_TYPE=1,HA53&gt;1,MOD(HA53-1,12)=0,(HA53-1)/12&lt;=LEASE_N),1,0)</f>
        <v>1</v>
      </c>
      <c r="HB83" s="148">
        <f>IF(AND(LAND_TYPE=1,HB53&gt;1,MOD(HB53-1,12)=0,(HB53-1)/12&lt;=LEASE_N),1,0)</f>
        <v>0</v>
      </c>
      <c r="HC83" s="148">
        <f>IF(AND(LAND_TYPE=1,HC53&gt;1,MOD(HC53-1,12)=0,(HC53-1)/12&lt;=LEASE_N),1,0)</f>
        <v>0</v>
      </c>
      <c r="HD83" s="148">
        <f>IF(AND(LAND_TYPE=1,HD53&gt;1,MOD(HD53-1,12)=0,(HD53-1)/12&lt;=LEASE_N),1,0)</f>
        <v>0</v>
      </c>
      <c r="HE83" s="148">
        <f>IF(AND(LAND_TYPE=1,HE53&gt;1,MOD(HE53-1,12)=0,(HE53-1)/12&lt;=LEASE_N),1,0)</f>
        <v>0</v>
      </c>
      <c r="HF83" s="148">
        <f>IF(AND(LAND_TYPE=1,HF53&gt;1,MOD(HF53-1,12)=0,(HF53-1)/12&lt;=LEASE_N),1,0)</f>
        <v>0</v>
      </c>
      <c r="HG83" s="148">
        <f>IF(AND(LAND_TYPE=1,HG53&gt;1,MOD(HG53-1,12)=0,(HG53-1)/12&lt;=LEASE_N),1,0)</f>
        <v>0</v>
      </c>
      <c r="HH83" s="148">
        <f>IF(AND(LAND_TYPE=1,HH53&gt;1,MOD(HH53-1,12)=0,(HH53-1)/12&lt;=LEASE_N),1,0)</f>
        <v>0</v>
      </c>
      <c r="HI83" s="148">
        <f>IF(AND(LAND_TYPE=1,HI53&gt;1,MOD(HI53-1,12)=0,(HI53-1)/12&lt;=LEASE_N),1,0)</f>
        <v>0</v>
      </c>
      <c r="HJ83" s="148">
        <f>IF(AND(LAND_TYPE=1,HJ53&gt;1,MOD(HJ53-1,12)=0,(HJ53-1)/12&lt;=LEASE_N),1,0)</f>
        <v>0</v>
      </c>
      <c r="HK83" s="148">
        <f>IF(AND(LAND_TYPE=1,HK53&gt;1,MOD(HK53-1,12)=0,(HK53-1)/12&lt;=LEASE_N),1,0)</f>
        <v>0</v>
      </c>
      <c r="HL83" s="148">
        <f>IF(AND(LAND_TYPE=1,HL53&gt;1,MOD(HL53-1,12)=0,(HL53-1)/12&lt;=LEASE_N),1,0)</f>
        <v>0</v>
      </c>
      <c r="HM83" s="148">
        <f>IF(AND(LAND_TYPE=1,HM53&gt;1,MOD(HM53-1,12)=0,(HM53-1)/12&lt;=LEASE_N),1,0)</f>
        <v>1</v>
      </c>
      <c r="HN83" s="148">
        <f>IF(AND(LAND_TYPE=1,HN53&gt;1,MOD(HN53-1,12)=0,(HN53-1)/12&lt;=LEASE_N),1,0)</f>
        <v>0</v>
      </c>
      <c r="HO83" s="148">
        <f>IF(AND(LAND_TYPE=1,HO53&gt;1,MOD(HO53-1,12)=0,(HO53-1)/12&lt;=LEASE_N),1,0)</f>
        <v>0</v>
      </c>
      <c r="HP83" s="148">
        <f>IF(AND(LAND_TYPE=1,HP53&gt;1,MOD(HP53-1,12)=0,(HP53-1)/12&lt;=LEASE_N),1,0)</f>
        <v>0</v>
      </c>
      <c r="HQ83" s="148">
        <f>IF(AND(LAND_TYPE=1,HQ53&gt;1,MOD(HQ53-1,12)=0,(HQ53-1)/12&lt;=LEASE_N),1,0)</f>
        <v>0</v>
      </c>
      <c r="HR83" s="148">
        <f>IF(AND(LAND_TYPE=1,HR53&gt;1,MOD(HR53-1,12)=0,(HR53-1)/12&lt;=LEASE_N),1,0)</f>
        <v>0</v>
      </c>
      <c r="HS83" s="148">
        <f>IF(AND(LAND_TYPE=1,HS53&gt;1,MOD(HS53-1,12)=0,(HS53-1)/12&lt;=LEASE_N),1,0)</f>
        <v>0</v>
      </c>
      <c r="HT83" s="148">
        <f>IF(AND(LAND_TYPE=1,HT53&gt;1,MOD(HT53-1,12)=0,(HT53-1)/12&lt;=LEASE_N),1,0)</f>
        <v>0</v>
      </c>
      <c r="HU83" s="148">
        <f>IF(AND(LAND_TYPE=1,HU53&gt;1,MOD(HU53-1,12)=0,(HU53-1)/12&lt;=LEASE_N),1,0)</f>
        <v>0</v>
      </c>
      <c r="HV83" s="148">
        <f>IF(AND(LAND_TYPE=1,HV53&gt;1,MOD(HV53-1,12)=0,(HV53-1)/12&lt;=LEASE_N),1,0)</f>
        <v>0</v>
      </c>
      <c r="HW83" s="148">
        <f>IF(AND(LAND_TYPE=1,HW53&gt;1,MOD(HW53-1,12)=0,(HW53-1)/12&lt;=LEASE_N),1,0)</f>
        <v>0</v>
      </c>
      <c r="HX83" s="148">
        <f>IF(AND(LAND_TYPE=1,HX53&gt;1,MOD(HX53-1,12)=0,(HX53-1)/12&lt;=LEASE_N),1,0)</f>
        <v>0</v>
      </c>
      <c r="HY83" s="148">
        <f>IF(AND(LAND_TYPE=1,HY53&gt;1,MOD(HY53-1,12)=0,(HY53-1)/12&lt;=LEASE_N),1,0)</f>
        <v>1</v>
      </c>
      <c r="HZ83" s="148">
        <f>IF(AND(LAND_TYPE=1,HZ53&gt;1,MOD(HZ53-1,12)=0,(HZ53-1)/12&lt;=LEASE_N),1,0)</f>
        <v>0</v>
      </c>
      <c r="IA83" s="148">
        <f>IF(AND(LAND_TYPE=1,IA53&gt;1,MOD(IA53-1,12)=0,(IA53-1)/12&lt;=LEASE_N),1,0)</f>
        <v>0</v>
      </c>
      <c r="IB83" s="148">
        <f>IF(AND(LAND_TYPE=1,IB53&gt;1,MOD(IB53-1,12)=0,(IB53-1)/12&lt;=LEASE_N),1,0)</f>
        <v>0</v>
      </c>
      <c r="IC83" s="148">
        <f>IF(AND(LAND_TYPE=1,IC53&gt;1,MOD(IC53-1,12)=0,(IC53-1)/12&lt;=LEASE_N),1,0)</f>
        <v>0</v>
      </c>
      <c r="ID83" s="148">
        <f>IF(AND(LAND_TYPE=1,ID53&gt;1,MOD(ID53-1,12)=0,(ID53-1)/12&lt;=LEASE_N),1,0)</f>
        <v>0</v>
      </c>
      <c r="IE83" s="148">
        <f>IF(AND(LAND_TYPE=1,IE53&gt;1,MOD(IE53-1,12)=0,(IE53-1)/12&lt;=LEASE_N),1,0)</f>
        <v>0</v>
      </c>
      <c r="IF83" s="148">
        <f>IF(AND(LAND_TYPE=1,IF53&gt;1,MOD(IF53-1,12)=0,(IF53-1)/12&lt;=LEASE_N),1,0)</f>
        <v>0</v>
      </c>
      <c r="IG83" s="148">
        <f>IF(AND(LAND_TYPE=1,IG53&gt;1,MOD(IG53-1,12)=0,(IG53-1)/12&lt;=LEASE_N),1,0)</f>
        <v>0</v>
      </c>
      <c r="IH83" s="148">
        <f>IF(AND(LAND_TYPE=1,IH53&gt;1,MOD(IH53-1,12)=0,(IH53-1)/12&lt;=LEASE_N),1,0)</f>
        <v>0</v>
      </c>
      <c r="II83" s="148">
        <f>IF(AND(LAND_TYPE=1,II53&gt;1,MOD(II53-1,12)=0,(II53-1)/12&lt;=LEASE_N),1,0)</f>
        <v>0</v>
      </c>
      <c r="IJ83" s="148">
        <f>IF(AND(LAND_TYPE=1,IJ53&gt;1,MOD(IJ53-1,12)=0,(IJ53-1)/12&lt;=LEASE_N),1,0)</f>
        <v>0</v>
      </c>
      <c r="IK83" s="148">
        <f>IF(AND(LAND_TYPE=1,IK53&gt;1,MOD(IK53-1,12)=0,(IK53-1)/12&lt;=LEASE_N),1,0)</f>
        <v>1</v>
      </c>
      <c r="IL83" s="148">
        <f>IF(AND(LAND_TYPE=1,IL53&gt;1,MOD(IL53-1,12)=0,(IL53-1)/12&lt;=LEASE_N),1,0)</f>
        <v>0</v>
      </c>
      <c r="IM83" s="148">
        <f>IF(AND(LAND_TYPE=1,IM53&gt;1,MOD(IM53-1,12)=0,(IM53-1)/12&lt;=LEASE_N),1,0)</f>
        <v>0</v>
      </c>
      <c r="IN83" s="148">
        <f>IF(AND(LAND_TYPE=1,IN53&gt;1,MOD(IN53-1,12)=0,(IN53-1)/12&lt;=LEASE_N),1,0)</f>
        <v>0</v>
      </c>
      <c r="IO83" s="148">
        <f>IF(AND(LAND_TYPE=1,IO53&gt;1,MOD(IO53-1,12)=0,(IO53-1)/12&lt;=LEASE_N),1,0)</f>
        <v>0</v>
      </c>
      <c r="IP83" s="148">
        <f>IF(AND(LAND_TYPE=1,IP53&gt;1,MOD(IP53-1,12)=0,(IP53-1)/12&lt;=LEASE_N),1,0)</f>
        <v>0</v>
      </c>
      <c r="IQ83" s="148">
        <f>IF(AND(LAND_TYPE=1,IQ53&gt;1,MOD(IQ53-1,12)=0,(IQ53-1)/12&lt;=LEASE_N),1,0)</f>
        <v>0</v>
      </c>
      <c r="IR83" s="148">
        <f>IF(AND(LAND_TYPE=1,IR53&gt;1,MOD(IR53-1,12)=0,(IR53-1)/12&lt;=LEASE_N),1,0)</f>
        <v>0</v>
      </c>
      <c r="IS83" s="148">
        <f>IF(AND(LAND_TYPE=1,IS53&gt;1,MOD(IS53-1,12)=0,(IS53-1)/12&lt;=LEASE_N),1,0)</f>
        <v>0</v>
      </c>
      <c r="IT83" s="148">
        <f>IF(AND(LAND_TYPE=1,IT53&gt;1,MOD(IT53-1,12)=0,(IT53-1)/12&lt;=LEASE_N),1,0)</f>
        <v>0</v>
      </c>
      <c r="IU83" s="148">
        <f>IF(AND(LAND_TYPE=1,IU53&gt;1,MOD(IU53-1,12)=0,(IU53-1)/12&lt;=LEASE_N),1,0)</f>
        <v>0</v>
      </c>
      <c r="IV83" s="148">
        <f>IF(AND(LAND_TYPE=1,IV53&gt;1,MOD(IV53-1,12)=0,(IV53-1)/12&lt;=LEASE_N),1,0)</f>
        <v>0</v>
      </c>
      <c r="IW83" s="148">
        <f>IF(AND(LAND_TYPE=1,IW53&gt;1,MOD(IW53-1,12)=0,(IW53-1)/12&lt;=LEASE_N),1,0)</f>
        <v>1</v>
      </c>
      <c r="IX83" s="148">
        <f>IF(AND(LAND_TYPE=1,IX53&gt;1,MOD(IX53-1,12)=0,(IX53-1)/12&lt;=LEASE_N),1,0)</f>
        <v>0</v>
      </c>
      <c r="IY83" s="148">
        <f>IF(AND(LAND_TYPE=1,IY53&gt;1,MOD(IY53-1,12)=0,(IY53-1)/12&lt;=LEASE_N),1,0)</f>
        <v>0</v>
      </c>
      <c r="IZ83" s="148">
        <f>IF(AND(LAND_TYPE=1,IZ53&gt;1,MOD(IZ53-1,12)=0,(IZ53-1)/12&lt;=LEASE_N),1,0)</f>
        <v>0</v>
      </c>
      <c r="JA83" s="148">
        <f>IF(AND(LAND_TYPE=1,JA53&gt;1,MOD(JA53-1,12)=0,(JA53-1)/12&lt;=LEASE_N),1,0)</f>
        <v>0</v>
      </c>
      <c r="JB83" s="148">
        <f>IF(AND(LAND_TYPE=1,JB53&gt;1,MOD(JB53-1,12)=0,(JB53-1)/12&lt;=LEASE_N),1,0)</f>
        <v>0</v>
      </c>
      <c r="JC83" s="148">
        <f>IF(AND(LAND_TYPE=1,JC53&gt;1,MOD(JC53-1,12)=0,(JC53-1)/12&lt;=LEASE_N),1,0)</f>
        <v>0</v>
      </c>
      <c r="JD83" s="148">
        <f>IF(AND(LAND_TYPE=1,JD53&gt;1,MOD(JD53-1,12)=0,(JD53-1)/12&lt;=LEASE_N),1,0)</f>
        <v>0</v>
      </c>
      <c r="JE83" s="148">
        <f>IF(AND(LAND_TYPE=1,JE53&gt;1,MOD(JE53-1,12)=0,(JE53-1)/12&lt;=LEASE_N),1,0)</f>
        <v>0</v>
      </c>
      <c r="JF83" s="148">
        <f>IF(AND(LAND_TYPE=1,JF53&gt;1,MOD(JF53-1,12)=0,(JF53-1)/12&lt;=LEASE_N),1,0)</f>
        <v>0</v>
      </c>
      <c r="JG83" s="148">
        <f>IF(AND(LAND_TYPE=1,JG53&gt;1,MOD(JG53-1,12)=0,(JG53-1)/12&lt;=LEASE_N),1,0)</f>
        <v>0</v>
      </c>
      <c r="JH83" s="148">
        <f>IF(AND(LAND_TYPE=1,JH53&gt;1,MOD(JH53-1,12)=0,(JH53-1)/12&lt;=LEASE_N),1,0)</f>
        <v>0</v>
      </c>
      <c r="JI83" s="148">
        <f>IF(AND(LAND_TYPE=1,JI53&gt;1,MOD(JI53-1,12)=0,(JI53-1)/12&lt;=LEASE_N),1,0)</f>
        <v>1</v>
      </c>
      <c r="JJ83" s="148">
        <f>IF(AND(LAND_TYPE=1,JJ53&gt;1,MOD(JJ53-1,12)=0,(JJ53-1)/12&lt;=LEASE_N),1,0)</f>
        <v>0</v>
      </c>
      <c r="JK83" s="148">
        <f>IF(AND(LAND_TYPE=1,JK53&gt;1,MOD(JK53-1,12)=0,(JK53-1)/12&lt;=LEASE_N),1,0)</f>
        <v>0</v>
      </c>
      <c r="JL83" s="148">
        <f>IF(AND(LAND_TYPE=1,JL53&gt;1,MOD(JL53-1,12)=0,(JL53-1)/12&lt;=LEASE_N),1,0)</f>
        <v>0</v>
      </c>
      <c r="JM83" s="148">
        <f>IF(AND(LAND_TYPE=1,JM53&gt;1,MOD(JM53-1,12)=0,(JM53-1)/12&lt;=LEASE_N),1,0)</f>
        <v>0</v>
      </c>
      <c r="JN83" s="148">
        <f>IF(AND(LAND_TYPE=1,JN53&gt;1,MOD(JN53-1,12)=0,(JN53-1)/12&lt;=LEASE_N),1,0)</f>
        <v>0</v>
      </c>
      <c r="JO83" s="148">
        <f>IF(AND(LAND_TYPE=1,JO53&gt;1,MOD(JO53-1,12)=0,(JO53-1)/12&lt;=LEASE_N),1,0)</f>
        <v>0</v>
      </c>
      <c r="JP83" s="148">
        <f>IF(AND(LAND_TYPE=1,JP53&gt;1,MOD(JP53-1,12)=0,(JP53-1)/12&lt;=LEASE_N),1,0)</f>
        <v>0</v>
      </c>
      <c r="JQ83" s="148">
        <f>IF(AND(LAND_TYPE=1,JQ53&gt;1,MOD(JQ53-1,12)=0,(JQ53-1)/12&lt;=LEASE_N),1,0)</f>
        <v>0</v>
      </c>
      <c r="JR83" s="148">
        <f>IF(AND(LAND_TYPE=1,JR53&gt;1,MOD(JR53-1,12)=0,(JR53-1)/12&lt;=LEASE_N),1,0)</f>
        <v>0</v>
      </c>
      <c r="JS83" s="148">
        <f>IF(AND(LAND_TYPE=1,JS53&gt;1,MOD(JS53-1,12)=0,(JS53-1)/12&lt;=LEASE_N),1,0)</f>
        <v>0</v>
      </c>
      <c r="JT83" s="148">
        <f>IF(AND(LAND_TYPE=1,JT53&gt;1,MOD(JT53-1,12)=0,(JT53-1)/12&lt;=LEASE_N),1,0)</f>
        <v>0</v>
      </c>
      <c r="JU83" s="148">
        <f>IF(AND(LAND_TYPE=1,JU53&gt;1,MOD(JU53-1,12)=0,(JU53-1)/12&lt;=LEASE_N),1,0)</f>
        <v>1</v>
      </c>
      <c r="JV83" s="148">
        <f>IF(AND(LAND_TYPE=1,JV53&gt;1,MOD(JV53-1,12)=0,(JV53-1)/12&lt;=LEASE_N),1,0)</f>
        <v>0</v>
      </c>
      <c r="JW83" s="148">
        <f>IF(AND(LAND_TYPE=1,JW53&gt;1,MOD(JW53-1,12)=0,(JW53-1)/12&lt;=LEASE_N),1,0)</f>
        <v>0</v>
      </c>
      <c r="JX83" s="148">
        <f>IF(AND(LAND_TYPE=1,JX53&gt;1,MOD(JX53-1,12)=0,(JX53-1)/12&lt;=LEASE_N),1,0)</f>
        <v>0</v>
      </c>
      <c r="JY83" s="148">
        <f>IF(AND(LAND_TYPE=1,JY53&gt;1,MOD(JY53-1,12)=0,(JY53-1)/12&lt;=LEASE_N),1,0)</f>
        <v>0</v>
      </c>
      <c r="JZ83" s="148">
        <f>IF(AND(LAND_TYPE=1,JZ53&gt;1,MOD(JZ53-1,12)=0,(JZ53-1)/12&lt;=LEASE_N),1,0)</f>
        <v>0</v>
      </c>
      <c r="KA83" s="148">
        <f>IF(AND(LAND_TYPE=1,KA53&gt;1,MOD(KA53-1,12)=0,(KA53-1)/12&lt;=LEASE_N),1,0)</f>
        <v>0</v>
      </c>
      <c r="KB83" s="148">
        <f>IF(AND(LAND_TYPE=1,KB53&gt;1,MOD(KB53-1,12)=0,(KB53-1)/12&lt;=LEASE_N),1,0)</f>
        <v>0</v>
      </c>
      <c r="KC83" s="148">
        <f>IF(AND(LAND_TYPE=1,KC53&gt;1,MOD(KC53-1,12)=0,(KC53-1)/12&lt;=LEASE_N),1,0)</f>
        <v>0</v>
      </c>
      <c r="KD83" s="148">
        <f>IF(AND(LAND_TYPE=1,KD53&gt;1,MOD(KD53-1,12)=0,(KD53-1)/12&lt;=LEASE_N),1,0)</f>
        <v>0</v>
      </c>
      <c r="KE83" s="148">
        <f>IF(AND(LAND_TYPE=1,KE53&gt;1,MOD(KE53-1,12)=0,(KE53-1)/12&lt;=LEASE_N),1,0)</f>
        <v>0</v>
      </c>
      <c r="KF83" s="148">
        <f>IF(AND(LAND_TYPE=1,KF53&gt;1,MOD(KF53-1,12)=0,(KF53-1)/12&lt;=LEASE_N),1,0)</f>
        <v>0</v>
      </c>
    </row>
    <row r="84">
      <c r="B84" s="36" t="inlineStr">
        <is>
          <t>Lease instalment (principal)</t>
        </is>
      </c>
      <c r="C84" s="117" t="inlineStr">
        <is>
          <t>ETB</t>
        </is>
      </c>
      <c r="D84" s="169">
        <f>SUM(E84:KF84)</f>
        <v>103500000</v>
      </c>
      <c r="E84" s="173">
        <f>E83*MIN(E82,LEASE_INST)</f>
        <v>0</v>
      </c>
      <c r="F84" s="173">
        <f>F83*MIN(F82,LEASE_INST)</f>
        <v>0</v>
      </c>
      <c r="G84" s="173">
        <f>G83*MIN(G82,LEASE_INST)</f>
        <v>0</v>
      </c>
      <c r="H84" s="173">
        <f>H83*MIN(H82,LEASE_INST)</f>
        <v>0</v>
      </c>
      <c r="I84" s="173">
        <f>I83*MIN(I82,LEASE_INST)</f>
        <v>0</v>
      </c>
      <c r="J84" s="173">
        <f>J83*MIN(J82,LEASE_INST)</f>
        <v>0</v>
      </c>
      <c r="K84" s="173">
        <f>K83*MIN(K82,LEASE_INST)</f>
        <v>0</v>
      </c>
      <c r="L84" s="173">
        <f>L83*MIN(L82,LEASE_INST)</f>
        <v>0</v>
      </c>
      <c r="M84" s="173">
        <f>M83*MIN(M82,LEASE_INST)</f>
        <v>0</v>
      </c>
      <c r="N84" s="173">
        <f>N83*MIN(N82,LEASE_INST)</f>
        <v>0</v>
      </c>
      <c r="O84" s="173">
        <f>O83*MIN(O82,LEASE_INST)</f>
        <v>0</v>
      </c>
      <c r="P84" s="173">
        <f>P83*MIN(P82,LEASE_INST)</f>
        <v>0</v>
      </c>
      <c r="Q84" s="173">
        <f>Q83*MIN(Q82,LEASE_INST)</f>
        <v>4500000</v>
      </c>
      <c r="R84" s="173">
        <f>R83*MIN(R82,LEASE_INST)</f>
        <v>0</v>
      </c>
      <c r="S84" s="173">
        <f>S83*MIN(S82,LEASE_INST)</f>
        <v>0</v>
      </c>
      <c r="T84" s="173">
        <f>T83*MIN(T82,LEASE_INST)</f>
        <v>0</v>
      </c>
      <c r="U84" s="173">
        <f>U83*MIN(U82,LEASE_INST)</f>
        <v>0</v>
      </c>
      <c r="V84" s="173">
        <f>V83*MIN(V82,LEASE_INST)</f>
        <v>0</v>
      </c>
      <c r="W84" s="173">
        <f>W83*MIN(W82,LEASE_INST)</f>
        <v>0</v>
      </c>
      <c r="X84" s="173">
        <f>X83*MIN(X82,LEASE_INST)</f>
        <v>0</v>
      </c>
      <c r="Y84" s="173">
        <f>Y83*MIN(Y82,LEASE_INST)</f>
        <v>0</v>
      </c>
      <c r="Z84" s="173">
        <f>Z83*MIN(Z82,LEASE_INST)</f>
        <v>0</v>
      </c>
      <c r="AA84" s="173">
        <f>AA83*MIN(AA82,LEASE_INST)</f>
        <v>0</v>
      </c>
      <c r="AB84" s="173">
        <f>AB83*MIN(AB82,LEASE_INST)</f>
        <v>0</v>
      </c>
      <c r="AC84" s="173">
        <f>AC83*MIN(AC82,LEASE_INST)</f>
        <v>4500000</v>
      </c>
      <c r="AD84" s="173">
        <f>AD83*MIN(AD82,LEASE_INST)</f>
        <v>0</v>
      </c>
      <c r="AE84" s="173">
        <f>AE83*MIN(AE82,LEASE_INST)</f>
        <v>0</v>
      </c>
      <c r="AF84" s="173">
        <f>AF83*MIN(AF82,LEASE_INST)</f>
        <v>0</v>
      </c>
      <c r="AG84" s="173">
        <f>AG83*MIN(AG82,LEASE_INST)</f>
        <v>0</v>
      </c>
      <c r="AH84" s="173">
        <f>AH83*MIN(AH82,LEASE_INST)</f>
        <v>0</v>
      </c>
      <c r="AI84" s="173">
        <f>AI83*MIN(AI82,LEASE_INST)</f>
        <v>0</v>
      </c>
      <c r="AJ84" s="173">
        <f>AJ83*MIN(AJ82,LEASE_INST)</f>
        <v>0</v>
      </c>
      <c r="AK84" s="173">
        <f>AK83*MIN(AK82,LEASE_INST)</f>
        <v>0</v>
      </c>
      <c r="AL84" s="173">
        <f>AL83*MIN(AL82,LEASE_INST)</f>
        <v>0</v>
      </c>
      <c r="AM84" s="173">
        <f>AM83*MIN(AM82,LEASE_INST)</f>
        <v>0</v>
      </c>
      <c r="AN84" s="173">
        <f>AN83*MIN(AN82,LEASE_INST)</f>
        <v>0</v>
      </c>
      <c r="AO84" s="173">
        <f>AO83*MIN(AO82,LEASE_INST)</f>
        <v>4500000</v>
      </c>
      <c r="AP84" s="173">
        <f>AP83*MIN(AP82,LEASE_INST)</f>
        <v>0</v>
      </c>
      <c r="AQ84" s="173">
        <f>AQ83*MIN(AQ82,LEASE_INST)</f>
        <v>0</v>
      </c>
      <c r="AR84" s="173">
        <f>AR83*MIN(AR82,LEASE_INST)</f>
        <v>0</v>
      </c>
      <c r="AS84" s="173">
        <f>AS83*MIN(AS82,LEASE_INST)</f>
        <v>0</v>
      </c>
      <c r="AT84" s="173">
        <f>AT83*MIN(AT82,LEASE_INST)</f>
        <v>0</v>
      </c>
      <c r="AU84" s="173">
        <f>AU83*MIN(AU82,LEASE_INST)</f>
        <v>0</v>
      </c>
      <c r="AV84" s="173">
        <f>AV83*MIN(AV82,LEASE_INST)</f>
        <v>0</v>
      </c>
      <c r="AW84" s="173">
        <f>AW83*MIN(AW82,LEASE_INST)</f>
        <v>0</v>
      </c>
      <c r="AX84" s="173">
        <f>AX83*MIN(AX82,LEASE_INST)</f>
        <v>0</v>
      </c>
      <c r="AY84" s="173">
        <f>AY83*MIN(AY82,LEASE_INST)</f>
        <v>0</v>
      </c>
      <c r="AZ84" s="173">
        <f>AZ83*MIN(AZ82,LEASE_INST)</f>
        <v>0</v>
      </c>
      <c r="BA84" s="173">
        <f>BA83*MIN(BA82,LEASE_INST)</f>
        <v>4500000</v>
      </c>
      <c r="BB84" s="173">
        <f>BB83*MIN(BB82,LEASE_INST)</f>
        <v>0</v>
      </c>
      <c r="BC84" s="173">
        <f>BC83*MIN(BC82,LEASE_INST)</f>
        <v>0</v>
      </c>
      <c r="BD84" s="173">
        <f>BD83*MIN(BD82,LEASE_INST)</f>
        <v>0</v>
      </c>
      <c r="BE84" s="173">
        <f>BE83*MIN(BE82,LEASE_INST)</f>
        <v>0</v>
      </c>
      <c r="BF84" s="173">
        <f>BF83*MIN(BF82,LEASE_INST)</f>
        <v>0</v>
      </c>
      <c r="BG84" s="173">
        <f>BG83*MIN(BG82,LEASE_INST)</f>
        <v>0</v>
      </c>
      <c r="BH84" s="173">
        <f>BH83*MIN(BH82,LEASE_INST)</f>
        <v>0</v>
      </c>
      <c r="BI84" s="173">
        <f>BI83*MIN(BI82,LEASE_INST)</f>
        <v>0</v>
      </c>
      <c r="BJ84" s="173">
        <f>BJ83*MIN(BJ82,LEASE_INST)</f>
        <v>0</v>
      </c>
      <c r="BK84" s="173">
        <f>BK83*MIN(BK82,LEASE_INST)</f>
        <v>0</v>
      </c>
      <c r="BL84" s="173">
        <f>BL83*MIN(BL82,LEASE_INST)</f>
        <v>0</v>
      </c>
      <c r="BM84" s="173">
        <f>BM83*MIN(BM82,LEASE_INST)</f>
        <v>4500000</v>
      </c>
      <c r="BN84" s="173">
        <f>BN83*MIN(BN82,LEASE_INST)</f>
        <v>0</v>
      </c>
      <c r="BO84" s="173">
        <f>BO83*MIN(BO82,LEASE_INST)</f>
        <v>0</v>
      </c>
      <c r="BP84" s="173">
        <f>BP83*MIN(BP82,LEASE_INST)</f>
        <v>0</v>
      </c>
      <c r="BQ84" s="173">
        <f>BQ83*MIN(BQ82,LEASE_INST)</f>
        <v>0</v>
      </c>
      <c r="BR84" s="173">
        <f>BR83*MIN(BR82,LEASE_INST)</f>
        <v>0</v>
      </c>
      <c r="BS84" s="173">
        <f>BS83*MIN(BS82,LEASE_INST)</f>
        <v>0</v>
      </c>
      <c r="BT84" s="173">
        <f>BT83*MIN(BT82,LEASE_INST)</f>
        <v>0</v>
      </c>
      <c r="BU84" s="173">
        <f>BU83*MIN(BU82,LEASE_INST)</f>
        <v>0</v>
      </c>
      <c r="BV84" s="173">
        <f>BV83*MIN(BV82,LEASE_INST)</f>
        <v>0</v>
      </c>
      <c r="BW84" s="173">
        <f>BW83*MIN(BW82,LEASE_INST)</f>
        <v>0</v>
      </c>
      <c r="BX84" s="173">
        <f>BX83*MIN(BX82,LEASE_INST)</f>
        <v>0</v>
      </c>
      <c r="BY84" s="173">
        <f>BY83*MIN(BY82,LEASE_INST)</f>
        <v>4500000</v>
      </c>
      <c r="BZ84" s="173">
        <f>BZ83*MIN(BZ82,LEASE_INST)</f>
        <v>0</v>
      </c>
      <c r="CA84" s="173">
        <f>CA83*MIN(CA82,LEASE_INST)</f>
        <v>0</v>
      </c>
      <c r="CB84" s="173">
        <f>CB83*MIN(CB82,LEASE_INST)</f>
        <v>0</v>
      </c>
      <c r="CC84" s="173">
        <f>CC83*MIN(CC82,LEASE_INST)</f>
        <v>0</v>
      </c>
      <c r="CD84" s="173">
        <f>CD83*MIN(CD82,LEASE_INST)</f>
        <v>0</v>
      </c>
      <c r="CE84" s="173">
        <f>CE83*MIN(CE82,LEASE_INST)</f>
        <v>0</v>
      </c>
      <c r="CF84" s="173">
        <f>CF83*MIN(CF82,LEASE_INST)</f>
        <v>0</v>
      </c>
      <c r="CG84" s="173">
        <f>CG83*MIN(CG82,LEASE_INST)</f>
        <v>0</v>
      </c>
      <c r="CH84" s="173">
        <f>CH83*MIN(CH82,LEASE_INST)</f>
        <v>0</v>
      </c>
      <c r="CI84" s="173">
        <f>CI83*MIN(CI82,LEASE_INST)</f>
        <v>0</v>
      </c>
      <c r="CJ84" s="173">
        <f>CJ83*MIN(CJ82,LEASE_INST)</f>
        <v>0</v>
      </c>
      <c r="CK84" s="173">
        <f>CK83*MIN(CK82,LEASE_INST)</f>
        <v>4500000</v>
      </c>
      <c r="CL84" s="173">
        <f>CL83*MIN(CL82,LEASE_INST)</f>
        <v>0</v>
      </c>
      <c r="CM84" s="173">
        <f>CM83*MIN(CM82,LEASE_INST)</f>
        <v>0</v>
      </c>
      <c r="CN84" s="173">
        <f>CN83*MIN(CN82,LEASE_INST)</f>
        <v>0</v>
      </c>
      <c r="CO84" s="173">
        <f>CO83*MIN(CO82,LEASE_INST)</f>
        <v>0</v>
      </c>
      <c r="CP84" s="173">
        <f>CP83*MIN(CP82,LEASE_INST)</f>
        <v>0</v>
      </c>
      <c r="CQ84" s="173">
        <f>CQ83*MIN(CQ82,LEASE_INST)</f>
        <v>0</v>
      </c>
      <c r="CR84" s="173">
        <f>CR83*MIN(CR82,LEASE_INST)</f>
        <v>0</v>
      </c>
      <c r="CS84" s="173">
        <f>CS83*MIN(CS82,LEASE_INST)</f>
        <v>0</v>
      </c>
      <c r="CT84" s="173">
        <f>CT83*MIN(CT82,LEASE_INST)</f>
        <v>0</v>
      </c>
      <c r="CU84" s="173">
        <f>CU83*MIN(CU82,LEASE_INST)</f>
        <v>0</v>
      </c>
      <c r="CV84" s="173">
        <f>CV83*MIN(CV82,LEASE_INST)</f>
        <v>0</v>
      </c>
      <c r="CW84" s="173">
        <f>CW83*MIN(CW82,LEASE_INST)</f>
        <v>4500000</v>
      </c>
      <c r="CX84" s="173">
        <f>CX83*MIN(CX82,LEASE_INST)</f>
        <v>0</v>
      </c>
      <c r="CY84" s="173">
        <f>CY83*MIN(CY82,LEASE_INST)</f>
        <v>0</v>
      </c>
      <c r="CZ84" s="173">
        <f>CZ83*MIN(CZ82,LEASE_INST)</f>
        <v>0</v>
      </c>
      <c r="DA84" s="173">
        <f>DA83*MIN(DA82,LEASE_INST)</f>
        <v>0</v>
      </c>
      <c r="DB84" s="173">
        <f>DB83*MIN(DB82,LEASE_INST)</f>
        <v>0</v>
      </c>
      <c r="DC84" s="173">
        <f>DC83*MIN(DC82,LEASE_INST)</f>
        <v>0</v>
      </c>
      <c r="DD84" s="173">
        <f>DD83*MIN(DD82,LEASE_INST)</f>
        <v>0</v>
      </c>
      <c r="DE84" s="173">
        <f>DE83*MIN(DE82,LEASE_INST)</f>
        <v>0</v>
      </c>
      <c r="DF84" s="173">
        <f>DF83*MIN(DF82,LEASE_INST)</f>
        <v>0</v>
      </c>
      <c r="DG84" s="173">
        <f>DG83*MIN(DG82,LEASE_INST)</f>
        <v>0</v>
      </c>
      <c r="DH84" s="173">
        <f>DH83*MIN(DH82,LEASE_INST)</f>
        <v>0</v>
      </c>
      <c r="DI84" s="173">
        <f>DI83*MIN(DI82,LEASE_INST)</f>
        <v>4500000</v>
      </c>
      <c r="DJ84" s="173">
        <f>DJ83*MIN(DJ82,LEASE_INST)</f>
        <v>0</v>
      </c>
      <c r="DK84" s="173">
        <f>DK83*MIN(DK82,LEASE_INST)</f>
        <v>0</v>
      </c>
      <c r="DL84" s="173">
        <f>DL83*MIN(DL82,LEASE_INST)</f>
        <v>0</v>
      </c>
      <c r="DM84" s="173">
        <f>DM83*MIN(DM82,LEASE_INST)</f>
        <v>0</v>
      </c>
      <c r="DN84" s="173">
        <f>DN83*MIN(DN82,LEASE_INST)</f>
        <v>0</v>
      </c>
      <c r="DO84" s="173">
        <f>DO83*MIN(DO82,LEASE_INST)</f>
        <v>0</v>
      </c>
      <c r="DP84" s="173">
        <f>DP83*MIN(DP82,LEASE_INST)</f>
        <v>0</v>
      </c>
      <c r="DQ84" s="173">
        <f>DQ83*MIN(DQ82,LEASE_INST)</f>
        <v>0</v>
      </c>
      <c r="DR84" s="173">
        <f>DR83*MIN(DR82,LEASE_INST)</f>
        <v>0</v>
      </c>
      <c r="DS84" s="173">
        <f>DS83*MIN(DS82,LEASE_INST)</f>
        <v>0</v>
      </c>
      <c r="DT84" s="173">
        <f>DT83*MIN(DT82,LEASE_INST)</f>
        <v>0</v>
      </c>
      <c r="DU84" s="173">
        <f>DU83*MIN(DU82,LEASE_INST)</f>
        <v>4500000</v>
      </c>
      <c r="DV84" s="173">
        <f>DV83*MIN(DV82,LEASE_INST)</f>
        <v>0</v>
      </c>
      <c r="DW84" s="173">
        <f>DW83*MIN(DW82,LEASE_INST)</f>
        <v>0</v>
      </c>
      <c r="DX84" s="173">
        <f>DX83*MIN(DX82,LEASE_INST)</f>
        <v>0</v>
      </c>
      <c r="DY84" s="173">
        <f>DY83*MIN(DY82,LEASE_INST)</f>
        <v>0</v>
      </c>
      <c r="DZ84" s="173">
        <f>DZ83*MIN(DZ82,LEASE_INST)</f>
        <v>0</v>
      </c>
      <c r="EA84" s="173">
        <f>EA83*MIN(EA82,LEASE_INST)</f>
        <v>0</v>
      </c>
      <c r="EB84" s="173">
        <f>EB83*MIN(EB82,LEASE_INST)</f>
        <v>0</v>
      </c>
      <c r="EC84" s="173">
        <f>EC83*MIN(EC82,LEASE_INST)</f>
        <v>0</v>
      </c>
      <c r="ED84" s="173">
        <f>ED83*MIN(ED82,LEASE_INST)</f>
        <v>0</v>
      </c>
      <c r="EE84" s="173">
        <f>EE83*MIN(EE82,LEASE_INST)</f>
        <v>0</v>
      </c>
      <c r="EF84" s="173">
        <f>EF83*MIN(EF82,LEASE_INST)</f>
        <v>0</v>
      </c>
      <c r="EG84" s="173">
        <f>EG83*MIN(EG82,LEASE_INST)</f>
        <v>4500000</v>
      </c>
      <c r="EH84" s="173">
        <f>EH83*MIN(EH82,LEASE_INST)</f>
        <v>0</v>
      </c>
      <c r="EI84" s="173">
        <f>EI83*MIN(EI82,LEASE_INST)</f>
        <v>0</v>
      </c>
      <c r="EJ84" s="173">
        <f>EJ83*MIN(EJ82,LEASE_INST)</f>
        <v>0</v>
      </c>
      <c r="EK84" s="173">
        <f>EK83*MIN(EK82,LEASE_INST)</f>
        <v>0</v>
      </c>
      <c r="EL84" s="173">
        <f>EL83*MIN(EL82,LEASE_INST)</f>
        <v>0</v>
      </c>
      <c r="EM84" s="173">
        <f>EM83*MIN(EM82,LEASE_INST)</f>
        <v>0</v>
      </c>
      <c r="EN84" s="173">
        <f>EN83*MIN(EN82,LEASE_INST)</f>
        <v>0</v>
      </c>
      <c r="EO84" s="173">
        <f>EO83*MIN(EO82,LEASE_INST)</f>
        <v>0</v>
      </c>
      <c r="EP84" s="173">
        <f>EP83*MIN(EP82,LEASE_INST)</f>
        <v>0</v>
      </c>
      <c r="EQ84" s="173">
        <f>EQ83*MIN(EQ82,LEASE_INST)</f>
        <v>0</v>
      </c>
      <c r="ER84" s="173">
        <f>ER83*MIN(ER82,LEASE_INST)</f>
        <v>0</v>
      </c>
      <c r="ES84" s="173">
        <f>ES83*MIN(ES82,LEASE_INST)</f>
        <v>4500000</v>
      </c>
      <c r="ET84" s="173">
        <f>ET83*MIN(ET82,LEASE_INST)</f>
        <v>0</v>
      </c>
      <c r="EU84" s="173">
        <f>EU83*MIN(EU82,LEASE_INST)</f>
        <v>0</v>
      </c>
      <c r="EV84" s="173">
        <f>EV83*MIN(EV82,LEASE_INST)</f>
        <v>0</v>
      </c>
      <c r="EW84" s="173">
        <f>EW83*MIN(EW82,LEASE_INST)</f>
        <v>0</v>
      </c>
      <c r="EX84" s="173">
        <f>EX83*MIN(EX82,LEASE_INST)</f>
        <v>0</v>
      </c>
      <c r="EY84" s="173">
        <f>EY83*MIN(EY82,LEASE_INST)</f>
        <v>0</v>
      </c>
      <c r="EZ84" s="173">
        <f>EZ83*MIN(EZ82,LEASE_INST)</f>
        <v>0</v>
      </c>
      <c r="FA84" s="173">
        <f>FA83*MIN(FA82,LEASE_INST)</f>
        <v>0</v>
      </c>
      <c r="FB84" s="173">
        <f>FB83*MIN(FB82,LEASE_INST)</f>
        <v>0</v>
      </c>
      <c r="FC84" s="173">
        <f>FC83*MIN(FC82,LEASE_INST)</f>
        <v>0</v>
      </c>
      <c r="FD84" s="173">
        <f>FD83*MIN(FD82,LEASE_INST)</f>
        <v>0</v>
      </c>
      <c r="FE84" s="173">
        <f>FE83*MIN(FE82,LEASE_INST)</f>
        <v>4500000</v>
      </c>
      <c r="FF84" s="173">
        <f>FF83*MIN(FF82,LEASE_INST)</f>
        <v>0</v>
      </c>
      <c r="FG84" s="173">
        <f>FG83*MIN(FG82,LEASE_INST)</f>
        <v>0</v>
      </c>
      <c r="FH84" s="173">
        <f>FH83*MIN(FH82,LEASE_INST)</f>
        <v>0</v>
      </c>
      <c r="FI84" s="173">
        <f>FI83*MIN(FI82,LEASE_INST)</f>
        <v>0</v>
      </c>
      <c r="FJ84" s="173">
        <f>FJ83*MIN(FJ82,LEASE_INST)</f>
        <v>0</v>
      </c>
      <c r="FK84" s="173">
        <f>FK83*MIN(FK82,LEASE_INST)</f>
        <v>0</v>
      </c>
      <c r="FL84" s="173">
        <f>FL83*MIN(FL82,LEASE_INST)</f>
        <v>0</v>
      </c>
      <c r="FM84" s="173">
        <f>FM83*MIN(FM82,LEASE_INST)</f>
        <v>0</v>
      </c>
      <c r="FN84" s="173">
        <f>FN83*MIN(FN82,LEASE_INST)</f>
        <v>0</v>
      </c>
      <c r="FO84" s="173">
        <f>FO83*MIN(FO82,LEASE_INST)</f>
        <v>0</v>
      </c>
      <c r="FP84" s="173">
        <f>FP83*MIN(FP82,LEASE_INST)</f>
        <v>0</v>
      </c>
      <c r="FQ84" s="173">
        <f>FQ83*MIN(FQ82,LEASE_INST)</f>
        <v>4500000</v>
      </c>
      <c r="FR84" s="173">
        <f>FR83*MIN(FR82,LEASE_INST)</f>
        <v>0</v>
      </c>
      <c r="FS84" s="173">
        <f>FS83*MIN(FS82,LEASE_INST)</f>
        <v>0</v>
      </c>
      <c r="FT84" s="173">
        <f>FT83*MIN(FT82,LEASE_INST)</f>
        <v>0</v>
      </c>
      <c r="FU84" s="173">
        <f>FU83*MIN(FU82,LEASE_INST)</f>
        <v>0</v>
      </c>
      <c r="FV84" s="173">
        <f>FV83*MIN(FV82,LEASE_INST)</f>
        <v>0</v>
      </c>
      <c r="FW84" s="173">
        <f>FW83*MIN(FW82,LEASE_INST)</f>
        <v>0</v>
      </c>
      <c r="FX84" s="173">
        <f>FX83*MIN(FX82,LEASE_INST)</f>
        <v>0</v>
      </c>
      <c r="FY84" s="173">
        <f>FY83*MIN(FY82,LEASE_INST)</f>
        <v>0</v>
      </c>
      <c r="FZ84" s="173">
        <f>FZ83*MIN(FZ82,LEASE_INST)</f>
        <v>0</v>
      </c>
      <c r="GA84" s="173">
        <f>GA83*MIN(GA82,LEASE_INST)</f>
        <v>0</v>
      </c>
      <c r="GB84" s="173">
        <f>GB83*MIN(GB82,LEASE_INST)</f>
        <v>0</v>
      </c>
      <c r="GC84" s="173">
        <f>GC83*MIN(GC82,LEASE_INST)</f>
        <v>4500000</v>
      </c>
      <c r="GD84" s="173">
        <f>GD83*MIN(GD82,LEASE_INST)</f>
        <v>0</v>
      </c>
      <c r="GE84" s="173">
        <f>GE83*MIN(GE82,LEASE_INST)</f>
        <v>0</v>
      </c>
      <c r="GF84" s="173">
        <f>GF83*MIN(GF82,LEASE_INST)</f>
        <v>0</v>
      </c>
      <c r="GG84" s="173">
        <f>GG83*MIN(GG82,LEASE_INST)</f>
        <v>0</v>
      </c>
      <c r="GH84" s="173">
        <f>GH83*MIN(GH82,LEASE_INST)</f>
        <v>0</v>
      </c>
      <c r="GI84" s="173">
        <f>GI83*MIN(GI82,LEASE_INST)</f>
        <v>0</v>
      </c>
      <c r="GJ84" s="173">
        <f>GJ83*MIN(GJ82,LEASE_INST)</f>
        <v>0</v>
      </c>
      <c r="GK84" s="173">
        <f>GK83*MIN(GK82,LEASE_INST)</f>
        <v>0</v>
      </c>
      <c r="GL84" s="173">
        <f>GL83*MIN(GL82,LEASE_INST)</f>
        <v>0</v>
      </c>
      <c r="GM84" s="173">
        <f>GM83*MIN(GM82,LEASE_INST)</f>
        <v>0</v>
      </c>
      <c r="GN84" s="173">
        <f>GN83*MIN(GN82,LEASE_INST)</f>
        <v>0</v>
      </c>
      <c r="GO84" s="173">
        <f>GO83*MIN(GO82,LEASE_INST)</f>
        <v>4500000</v>
      </c>
      <c r="GP84" s="173">
        <f>GP83*MIN(GP82,LEASE_INST)</f>
        <v>0</v>
      </c>
      <c r="GQ84" s="173">
        <f>GQ83*MIN(GQ82,LEASE_INST)</f>
        <v>0</v>
      </c>
      <c r="GR84" s="173">
        <f>GR83*MIN(GR82,LEASE_INST)</f>
        <v>0</v>
      </c>
      <c r="GS84" s="173">
        <f>GS83*MIN(GS82,LEASE_INST)</f>
        <v>0</v>
      </c>
      <c r="GT84" s="173">
        <f>GT83*MIN(GT82,LEASE_INST)</f>
        <v>0</v>
      </c>
      <c r="GU84" s="173">
        <f>GU83*MIN(GU82,LEASE_INST)</f>
        <v>0</v>
      </c>
      <c r="GV84" s="173">
        <f>GV83*MIN(GV82,LEASE_INST)</f>
        <v>0</v>
      </c>
      <c r="GW84" s="173">
        <f>GW83*MIN(GW82,LEASE_INST)</f>
        <v>0</v>
      </c>
      <c r="GX84" s="173">
        <f>GX83*MIN(GX82,LEASE_INST)</f>
        <v>0</v>
      </c>
      <c r="GY84" s="173">
        <f>GY83*MIN(GY82,LEASE_INST)</f>
        <v>0</v>
      </c>
      <c r="GZ84" s="173">
        <f>GZ83*MIN(GZ82,LEASE_INST)</f>
        <v>0</v>
      </c>
      <c r="HA84" s="173">
        <f>HA83*MIN(HA82,LEASE_INST)</f>
        <v>4500000</v>
      </c>
      <c r="HB84" s="173">
        <f>HB83*MIN(HB82,LEASE_INST)</f>
        <v>0</v>
      </c>
      <c r="HC84" s="173">
        <f>HC83*MIN(HC82,LEASE_INST)</f>
        <v>0</v>
      </c>
      <c r="HD84" s="173">
        <f>HD83*MIN(HD82,LEASE_INST)</f>
        <v>0</v>
      </c>
      <c r="HE84" s="173">
        <f>HE83*MIN(HE82,LEASE_INST)</f>
        <v>0</v>
      </c>
      <c r="HF84" s="173">
        <f>HF83*MIN(HF82,LEASE_INST)</f>
        <v>0</v>
      </c>
      <c r="HG84" s="173">
        <f>HG83*MIN(HG82,LEASE_INST)</f>
        <v>0</v>
      </c>
      <c r="HH84" s="173">
        <f>HH83*MIN(HH82,LEASE_INST)</f>
        <v>0</v>
      </c>
      <c r="HI84" s="173">
        <f>HI83*MIN(HI82,LEASE_INST)</f>
        <v>0</v>
      </c>
      <c r="HJ84" s="173">
        <f>HJ83*MIN(HJ82,LEASE_INST)</f>
        <v>0</v>
      </c>
      <c r="HK84" s="173">
        <f>HK83*MIN(HK82,LEASE_INST)</f>
        <v>0</v>
      </c>
      <c r="HL84" s="173">
        <f>HL83*MIN(HL82,LEASE_INST)</f>
        <v>0</v>
      </c>
      <c r="HM84" s="173">
        <f>HM83*MIN(HM82,LEASE_INST)</f>
        <v>4500000</v>
      </c>
      <c r="HN84" s="173">
        <f>HN83*MIN(HN82,LEASE_INST)</f>
        <v>0</v>
      </c>
      <c r="HO84" s="173">
        <f>HO83*MIN(HO82,LEASE_INST)</f>
        <v>0</v>
      </c>
      <c r="HP84" s="173">
        <f>HP83*MIN(HP82,LEASE_INST)</f>
        <v>0</v>
      </c>
      <c r="HQ84" s="173">
        <f>HQ83*MIN(HQ82,LEASE_INST)</f>
        <v>0</v>
      </c>
      <c r="HR84" s="173">
        <f>HR83*MIN(HR82,LEASE_INST)</f>
        <v>0</v>
      </c>
      <c r="HS84" s="173">
        <f>HS83*MIN(HS82,LEASE_INST)</f>
        <v>0</v>
      </c>
      <c r="HT84" s="173">
        <f>HT83*MIN(HT82,LEASE_INST)</f>
        <v>0</v>
      </c>
      <c r="HU84" s="173">
        <f>HU83*MIN(HU82,LEASE_INST)</f>
        <v>0</v>
      </c>
      <c r="HV84" s="173">
        <f>HV83*MIN(HV82,LEASE_INST)</f>
        <v>0</v>
      </c>
      <c r="HW84" s="173">
        <f>HW83*MIN(HW82,LEASE_INST)</f>
        <v>0</v>
      </c>
      <c r="HX84" s="173">
        <f>HX83*MIN(HX82,LEASE_INST)</f>
        <v>0</v>
      </c>
      <c r="HY84" s="173">
        <f>HY83*MIN(HY82,LEASE_INST)</f>
        <v>4500000</v>
      </c>
      <c r="HZ84" s="173">
        <f>HZ83*MIN(HZ82,LEASE_INST)</f>
        <v>0</v>
      </c>
      <c r="IA84" s="173">
        <f>IA83*MIN(IA82,LEASE_INST)</f>
        <v>0</v>
      </c>
      <c r="IB84" s="173">
        <f>IB83*MIN(IB82,LEASE_INST)</f>
        <v>0</v>
      </c>
      <c r="IC84" s="173">
        <f>IC83*MIN(IC82,LEASE_INST)</f>
        <v>0</v>
      </c>
      <c r="ID84" s="173">
        <f>ID83*MIN(ID82,LEASE_INST)</f>
        <v>0</v>
      </c>
      <c r="IE84" s="173">
        <f>IE83*MIN(IE82,LEASE_INST)</f>
        <v>0</v>
      </c>
      <c r="IF84" s="173">
        <f>IF83*MIN(IF82,LEASE_INST)</f>
        <v>0</v>
      </c>
      <c r="IG84" s="173">
        <f>IG83*MIN(IG82,LEASE_INST)</f>
        <v>0</v>
      </c>
      <c r="IH84" s="173">
        <f>IH83*MIN(IH82,LEASE_INST)</f>
        <v>0</v>
      </c>
      <c r="II84" s="173">
        <f>II83*MIN(II82,LEASE_INST)</f>
        <v>0</v>
      </c>
      <c r="IJ84" s="173">
        <f>IJ83*MIN(IJ82,LEASE_INST)</f>
        <v>0</v>
      </c>
      <c r="IK84" s="173">
        <f>IK83*MIN(IK82,LEASE_INST)</f>
        <v>4500000</v>
      </c>
      <c r="IL84" s="173">
        <f>IL83*MIN(IL82,LEASE_INST)</f>
        <v>0</v>
      </c>
      <c r="IM84" s="173">
        <f>IM83*MIN(IM82,LEASE_INST)</f>
        <v>0</v>
      </c>
      <c r="IN84" s="173">
        <f>IN83*MIN(IN82,LEASE_INST)</f>
        <v>0</v>
      </c>
      <c r="IO84" s="173">
        <f>IO83*MIN(IO82,LEASE_INST)</f>
        <v>0</v>
      </c>
      <c r="IP84" s="173">
        <f>IP83*MIN(IP82,LEASE_INST)</f>
        <v>0</v>
      </c>
      <c r="IQ84" s="173">
        <f>IQ83*MIN(IQ82,LEASE_INST)</f>
        <v>0</v>
      </c>
      <c r="IR84" s="173">
        <f>IR83*MIN(IR82,LEASE_INST)</f>
        <v>0</v>
      </c>
      <c r="IS84" s="173">
        <f>IS83*MIN(IS82,LEASE_INST)</f>
        <v>0</v>
      </c>
      <c r="IT84" s="173">
        <f>IT83*MIN(IT82,LEASE_INST)</f>
        <v>0</v>
      </c>
      <c r="IU84" s="173">
        <f>IU83*MIN(IU82,LEASE_INST)</f>
        <v>0</v>
      </c>
      <c r="IV84" s="173">
        <f>IV83*MIN(IV82,LEASE_INST)</f>
        <v>0</v>
      </c>
      <c r="IW84" s="173">
        <f>IW83*MIN(IW82,LEASE_INST)</f>
        <v>4500000</v>
      </c>
      <c r="IX84" s="173">
        <f>IX83*MIN(IX82,LEASE_INST)</f>
        <v>0</v>
      </c>
      <c r="IY84" s="173">
        <f>IY83*MIN(IY82,LEASE_INST)</f>
        <v>0</v>
      </c>
      <c r="IZ84" s="173">
        <f>IZ83*MIN(IZ82,LEASE_INST)</f>
        <v>0</v>
      </c>
      <c r="JA84" s="173">
        <f>JA83*MIN(JA82,LEASE_INST)</f>
        <v>0</v>
      </c>
      <c r="JB84" s="173">
        <f>JB83*MIN(JB82,LEASE_INST)</f>
        <v>0</v>
      </c>
      <c r="JC84" s="173">
        <f>JC83*MIN(JC82,LEASE_INST)</f>
        <v>0</v>
      </c>
      <c r="JD84" s="173">
        <f>JD83*MIN(JD82,LEASE_INST)</f>
        <v>0</v>
      </c>
      <c r="JE84" s="173">
        <f>JE83*MIN(JE82,LEASE_INST)</f>
        <v>0</v>
      </c>
      <c r="JF84" s="173">
        <f>JF83*MIN(JF82,LEASE_INST)</f>
        <v>0</v>
      </c>
      <c r="JG84" s="173">
        <f>JG83*MIN(JG82,LEASE_INST)</f>
        <v>0</v>
      </c>
      <c r="JH84" s="173">
        <f>JH83*MIN(JH82,LEASE_INST)</f>
        <v>0</v>
      </c>
      <c r="JI84" s="173">
        <f>JI83*MIN(JI82,LEASE_INST)</f>
        <v>4500000</v>
      </c>
      <c r="JJ84" s="173">
        <f>JJ83*MIN(JJ82,LEASE_INST)</f>
        <v>0</v>
      </c>
      <c r="JK84" s="173">
        <f>JK83*MIN(JK82,LEASE_INST)</f>
        <v>0</v>
      </c>
      <c r="JL84" s="173">
        <f>JL83*MIN(JL82,LEASE_INST)</f>
        <v>0</v>
      </c>
      <c r="JM84" s="173">
        <f>JM83*MIN(JM82,LEASE_INST)</f>
        <v>0</v>
      </c>
      <c r="JN84" s="173">
        <f>JN83*MIN(JN82,LEASE_INST)</f>
        <v>0</v>
      </c>
      <c r="JO84" s="173">
        <f>JO83*MIN(JO82,LEASE_INST)</f>
        <v>0</v>
      </c>
      <c r="JP84" s="173">
        <f>JP83*MIN(JP82,LEASE_INST)</f>
        <v>0</v>
      </c>
      <c r="JQ84" s="173">
        <f>JQ83*MIN(JQ82,LEASE_INST)</f>
        <v>0</v>
      </c>
      <c r="JR84" s="173">
        <f>JR83*MIN(JR82,LEASE_INST)</f>
        <v>0</v>
      </c>
      <c r="JS84" s="173">
        <f>JS83*MIN(JS82,LEASE_INST)</f>
        <v>0</v>
      </c>
      <c r="JT84" s="173">
        <f>JT83*MIN(JT82,LEASE_INST)</f>
        <v>0</v>
      </c>
      <c r="JU84" s="173">
        <f>JU83*MIN(JU82,LEASE_INST)</f>
        <v>4500000</v>
      </c>
      <c r="JV84" s="173">
        <f>JV83*MIN(JV82,LEASE_INST)</f>
        <v>0</v>
      </c>
      <c r="JW84" s="173">
        <f>JW83*MIN(JW82,LEASE_INST)</f>
        <v>0</v>
      </c>
      <c r="JX84" s="173">
        <f>JX83*MIN(JX82,LEASE_INST)</f>
        <v>0</v>
      </c>
      <c r="JY84" s="173">
        <f>JY83*MIN(JY82,LEASE_INST)</f>
        <v>0</v>
      </c>
      <c r="JZ84" s="173">
        <f>JZ83*MIN(JZ82,LEASE_INST)</f>
        <v>0</v>
      </c>
      <c r="KA84" s="173">
        <f>KA83*MIN(KA82,LEASE_INST)</f>
        <v>0</v>
      </c>
      <c r="KB84" s="173">
        <f>KB83*MIN(KB82,LEASE_INST)</f>
        <v>0</v>
      </c>
      <c r="KC84" s="173">
        <f>KC83*MIN(KC82,LEASE_INST)</f>
        <v>0</v>
      </c>
      <c r="KD84" s="173">
        <f>KD83*MIN(KD82,LEASE_INST)</f>
        <v>0</v>
      </c>
      <c r="KE84" s="173">
        <f>KE83*MIN(KE82,LEASE_INST)</f>
        <v>0</v>
      </c>
      <c r="KF84" s="173">
        <f>KF83*MIN(KF82,LEASE_INST)</f>
        <v>0</v>
      </c>
    </row>
    <row r="85">
      <c r="B85" s="36" t="inlineStr">
        <is>
          <t>Lease interest</t>
        </is>
      </c>
      <c r="C85" s="117" t="inlineStr">
        <is>
          <t>ETB</t>
        </is>
      </c>
      <c r="D85" s="169">
        <f>SUM(E85:KF85)</f>
        <v>137655000</v>
      </c>
      <c r="E85" s="173">
        <f>E83*E82*LEASE_INT</f>
        <v>0</v>
      </c>
      <c r="F85" s="173">
        <f>F83*F82*LEASE_INT</f>
        <v>0</v>
      </c>
      <c r="G85" s="173">
        <f>G83*G82*LEASE_INT</f>
        <v>0</v>
      </c>
      <c r="H85" s="173">
        <f>H83*H82*LEASE_INT</f>
        <v>0</v>
      </c>
      <c r="I85" s="173">
        <f>I83*I82*LEASE_INT</f>
        <v>0</v>
      </c>
      <c r="J85" s="173">
        <f>J83*J82*LEASE_INT</f>
        <v>0</v>
      </c>
      <c r="K85" s="173">
        <f>K83*K82*LEASE_INT</f>
        <v>0</v>
      </c>
      <c r="L85" s="173">
        <f>L83*L82*LEASE_INT</f>
        <v>0</v>
      </c>
      <c r="M85" s="173">
        <f>M83*M82*LEASE_INT</f>
        <v>0</v>
      </c>
      <c r="N85" s="173">
        <f>N83*N82*LEASE_INT</f>
        <v>0</v>
      </c>
      <c r="O85" s="173">
        <f>O83*O82*LEASE_INT</f>
        <v>0</v>
      </c>
      <c r="P85" s="173">
        <f>P83*P82*LEASE_INT</f>
        <v>0</v>
      </c>
      <c r="Q85" s="173">
        <f>Q83*Q82*LEASE_INT</f>
        <v>9450000</v>
      </c>
      <c r="R85" s="173">
        <f>R83*R82*LEASE_INT</f>
        <v>0</v>
      </c>
      <c r="S85" s="173">
        <f>S83*S82*LEASE_INT</f>
        <v>0</v>
      </c>
      <c r="T85" s="173">
        <f>T83*T82*LEASE_INT</f>
        <v>0</v>
      </c>
      <c r="U85" s="173">
        <f>U83*U82*LEASE_INT</f>
        <v>0</v>
      </c>
      <c r="V85" s="173">
        <f>V83*V82*LEASE_INT</f>
        <v>0</v>
      </c>
      <c r="W85" s="173">
        <f>W83*W82*LEASE_INT</f>
        <v>0</v>
      </c>
      <c r="X85" s="173">
        <f>X83*X82*LEASE_INT</f>
        <v>0</v>
      </c>
      <c r="Y85" s="173">
        <f>Y83*Y82*LEASE_INT</f>
        <v>0</v>
      </c>
      <c r="Z85" s="173">
        <f>Z83*Z82*LEASE_INT</f>
        <v>0</v>
      </c>
      <c r="AA85" s="173">
        <f>AA83*AA82*LEASE_INT</f>
        <v>0</v>
      </c>
      <c r="AB85" s="173">
        <f>AB83*AB82*LEASE_INT</f>
        <v>0</v>
      </c>
      <c r="AC85" s="173">
        <f>AC83*AC82*LEASE_INT</f>
        <v>9135000</v>
      </c>
      <c r="AD85" s="173">
        <f>AD83*AD82*LEASE_INT</f>
        <v>0</v>
      </c>
      <c r="AE85" s="173">
        <f>AE83*AE82*LEASE_INT</f>
        <v>0</v>
      </c>
      <c r="AF85" s="173">
        <f>AF83*AF82*LEASE_INT</f>
        <v>0</v>
      </c>
      <c r="AG85" s="173">
        <f>AG83*AG82*LEASE_INT</f>
        <v>0</v>
      </c>
      <c r="AH85" s="173">
        <f>AH83*AH82*LEASE_INT</f>
        <v>0</v>
      </c>
      <c r="AI85" s="173">
        <f>AI83*AI82*LEASE_INT</f>
        <v>0</v>
      </c>
      <c r="AJ85" s="173">
        <f>AJ83*AJ82*LEASE_INT</f>
        <v>0</v>
      </c>
      <c r="AK85" s="173">
        <f>AK83*AK82*LEASE_INT</f>
        <v>0</v>
      </c>
      <c r="AL85" s="173">
        <f>AL83*AL82*LEASE_INT</f>
        <v>0</v>
      </c>
      <c r="AM85" s="173">
        <f>AM83*AM82*LEASE_INT</f>
        <v>0</v>
      </c>
      <c r="AN85" s="173">
        <f>AN83*AN82*LEASE_INT</f>
        <v>0</v>
      </c>
      <c r="AO85" s="173">
        <f>AO83*AO82*LEASE_INT</f>
        <v>8820000</v>
      </c>
      <c r="AP85" s="173">
        <f>AP83*AP82*LEASE_INT</f>
        <v>0</v>
      </c>
      <c r="AQ85" s="173">
        <f>AQ83*AQ82*LEASE_INT</f>
        <v>0</v>
      </c>
      <c r="AR85" s="173">
        <f>AR83*AR82*LEASE_INT</f>
        <v>0</v>
      </c>
      <c r="AS85" s="173">
        <f>AS83*AS82*LEASE_INT</f>
        <v>0</v>
      </c>
      <c r="AT85" s="173">
        <f>AT83*AT82*LEASE_INT</f>
        <v>0</v>
      </c>
      <c r="AU85" s="173">
        <f>AU83*AU82*LEASE_INT</f>
        <v>0</v>
      </c>
      <c r="AV85" s="173">
        <f>AV83*AV82*LEASE_INT</f>
        <v>0</v>
      </c>
      <c r="AW85" s="173">
        <f>AW83*AW82*LEASE_INT</f>
        <v>0</v>
      </c>
      <c r="AX85" s="173">
        <f>AX83*AX82*LEASE_INT</f>
        <v>0</v>
      </c>
      <c r="AY85" s="173">
        <f>AY83*AY82*LEASE_INT</f>
        <v>0</v>
      </c>
      <c r="AZ85" s="173">
        <f>AZ83*AZ82*LEASE_INT</f>
        <v>0</v>
      </c>
      <c r="BA85" s="173">
        <f>BA83*BA82*LEASE_INT</f>
        <v>8505000</v>
      </c>
      <c r="BB85" s="173">
        <f>BB83*BB82*LEASE_INT</f>
        <v>0</v>
      </c>
      <c r="BC85" s="173">
        <f>BC83*BC82*LEASE_INT</f>
        <v>0</v>
      </c>
      <c r="BD85" s="173">
        <f>BD83*BD82*LEASE_INT</f>
        <v>0</v>
      </c>
      <c r="BE85" s="173">
        <f>BE83*BE82*LEASE_INT</f>
        <v>0</v>
      </c>
      <c r="BF85" s="173">
        <f>BF83*BF82*LEASE_INT</f>
        <v>0</v>
      </c>
      <c r="BG85" s="173">
        <f>BG83*BG82*LEASE_INT</f>
        <v>0</v>
      </c>
      <c r="BH85" s="173">
        <f>BH83*BH82*LEASE_INT</f>
        <v>0</v>
      </c>
      <c r="BI85" s="173">
        <f>BI83*BI82*LEASE_INT</f>
        <v>0</v>
      </c>
      <c r="BJ85" s="173">
        <f>BJ83*BJ82*LEASE_INT</f>
        <v>0</v>
      </c>
      <c r="BK85" s="173">
        <f>BK83*BK82*LEASE_INT</f>
        <v>0</v>
      </c>
      <c r="BL85" s="173">
        <f>BL83*BL82*LEASE_INT</f>
        <v>0</v>
      </c>
      <c r="BM85" s="173">
        <f>BM83*BM82*LEASE_INT</f>
        <v>8190000</v>
      </c>
      <c r="BN85" s="173">
        <f>BN83*BN82*LEASE_INT</f>
        <v>0</v>
      </c>
      <c r="BO85" s="173">
        <f>BO83*BO82*LEASE_INT</f>
        <v>0</v>
      </c>
      <c r="BP85" s="173">
        <f>BP83*BP82*LEASE_INT</f>
        <v>0</v>
      </c>
      <c r="BQ85" s="173">
        <f>BQ83*BQ82*LEASE_INT</f>
        <v>0</v>
      </c>
      <c r="BR85" s="173">
        <f>BR83*BR82*LEASE_INT</f>
        <v>0</v>
      </c>
      <c r="BS85" s="173">
        <f>BS83*BS82*LEASE_INT</f>
        <v>0</v>
      </c>
      <c r="BT85" s="173">
        <f>BT83*BT82*LEASE_INT</f>
        <v>0</v>
      </c>
      <c r="BU85" s="173">
        <f>BU83*BU82*LEASE_INT</f>
        <v>0</v>
      </c>
      <c r="BV85" s="173">
        <f>BV83*BV82*LEASE_INT</f>
        <v>0</v>
      </c>
      <c r="BW85" s="173">
        <f>BW83*BW82*LEASE_INT</f>
        <v>0</v>
      </c>
      <c r="BX85" s="173">
        <f>BX83*BX82*LEASE_INT</f>
        <v>0</v>
      </c>
      <c r="BY85" s="173">
        <f>BY83*BY82*LEASE_INT</f>
        <v>7875000</v>
      </c>
      <c r="BZ85" s="173">
        <f>BZ83*BZ82*LEASE_INT</f>
        <v>0</v>
      </c>
      <c r="CA85" s="173">
        <f>CA83*CA82*LEASE_INT</f>
        <v>0</v>
      </c>
      <c r="CB85" s="173">
        <f>CB83*CB82*LEASE_INT</f>
        <v>0</v>
      </c>
      <c r="CC85" s="173">
        <f>CC83*CC82*LEASE_INT</f>
        <v>0</v>
      </c>
      <c r="CD85" s="173">
        <f>CD83*CD82*LEASE_INT</f>
        <v>0</v>
      </c>
      <c r="CE85" s="173">
        <f>CE83*CE82*LEASE_INT</f>
        <v>0</v>
      </c>
      <c r="CF85" s="173">
        <f>CF83*CF82*LEASE_INT</f>
        <v>0</v>
      </c>
      <c r="CG85" s="173">
        <f>CG83*CG82*LEASE_INT</f>
        <v>0</v>
      </c>
      <c r="CH85" s="173">
        <f>CH83*CH82*LEASE_INT</f>
        <v>0</v>
      </c>
      <c r="CI85" s="173">
        <f>CI83*CI82*LEASE_INT</f>
        <v>0</v>
      </c>
      <c r="CJ85" s="173">
        <f>CJ83*CJ82*LEASE_INT</f>
        <v>0</v>
      </c>
      <c r="CK85" s="173">
        <f>CK83*CK82*LEASE_INT</f>
        <v>7560000</v>
      </c>
      <c r="CL85" s="173">
        <f>CL83*CL82*LEASE_INT</f>
        <v>0</v>
      </c>
      <c r="CM85" s="173">
        <f>CM83*CM82*LEASE_INT</f>
        <v>0</v>
      </c>
      <c r="CN85" s="173">
        <f>CN83*CN82*LEASE_INT</f>
        <v>0</v>
      </c>
      <c r="CO85" s="173">
        <f>CO83*CO82*LEASE_INT</f>
        <v>0</v>
      </c>
      <c r="CP85" s="173">
        <f>CP83*CP82*LEASE_INT</f>
        <v>0</v>
      </c>
      <c r="CQ85" s="173">
        <f>CQ83*CQ82*LEASE_INT</f>
        <v>0</v>
      </c>
      <c r="CR85" s="173">
        <f>CR83*CR82*LEASE_INT</f>
        <v>0</v>
      </c>
      <c r="CS85" s="173">
        <f>CS83*CS82*LEASE_INT</f>
        <v>0</v>
      </c>
      <c r="CT85" s="173">
        <f>CT83*CT82*LEASE_INT</f>
        <v>0</v>
      </c>
      <c r="CU85" s="173">
        <f>CU83*CU82*LEASE_INT</f>
        <v>0</v>
      </c>
      <c r="CV85" s="173">
        <f>CV83*CV82*LEASE_INT</f>
        <v>0</v>
      </c>
      <c r="CW85" s="173">
        <f>CW83*CW82*LEASE_INT</f>
        <v>7245000</v>
      </c>
      <c r="CX85" s="173">
        <f>CX83*CX82*LEASE_INT</f>
        <v>0</v>
      </c>
      <c r="CY85" s="173">
        <f>CY83*CY82*LEASE_INT</f>
        <v>0</v>
      </c>
      <c r="CZ85" s="173">
        <f>CZ83*CZ82*LEASE_INT</f>
        <v>0</v>
      </c>
      <c r="DA85" s="173">
        <f>DA83*DA82*LEASE_INT</f>
        <v>0</v>
      </c>
      <c r="DB85" s="173">
        <f>DB83*DB82*LEASE_INT</f>
        <v>0</v>
      </c>
      <c r="DC85" s="173">
        <f>DC83*DC82*LEASE_INT</f>
        <v>0</v>
      </c>
      <c r="DD85" s="173">
        <f>DD83*DD82*LEASE_INT</f>
        <v>0</v>
      </c>
      <c r="DE85" s="173">
        <f>DE83*DE82*LEASE_INT</f>
        <v>0</v>
      </c>
      <c r="DF85" s="173">
        <f>DF83*DF82*LEASE_INT</f>
        <v>0</v>
      </c>
      <c r="DG85" s="173">
        <f>DG83*DG82*LEASE_INT</f>
        <v>0</v>
      </c>
      <c r="DH85" s="173">
        <f>DH83*DH82*LEASE_INT</f>
        <v>0</v>
      </c>
      <c r="DI85" s="173">
        <f>DI83*DI82*LEASE_INT</f>
        <v>6930000</v>
      </c>
      <c r="DJ85" s="173">
        <f>DJ83*DJ82*LEASE_INT</f>
        <v>0</v>
      </c>
      <c r="DK85" s="173">
        <f>DK83*DK82*LEASE_INT</f>
        <v>0</v>
      </c>
      <c r="DL85" s="173">
        <f>DL83*DL82*LEASE_INT</f>
        <v>0</v>
      </c>
      <c r="DM85" s="173">
        <f>DM83*DM82*LEASE_INT</f>
        <v>0</v>
      </c>
      <c r="DN85" s="173">
        <f>DN83*DN82*LEASE_INT</f>
        <v>0</v>
      </c>
      <c r="DO85" s="173">
        <f>DO83*DO82*LEASE_INT</f>
        <v>0</v>
      </c>
      <c r="DP85" s="173">
        <f>DP83*DP82*LEASE_INT</f>
        <v>0</v>
      </c>
      <c r="DQ85" s="173">
        <f>DQ83*DQ82*LEASE_INT</f>
        <v>0</v>
      </c>
      <c r="DR85" s="173">
        <f>DR83*DR82*LEASE_INT</f>
        <v>0</v>
      </c>
      <c r="DS85" s="173">
        <f>DS83*DS82*LEASE_INT</f>
        <v>0</v>
      </c>
      <c r="DT85" s="173">
        <f>DT83*DT82*LEASE_INT</f>
        <v>0</v>
      </c>
      <c r="DU85" s="173">
        <f>DU83*DU82*LEASE_INT</f>
        <v>6615000</v>
      </c>
      <c r="DV85" s="173">
        <f>DV83*DV82*LEASE_INT</f>
        <v>0</v>
      </c>
      <c r="DW85" s="173">
        <f>DW83*DW82*LEASE_INT</f>
        <v>0</v>
      </c>
      <c r="DX85" s="173">
        <f>DX83*DX82*LEASE_INT</f>
        <v>0</v>
      </c>
      <c r="DY85" s="173">
        <f>DY83*DY82*LEASE_INT</f>
        <v>0</v>
      </c>
      <c r="DZ85" s="173">
        <f>DZ83*DZ82*LEASE_INT</f>
        <v>0</v>
      </c>
      <c r="EA85" s="173">
        <f>EA83*EA82*LEASE_INT</f>
        <v>0</v>
      </c>
      <c r="EB85" s="173">
        <f>EB83*EB82*LEASE_INT</f>
        <v>0</v>
      </c>
      <c r="EC85" s="173">
        <f>EC83*EC82*LEASE_INT</f>
        <v>0</v>
      </c>
      <c r="ED85" s="173">
        <f>ED83*ED82*LEASE_INT</f>
        <v>0</v>
      </c>
      <c r="EE85" s="173">
        <f>EE83*EE82*LEASE_INT</f>
        <v>0</v>
      </c>
      <c r="EF85" s="173">
        <f>EF83*EF82*LEASE_INT</f>
        <v>0</v>
      </c>
      <c r="EG85" s="173">
        <f>EG83*EG82*LEASE_INT</f>
        <v>6300000</v>
      </c>
      <c r="EH85" s="173">
        <f>EH83*EH82*LEASE_INT</f>
        <v>0</v>
      </c>
      <c r="EI85" s="173">
        <f>EI83*EI82*LEASE_INT</f>
        <v>0</v>
      </c>
      <c r="EJ85" s="173">
        <f>EJ83*EJ82*LEASE_INT</f>
        <v>0</v>
      </c>
      <c r="EK85" s="173">
        <f>EK83*EK82*LEASE_INT</f>
        <v>0</v>
      </c>
      <c r="EL85" s="173">
        <f>EL83*EL82*LEASE_INT</f>
        <v>0</v>
      </c>
      <c r="EM85" s="173">
        <f>EM83*EM82*LEASE_INT</f>
        <v>0</v>
      </c>
      <c r="EN85" s="173">
        <f>EN83*EN82*LEASE_INT</f>
        <v>0</v>
      </c>
      <c r="EO85" s="173">
        <f>EO83*EO82*LEASE_INT</f>
        <v>0</v>
      </c>
      <c r="EP85" s="173">
        <f>EP83*EP82*LEASE_INT</f>
        <v>0</v>
      </c>
      <c r="EQ85" s="173">
        <f>EQ83*EQ82*LEASE_INT</f>
        <v>0</v>
      </c>
      <c r="ER85" s="173">
        <f>ER83*ER82*LEASE_INT</f>
        <v>0</v>
      </c>
      <c r="ES85" s="173">
        <f>ES83*ES82*LEASE_INT</f>
        <v>5985000</v>
      </c>
      <c r="ET85" s="173">
        <f>ET83*ET82*LEASE_INT</f>
        <v>0</v>
      </c>
      <c r="EU85" s="173">
        <f>EU83*EU82*LEASE_INT</f>
        <v>0</v>
      </c>
      <c r="EV85" s="173">
        <f>EV83*EV82*LEASE_INT</f>
        <v>0</v>
      </c>
      <c r="EW85" s="173">
        <f>EW83*EW82*LEASE_INT</f>
        <v>0</v>
      </c>
      <c r="EX85" s="173">
        <f>EX83*EX82*LEASE_INT</f>
        <v>0</v>
      </c>
      <c r="EY85" s="173">
        <f>EY83*EY82*LEASE_INT</f>
        <v>0</v>
      </c>
      <c r="EZ85" s="173">
        <f>EZ83*EZ82*LEASE_INT</f>
        <v>0</v>
      </c>
      <c r="FA85" s="173">
        <f>FA83*FA82*LEASE_INT</f>
        <v>0</v>
      </c>
      <c r="FB85" s="173">
        <f>FB83*FB82*LEASE_INT</f>
        <v>0</v>
      </c>
      <c r="FC85" s="173">
        <f>FC83*FC82*LEASE_INT</f>
        <v>0</v>
      </c>
      <c r="FD85" s="173">
        <f>FD83*FD82*LEASE_INT</f>
        <v>0</v>
      </c>
      <c r="FE85" s="173">
        <f>FE83*FE82*LEASE_INT</f>
        <v>5670000</v>
      </c>
      <c r="FF85" s="173">
        <f>FF83*FF82*LEASE_INT</f>
        <v>0</v>
      </c>
      <c r="FG85" s="173">
        <f>FG83*FG82*LEASE_INT</f>
        <v>0</v>
      </c>
      <c r="FH85" s="173">
        <f>FH83*FH82*LEASE_INT</f>
        <v>0</v>
      </c>
      <c r="FI85" s="173">
        <f>FI83*FI82*LEASE_INT</f>
        <v>0</v>
      </c>
      <c r="FJ85" s="173">
        <f>FJ83*FJ82*LEASE_INT</f>
        <v>0</v>
      </c>
      <c r="FK85" s="173">
        <f>FK83*FK82*LEASE_INT</f>
        <v>0</v>
      </c>
      <c r="FL85" s="173">
        <f>FL83*FL82*LEASE_INT</f>
        <v>0</v>
      </c>
      <c r="FM85" s="173">
        <f>FM83*FM82*LEASE_INT</f>
        <v>0</v>
      </c>
      <c r="FN85" s="173">
        <f>FN83*FN82*LEASE_INT</f>
        <v>0</v>
      </c>
      <c r="FO85" s="173">
        <f>FO83*FO82*LEASE_INT</f>
        <v>0</v>
      </c>
      <c r="FP85" s="173">
        <f>FP83*FP82*LEASE_INT</f>
        <v>0</v>
      </c>
      <c r="FQ85" s="173">
        <f>FQ83*FQ82*LEASE_INT</f>
        <v>5355000</v>
      </c>
      <c r="FR85" s="173">
        <f>FR83*FR82*LEASE_INT</f>
        <v>0</v>
      </c>
      <c r="FS85" s="173">
        <f>FS83*FS82*LEASE_INT</f>
        <v>0</v>
      </c>
      <c r="FT85" s="173">
        <f>FT83*FT82*LEASE_INT</f>
        <v>0</v>
      </c>
      <c r="FU85" s="173">
        <f>FU83*FU82*LEASE_INT</f>
        <v>0</v>
      </c>
      <c r="FV85" s="173">
        <f>FV83*FV82*LEASE_INT</f>
        <v>0</v>
      </c>
      <c r="FW85" s="173">
        <f>FW83*FW82*LEASE_INT</f>
        <v>0</v>
      </c>
      <c r="FX85" s="173">
        <f>FX83*FX82*LEASE_INT</f>
        <v>0</v>
      </c>
      <c r="FY85" s="173">
        <f>FY83*FY82*LEASE_INT</f>
        <v>0</v>
      </c>
      <c r="FZ85" s="173">
        <f>FZ83*FZ82*LEASE_INT</f>
        <v>0</v>
      </c>
      <c r="GA85" s="173">
        <f>GA83*GA82*LEASE_INT</f>
        <v>0</v>
      </c>
      <c r="GB85" s="173">
        <f>GB83*GB82*LEASE_INT</f>
        <v>0</v>
      </c>
      <c r="GC85" s="173">
        <f>GC83*GC82*LEASE_INT</f>
        <v>5040000</v>
      </c>
      <c r="GD85" s="173">
        <f>GD83*GD82*LEASE_INT</f>
        <v>0</v>
      </c>
      <c r="GE85" s="173">
        <f>GE83*GE82*LEASE_INT</f>
        <v>0</v>
      </c>
      <c r="GF85" s="173">
        <f>GF83*GF82*LEASE_INT</f>
        <v>0</v>
      </c>
      <c r="GG85" s="173">
        <f>GG83*GG82*LEASE_INT</f>
        <v>0</v>
      </c>
      <c r="GH85" s="173">
        <f>GH83*GH82*LEASE_INT</f>
        <v>0</v>
      </c>
      <c r="GI85" s="173">
        <f>GI83*GI82*LEASE_INT</f>
        <v>0</v>
      </c>
      <c r="GJ85" s="173">
        <f>GJ83*GJ82*LEASE_INT</f>
        <v>0</v>
      </c>
      <c r="GK85" s="173">
        <f>GK83*GK82*LEASE_INT</f>
        <v>0</v>
      </c>
      <c r="GL85" s="173">
        <f>GL83*GL82*LEASE_INT</f>
        <v>0</v>
      </c>
      <c r="GM85" s="173">
        <f>GM83*GM82*LEASE_INT</f>
        <v>0</v>
      </c>
      <c r="GN85" s="173">
        <f>GN83*GN82*LEASE_INT</f>
        <v>0</v>
      </c>
      <c r="GO85" s="173">
        <f>GO83*GO82*LEASE_INT</f>
        <v>4725000</v>
      </c>
      <c r="GP85" s="173">
        <f>GP83*GP82*LEASE_INT</f>
        <v>0</v>
      </c>
      <c r="GQ85" s="173">
        <f>GQ83*GQ82*LEASE_INT</f>
        <v>0</v>
      </c>
      <c r="GR85" s="173">
        <f>GR83*GR82*LEASE_INT</f>
        <v>0</v>
      </c>
      <c r="GS85" s="173">
        <f>GS83*GS82*LEASE_INT</f>
        <v>0</v>
      </c>
      <c r="GT85" s="173">
        <f>GT83*GT82*LEASE_INT</f>
        <v>0</v>
      </c>
      <c r="GU85" s="173">
        <f>GU83*GU82*LEASE_INT</f>
        <v>0</v>
      </c>
      <c r="GV85" s="173">
        <f>GV83*GV82*LEASE_INT</f>
        <v>0</v>
      </c>
      <c r="GW85" s="173">
        <f>GW83*GW82*LEASE_INT</f>
        <v>0</v>
      </c>
      <c r="GX85" s="173">
        <f>GX83*GX82*LEASE_INT</f>
        <v>0</v>
      </c>
      <c r="GY85" s="173">
        <f>GY83*GY82*LEASE_INT</f>
        <v>0</v>
      </c>
      <c r="GZ85" s="173">
        <f>GZ83*GZ82*LEASE_INT</f>
        <v>0</v>
      </c>
      <c r="HA85" s="173">
        <f>HA83*HA82*LEASE_INT</f>
        <v>4410000</v>
      </c>
      <c r="HB85" s="173">
        <f>HB83*HB82*LEASE_INT</f>
        <v>0</v>
      </c>
      <c r="HC85" s="173">
        <f>HC83*HC82*LEASE_INT</f>
        <v>0</v>
      </c>
      <c r="HD85" s="173">
        <f>HD83*HD82*LEASE_INT</f>
        <v>0</v>
      </c>
      <c r="HE85" s="173">
        <f>HE83*HE82*LEASE_INT</f>
        <v>0</v>
      </c>
      <c r="HF85" s="173">
        <f>HF83*HF82*LEASE_INT</f>
        <v>0</v>
      </c>
      <c r="HG85" s="173">
        <f>HG83*HG82*LEASE_INT</f>
        <v>0</v>
      </c>
      <c r="HH85" s="173">
        <f>HH83*HH82*LEASE_INT</f>
        <v>0</v>
      </c>
      <c r="HI85" s="173">
        <f>HI83*HI82*LEASE_INT</f>
        <v>0</v>
      </c>
      <c r="HJ85" s="173">
        <f>HJ83*HJ82*LEASE_INT</f>
        <v>0</v>
      </c>
      <c r="HK85" s="173">
        <f>HK83*HK82*LEASE_INT</f>
        <v>0</v>
      </c>
      <c r="HL85" s="173">
        <f>HL83*HL82*LEASE_INT</f>
        <v>0</v>
      </c>
      <c r="HM85" s="173">
        <f>HM83*HM82*LEASE_INT</f>
        <v>4095000</v>
      </c>
      <c r="HN85" s="173">
        <f>HN83*HN82*LEASE_INT</f>
        <v>0</v>
      </c>
      <c r="HO85" s="173">
        <f>HO83*HO82*LEASE_INT</f>
        <v>0</v>
      </c>
      <c r="HP85" s="173">
        <f>HP83*HP82*LEASE_INT</f>
        <v>0</v>
      </c>
      <c r="HQ85" s="173">
        <f>HQ83*HQ82*LEASE_INT</f>
        <v>0</v>
      </c>
      <c r="HR85" s="173">
        <f>HR83*HR82*LEASE_INT</f>
        <v>0</v>
      </c>
      <c r="HS85" s="173">
        <f>HS83*HS82*LEASE_INT</f>
        <v>0</v>
      </c>
      <c r="HT85" s="173">
        <f>HT83*HT82*LEASE_INT</f>
        <v>0</v>
      </c>
      <c r="HU85" s="173">
        <f>HU83*HU82*LEASE_INT</f>
        <v>0</v>
      </c>
      <c r="HV85" s="173">
        <f>HV83*HV82*LEASE_INT</f>
        <v>0</v>
      </c>
      <c r="HW85" s="173">
        <f>HW83*HW82*LEASE_INT</f>
        <v>0</v>
      </c>
      <c r="HX85" s="173">
        <f>HX83*HX82*LEASE_INT</f>
        <v>0</v>
      </c>
      <c r="HY85" s="173">
        <f>HY83*HY82*LEASE_INT</f>
        <v>3780000</v>
      </c>
      <c r="HZ85" s="173">
        <f>HZ83*HZ82*LEASE_INT</f>
        <v>0</v>
      </c>
      <c r="IA85" s="173">
        <f>IA83*IA82*LEASE_INT</f>
        <v>0</v>
      </c>
      <c r="IB85" s="173">
        <f>IB83*IB82*LEASE_INT</f>
        <v>0</v>
      </c>
      <c r="IC85" s="173">
        <f>IC83*IC82*LEASE_INT</f>
        <v>0</v>
      </c>
      <c r="ID85" s="173">
        <f>ID83*ID82*LEASE_INT</f>
        <v>0</v>
      </c>
      <c r="IE85" s="173">
        <f>IE83*IE82*LEASE_INT</f>
        <v>0</v>
      </c>
      <c r="IF85" s="173">
        <f>IF83*IF82*LEASE_INT</f>
        <v>0</v>
      </c>
      <c r="IG85" s="173">
        <f>IG83*IG82*LEASE_INT</f>
        <v>0</v>
      </c>
      <c r="IH85" s="173">
        <f>IH83*IH82*LEASE_INT</f>
        <v>0</v>
      </c>
      <c r="II85" s="173">
        <f>II83*II82*LEASE_INT</f>
        <v>0</v>
      </c>
      <c r="IJ85" s="173">
        <f>IJ83*IJ82*LEASE_INT</f>
        <v>0</v>
      </c>
      <c r="IK85" s="173">
        <f>IK83*IK82*LEASE_INT</f>
        <v>3465000</v>
      </c>
      <c r="IL85" s="173">
        <f>IL83*IL82*LEASE_INT</f>
        <v>0</v>
      </c>
      <c r="IM85" s="173">
        <f>IM83*IM82*LEASE_INT</f>
        <v>0</v>
      </c>
      <c r="IN85" s="173">
        <f>IN83*IN82*LEASE_INT</f>
        <v>0</v>
      </c>
      <c r="IO85" s="173">
        <f>IO83*IO82*LEASE_INT</f>
        <v>0</v>
      </c>
      <c r="IP85" s="173">
        <f>IP83*IP82*LEASE_INT</f>
        <v>0</v>
      </c>
      <c r="IQ85" s="173">
        <f>IQ83*IQ82*LEASE_INT</f>
        <v>0</v>
      </c>
      <c r="IR85" s="173">
        <f>IR83*IR82*LEASE_INT</f>
        <v>0</v>
      </c>
      <c r="IS85" s="173">
        <f>IS83*IS82*LEASE_INT</f>
        <v>0</v>
      </c>
      <c r="IT85" s="173">
        <f>IT83*IT82*LEASE_INT</f>
        <v>0</v>
      </c>
      <c r="IU85" s="173">
        <f>IU83*IU82*LEASE_INT</f>
        <v>0</v>
      </c>
      <c r="IV85" s="173">
        <f>IV83*IV82*LEASE_INT</f>
        <v>0</v>
      </c>
      <c r="IW85" s="173">
        <f>IW83*IW82*LEASE_INT</f>
        <v>3150000</v>
      </c>
      <c r="IX85" s="173">
        <f>IX83*IX82*LEASE_INT</f>
        <v>0</v>
      </c>
      <c r="IY85" s="173">
        <f>IY83*IY82*LEASE_INT</f>
        <v>0</v>
      </c>
      <c r="IZ85" s="173">
        <f>IZ83*IZ82*LEASE_INT</f>
        <v>0</v>
      </c>
      <c r="JA85" s="173">
        <f>JA83*JA82*LEASE_INT</f>
        <v>0</v>
      </c>
      <c r="JB85" s="173">
        <f>JB83*JB82*LEASE_INT</f>
        <v>0</v>
      </c>
      <c r="JC85" s="173">
        <f>JC83*JC82*LEASE_INT</f>
        <v>0</v>
      </c>
      <c r="JD85" s="173">
        <f>JD83*JD82*LEASE_INT</f>
        <v>0</v>
      </c>
      <c r="JE85" s="173">
        <f>JE83*JE82*LEASE_INT</f>
        <v>0</v>
      </c>
      <c r="JF85" s="173">
        <f>JF83*JF82*LEASE_INT</f>
        <v>0</v>
      </c>
      <c r="JG85" s="173">
        <f>JG83*JG82*LEASE_INT</f>
        <v>0</v>
      </c>
      <c r="JH85" s="173">
        <f>JH83*JH82*LEASE_INT</f>
        <v>0</v>
      </c>
      <c r="JI85" s="173">
        <f>JI83*JI82*LEASE_INT</f>
        <v>2835000</v>
      </c>
      <c r="JJ85" s="173">
        <f>JJ83*JJ82*LEASE_INT</f>
        <v>0</v>
      </c>
      <c r="JK85" s="173">
        <f>JK83*JK82*LEASE_INT</f>
        <v>0</v>
      </c>
      <c r="JL85" s="173">
        <f>JL83*JL82*LEASE_INT</f>
        <v>0</v>
      </c>
      <c r="JM85" s="173">
        <f>JM83*JM82*LEASE_INT</f>
        <v>0</v>
      </c>
      <c r="JN85" s="173">
        <f>JN83*JN82*LEASE_INT</f>
        <v>0</v>
      </c>
      <c r="JO85" s="173">
        <f>JO83*JO82*LEASE_INT</f>
        <v>0</v>
      </c>
      <c r="JP85" s="173">
        <f>JP83*JP82*LEASE_INT</f>
        <v>0</v>
      </c>
      <c r="JQ85" s="173">
        <f>JQ83*JQ82*LEASE_INT</f>
        <v>0</v>
      </c>
      <c r="JR85" s="173">
        <f>JR83*JR82*LEASE_INT</f>
        <v>0</v>
      </c>
      <c r="JS85" s="173">
        <f>JS83*JS82*LEASE_INT</f>
        <v>0</v>
      </c>
      <c r="JT85" s="173">
        <f>JT83*JT82*LEASE_INT</f>
        <v>0</v>
      </c>
      <c r="JU85" s="173">
        <f>JU83*JU82*LEASE_INT</f>
        <v>2520000</v>
      </c>
      <c r="JV85" s="173">
        <f>JV83*JV82*LEASE_INT</f>
        <v>0</v>
      </c>
      <c r="JW85" s="173">
        <f>JW83*JW82*LEASE_INT</f>
        <v>0</v>
      </c>
      <c r="JX85" s="173">
        <f>JX83*JX82*LEASE_INT</f>
        <v>0</v>
      </c>
      <c r="JY85" s="173">
        <f>JY83*JY82*LEASE_INT</f>
        <v>0</v>
      </c>
      <c r="JZ85" s="173">
        <f>JZ83*JZ82*LEASE_INT</f>
        <v>0</v>
      </c>
      <c r="KA85" s="173">
        <f>KA83*KA82*LEASE_INT</f>
        <v>0</v>
      </c>
      <c r="KB85" s="173">
        <f>KB83*KB82*LEASE_INT</f>
        <v>0</v>
      </c>
      <c r="KC85" s="173">
        <f>KC83*KC82*LEASE_INT</f>
        <v>0</v>
      </c>
      <c r="KD85" s="173">
        <f>KD83*KD82*LEASE_INT</f>
        <v>0</v>
      </c>
      <c r="KE85" s="173">
        <f>KE83*KE82*LEASE_INT</f>
        <v>0</v>
      </c>
      <c r="KF85" s="173">
        <f>KF83*KF82*LEASE_INT</f>
        <v>0</v>
      </c>
    </row>
    <row r="86">
      <c r="B86" s="36" t="inlineStr">
        <is>
          <t>Closing lease liability</t>
        </is>
      </c>
      <c r="C86" s="117" t="inlineStr">
        <is>
          <t>ETB</t>
        </is>
      </c>
      <c r="D86" s="169">
        <f>KF86</f>
        <v>31500000</v>
      </c>
      <c r="E86" s="173">
        <f>E82+E81-E84</f>
        <v>135000000</v>
      </c>
      <c r="F86" s="173">
        <f>F82+F81-F84</f>
        <v>135000000</v>
      </c>
      <c r="G86" s="173">
        <f>G82+G81-G84</f>
        <v>135000000</v>
      </c>
      <c r="H86" s="173">
        <f>H82+H81-H84</f>
        <v>135000000</v>
      </c>
      <c r="I86" s="173">
        <f>I82+I81-I84</f>
        <v>135000000</v>
      </c>
      <c r="J86" s="173">
        <f>J82+J81-J84</f>
        <v>135000000</v>
      </c>
      <c r="K86" s="173">
        <f>K82+K81-K84</f>
        <v>135000000</v>
      </c>
      <c r="L86" s="173">
        <f>L82+L81-L84</f>
        <v>135000000</v>
      </c>
      <c r="M86" s="173">
        <f>M82+M81-M84</f>
        <v>135000000</v>
      </c>
      <c r="N86" s="173">
        <f>N82+N81-N84</f>
        <v>135000000</v>
      </c>
      <c r="O86" s="173">
        <f>O82+O81-O84</f>
        <v>135000000</v>
      </c>
      <c r="P86" s="173">
        <f>P82+P81-P84</f>
        <v>135000000</v>
      </c>
      <c r="Q86" s="173">
        <f>Q82+Q81-Q84</f>
        <v>130500000</v>
      </c>
      <c r="R86" s="173">
        <f>R82+R81-R84</f>
        <v>130500000</v>
      </c>
      <c r="S86" s="173">
        <f>S82+S81-S84</f>
        <v>130500000</v>
      </c>
      <c r="T86" s="173">
        <f>T82+T81-T84</f>
        <v>130500000</v>
      </c>
      <c r="U86" s="173">
        <f>U82+U81-U84</f>
        <v>130500000</v>
      </c>
      <c r="V86" s="173">
        <f>V82+V81-V84</f>
        <v>130500000</v>
      </c>
      <c r="W86" s="173">
        <f>W82+W81-W84</f>
        <v>130500000</v>
      </c>
      <c r="X86" s="173">
        <f>X82+X81-X84</f>
        <v>130500000</v>
      </c>
      <c r="Y86" s="173">
        <f>Y82+Y81-Y84</f>
        <v>130500000</v>
      </c>
      <c r="Z86" s="173">
        <f>Z82+Z81-Z84</f>
        <v>130500000</v>
      </c>
      <c r="AA86" s="173">
        <f>AA82+AA81-AA84</f>
        <v>130500000</v>
      </c>
      <c r="AB86" s="173">
        <f>AB82+AB81-AB84</f>
        <v>130500000</v>
      </c>
      <c r="AC86" s="173">
        <f>AC82+AC81-AC84</f>
        <v>126000000</v>
      </c>
      <c r="AD86" s="173">
        <f>AD82+AD81-AD84</f>
        <v>126000000</v>
      </c>
      <c r="AE86" s="173">
        <f>AE82+AE81-AE84</f>
        <v>126000000</v>
      </c>
      <c r="AF86" s="173">
        <f>AF82+AF81-AF84</f>
        <v>126000000</v>
      </c>
      <c r="AG86" s="173">
        <f>AG82+AG81-AG84</f>
        <v>126000000</v>
      </c>
      <c r="AH86" s="173">
        <f>AH82+AH81-AH84</f>
        <v>126000000</v>
      </c>
      <c r="AI86" s="173">
        <f>AI82+AI81-AI84</f>
        <v>126000000</v>
      </c>
      <c r="AJ86" s="173">
        <f>AJ82+AJ81-AJ84</f>
        <v>126000000</v>
      </c>
      <c r="AK86" s="173">
        <f>AK82+AK81-AK84</f>
        <v>126000000</v>
      </c>
      <c r="AL86" s="173">
        <f>AL82+AL81-AL84</f>
        <v>126000000</v>
      </c>
      <c r="AM86" s="173">
        <f>AM82+AM81-AM84</f>
        <v>126000000</v>
      </c>
      <c r="AN86" s="173">
        <f>AN82+AN81-AN84</f>
        <v>126000000</v>
      </c>
      <c r="AO86" s="173">
        <f>AO82+AO81-AO84</f>
        <v>121500000</v>
      </c>
      <c r="AP86" s="173">
        <f>AP82+AP81-AP84</f>
        <v>121500000</v>
      </c>
      <c r="AQ86" s="173">
        <f>AQ82+AQ81-AQ84</f>
        <v>121500000</v>
      </c>
      <c r="AR86" s="173">
        <f>AR82+AR81-AR84</f>
        <v>121500000</v>
      </c>
      <c r="AS86" s="173">
        <f>AS82+AS81-AS84</f>
        <v>121500000</v>
      </c>
      <c r="AT86" s="173">
        <f>AT82+AT81-AT84</f>
        <v>121500000</v>
      </c>
      <c r="AU86" s="173">
        <f>AU82+AU81-AU84</f>
        <v>121500000</v>
      </c>
      <c r="AV86" s="173">
        <f>AV82+AV81-AV84</f>
        <v>121500000</v>
      </c>
      <c r="AW86" s="173">
        <f>AW82+AW81-AW84</f>
        <v>121500000</v>
      </c>
      <c r="AX86" s="173">
        <f>AX82+AX81-AX84</f>
        <v>121500000</v>
      </c>
      <c r="AY86" s="173">
        <f>AY82+AY81-AY84</f>
        <v>121500000</v>
      </c>
      <c r="AZ86" s="173">
        <f>AZ82+AZ81-AZ84</f>
        <v>121500000</v>
      </c>
      <c r="BA86" s="173">
        <f>BA82+BA81-BA84</f>
        <v>117000000</v>
      </c>
      <c r="BB86" s="173">
        <f>BB82+BB81-BB84</f>
        <v>117000000</v>
      </c>
      <c r="BC86" s="173">
        <f>BC82+BC81-BC84</f>
        <v>117000000</v>
      </c>
      <c r="BD86" s="173">
        <f>BD82+BD81-BD84</f>
        <v>117000000</v>
      </c>
      <c r="BE86" s="173">
        <f>BE82+BE81-BE84</f>
        <v>117000000</v>
      </c>
      <c r="BF86" s="173">
        <f>BF82+BF81-BF84</f>
        <v>117000000</v>
      </c>
      <c r="BG86" s="173">
        <f>BG82+BG81-BG84</f>
        <v>117000000</v>
      </c>
      <c r="BH86" s="173">
        <f>BH82+BH81-BH84</f>
        <v>117000000</v>
      </c>
      <c r="BI86" s="173">
        <f>BI82+BI81-BI84</f>
        <v>117000000</v>
      </c>
      <c r="BJ86" s="173">
        <f>BJ82+BJ81-BJ84</f>
        <v>117000000</v>
      </c>
      <c r="BK86" s="173">
        <f>BK82+BK81-BK84</f>
        <v>117000000</v>
      </c>
      <c r="BL86" s="173">
        <f>BL82+BL81-BL84</f>
        <v>117000000</v>
      </c>
      <c r="BM86" s="173">
        <f>BM82+BM81-BM84</f>
        <v>112500000</v>
      </c>
      <c r="BN86" s="173">
        <f>BN82+BN81-BN84</f>
        <v>112500000</v>
      </c>
      <c r="BO86" s="173">
        <f>BO82+BO81-BO84</f>
        <v>112500000</v>
      </c>
      <c r="BP86" s="173">
        <f>BP82+BP81-BP84</f>
        <v>112500000</v>
      </c>
      <c r="BQ86" s="173">
        <f>BQ82+BQ81-BQ84</f>
        <v>112500000</v>
      </c>
      <c r="BR86" s="173">
        <f>BR82+BR81-BR84</f>
        <v>112500000</v>
      </c>
      <c r="BS86" s="173">
        <f>BS82+BS81-BS84</f>
        <v>112500000</v>
      </c>
      <c r="BT86" s="173">
        <f>BT82+BT81-BT84</f>
        <v>112500000</v>
      </c>
      <c r="BU86" s="173">
        <f>BU82+BU81-BU84</f>
        <v>112500000</v>
      </c>
      <c r="BV86" s="173">
        <f>BV82+BV81-BV84</f>
        <v>112500000</v>
      </c>
      <c r="BW86" s="173">
        <f>BW82+BW81-BW84</f>
        <v>112500000</v>
      </c>
      <c r="BX86" s="173">
        <f>BX82+BX81-BX84</f>
        <v>112500000</v>
      </c>
      <c r="BY86" s="173">
        <f>BY82+BY81-BY84</f>
        <v>108000000</v>
      </c>
      <c r="BZ86" s="173">
        <f>BZ82+BZ81-BZ84</f>
        <v>108000000</v>
      </c>
      <c r="CA86" s="173">
        <f>CA82+CA81-CA84</f>
        <v>108000000</v>
      </c>
      <c r="CB86" s="173">
        <f>CB82+CB81-CB84</f>
        <v>108000000</v>
      </c>
      <c r="CC86" s="173">
        <f>CC82+CC81-CC84</f>
        <v>108000000</v>
      </c>
      <c r="CD86" s="173">
        <f>CD82+CD81-CD84</f>
        <v>108000000</v>
      </c>
      <c r="CE86" s="173">
        <f>CE82+CE81-CE84</f>
        <v>108000000</v>
      </c>
      <c r="CF86" s="173">
        <f>CF82+CF81-CF84</f>
        <v>108000000</v>
      </c>
      <c r="CG86" s="173">
        <f>CG82+CG81-CG84</f>
        <v>108000000</v>
      </c>
      <c r="CH86" s="173">
        <f>CH82+CH81-CH84</f>
        <v>108000000</v>
      </c>
      <c r="CI86" s="173">
        <f>CI82+CI81-CI84</f>
        <v>108000000</v>
      </c>
      <c r="CJ86" s="173">
        <f>CJ82+CJ81-CJ84</f>
        <v>108000000</v>
      </c>
      <c r="CK86" s="173">
        <f>CK82+CK81-CK84</f>
        <v>103500000</v>
      </c>
      <c r="CL86" s="173">
        <f>CL82+CL81-CL84</f>
        <v>103500000</v>
      </c>
      <c r="CM86" s="173">
        <f>CM82+CM81-CM84</f>
        <v>103500000</v>
      </c>
      <c r="CN86" s="173">
        <f>CN82+CN81-CN84</f>
        <v>103500000</v>
      </c>
      <c r="CO86" s="173">
        <f>CO82+CO81-CO84</f>
        <v>103500000</v>
      </c>
      <c r="CP86" s="173">
        <f>CP82+CP81-CP84</f>
        <v>103500000</v>
      </c>
      <c r="CQ86" s="173">
        <f>CQ82+CQ81-CQ84</f>
        <v>103500000</v>
      </c>
      <c r="CR86" s="173">
        <f>CR82+CR81-CR84</f>
        <v>103500000</v>
      </c>
      <c r="CS86" s="173">
        <f>CS82+CS81-CS84</f>
        <v>103500000</v>
      </c>
      <c r="CT86" s="173">
        <f>CT82+CT81-CT84</f>
        <v>103500000</v>
      </c>
      <c r="CU86" s="173">
        <f>CU82+CU81-CU84</f>
        <v>103500000</v>
      </c>
      <c r="CV86" s="173">
        <f>CV82+CV81-CV84</f>
        <v>103500000</v>
      </c>
      <c r="CW86" s="173">
        <f>CW82+CW81-CW84</f>
        <v>99000000</v>
      </c>
      <c r="CX86" s="173">
        <f>CX82+CX81-CX84</f>
        <v>99000000</v>
      </c>
      <c r="CY86" s="173">
        <f>CY82+CY81-CY84</f>
        <v>99000000</v>
      </c>
      <c r="CZ86" s="173">
        <f>CZ82+CZ81-CZ84</f>
        <v>99000000</v>
      </c>
      <c r="DA86" s="173">
        <f>DA82+DA81-DA84</f>
        <v>99000000</v>
      </c>
      <c r="DB86" s="173">
        <f>DB82+DB81-DB84</f>
        <v>99000000</v>
      </c>
      <c r="DC86" s="173">
        <f>DC82+DC81-DC84</f>
        <v>99000000</v>
      </c>
      <c r="DD86" s="173">
        <f>DD82+DD81-DD84</f>
        <v>99000000</v>
      </c>
      <c r="DE86" s="173">
        <f>DE82+DE81-DE84</f>
        <v>99000000</v>
      </c>
      <c r="DF86" s="173">
        <f>DF82+DF81-DF84</f>
        <v>99000000</v>
      </c>
      <c r="DG86" s="173">
        <f>DG82+DG81-DG84</f>
        <v>99000000</v>
      </c>
      <c r="DH86" s="173">
        <f>DH82+DH81-DH84</f>
        <v>99000000</v>
      </c>
      <c r="DI86" s="173">
        <f>DI82+DI81-DI84</f>
        <v>94500000</v>
      </c>
      <c r="DJ86" s="173">
        <f>DJ82+DJ81-DJ84</f>
        <v>94500000</v>
      </c>
      <c r="DK86" s="173">
        <f>DK82+DK81-DK84</f>
        <v>94500000</v>
      </c>
      <c r="DL86" s="173">
        <f>DL82+DL81-DL84</f>
        <v>94500000</v>
      </c>
      <c r="DM86" s="173">
        <f>DM82+DM81-DM84</f>
        <v>94500000</v>
      </c>
      <c r="DN86" s="173">
        <f>DN82+DN81-DN84</f>
        <v>94500000</v>
      </c>
      <c r="DO86" s="173">
        <f>DO82+DO81-DO84</f>
        <v>94500000</v>
      </c>
      <c r="DP86" s="173">
        <f>DP82+DP81-DP84</f>
        <v>94500000</v>
      </c>
      <c r="DQ86" s="173">
        <f>DQ82+DQ81-DQ84</f>
        <v>94500000</v>
      </c>
      <c r="DR86" s="173">
        <f>DR82+DR81-DR84</f>
        <v>94500000</v>
      </c>
      <c r="DS86" s="173">
        <f>DS82+DS81-DS84</f>
        <v>94500000</v>
      </c>
      <c r="DT86" s="173">
        <f>DT82+DT81-DT84</f>
        <v>94500000</v>
      </c>
      <c r="DU86" s="173">
        <f>DU82+DU81-DU84</f>
        <v>90000000</v>
      </c>
      <c r="DV86" s="173">
        <f>DV82+DV81-DV84</f>
        <v>90000000</v>
      </c>
      <c r="DW86" s="173">
        <f>DW82+DW81-DW84</f>
        <v>90000000</v>
      </c>
      <c r="DX86" s="173">
        <f>DX82+DX81-DX84</f>
        <v>90000000</v>
      </c>
      <c r="DY86" s="173">
        <f>DY82+DY81-DY84</f>
        <v>90000000</v>
      </c>
      <c r="DZ86" s="173">
        <f>DZ82+DZ81-DZ84</f>
        <v>90000000</v>
      </c>
      <c r="EA86" s="173">
        <f>EA82+EA81-EA84</f>
        <v>90000000</v>
      </c>
      <c r="EB86" s="173">
        <f>EB82+EB81-EB84</f>
        <v>90000000</v>
      </c>
      <c r="EC86" s="173">
        <f>EC82+EC81-EC84</f>
        <v>90000000</v>
      </c>
      <c r="ED86" s="173">
        <f>ED82+ED81-ED84</f>
        <v>90000000</v>
      </c>
      <c r="EE86" s="173">
        <f>EE82+EE81-EE84</f>
        <v>90000000</v>
      </c>
      <c r="EF86" s="173">
        <f>EF82+EF81-EF84</f>
        <v>90000000</v>
      </c>
      <c r="EG86" s="173">
        <f>EG82+EG81-EG84</f>
        <v>85500000</v>
      </c>
      <c r="EH86" s="173">
        <f>EH82+EH81-EH84</f>
        <v>85500000</v>
      </c>
      <c r="EI86" s="173">
        <f>EI82+EI81-EI84</f>
        <v>85500000</v>
      </c>
      <c r="EJ86" s="173">
        <f>EJ82+EJ81-EJ84</f>
        <v>85500000</v>
      </c>
      <c r="EK86" s="173">
        <f>EK82+EK81-EK84</f>
        <v>85500000</v>
      </c>
      <c r="EL86" s="173">
        <f>EL82+EL81-EL84</f>
        <v>85500000</v>
      </c>
      <c r="EM86" s="173">
        <f>EM82+EM81-EM84</f>
        <v>85500000</v>
      </c>
      <c r="EN86" s="173">
        <f>EN82+EN81-EN84</f>
        <v>85500000</v>
      </c>
      <c r="EO86" s="173">
        <f>EO82+EO81-EO84</f>
        <v>85500000</v>
      </c>
      <c r="EP86" s="173">
        <f>EP82+EP81-EP84</f>
        <v>85500000</v>
      </c>
      <c r="EQ86" s="173">
        <f>EQ82+EQ81-EQ84</f>
        <v>85500000</v>
      </c>
      <c r="ER86" s="173">
        <f>ER82+ER81-ER84</f>
        <v>85500000</v>
      </c>
      <c r="ES86" s="173">
        <f>ES82+ES81-ES84</f>
        <v>81000000</v>
      </c>
      <c r="ET86" s="173">
        <f>ET82+ET81-ET84</f>
        <v>81000000</v>
      </c>
      <c r="EU86" s="173">
        <f>EU82+EU81-EU84</f>
        <v>81000000</v>
      </c>
      <c r="EV86" s="173">
        <f>EV82+EV81-EV84</f>
        <v>81000000</v>
      </c>
      <c r="EW86" s="173">
        <f>EW82+EW81-EW84</f>
        <v>81000000</v>
      </c>
      <c r="EX86" s="173">
        <f>EX82+EX81-EX84</f>
        <v>81000000</v>
      </c>
      <c r="EY86" s="173">
        <f>EY82+EY81-EY84</f>
        <v>81000000</v>
      </c>
      <c r="EZ86" s="173">
        <f>EZ82+EZ81-EZ84</f>
        <v>81000000</v>
      </c>
      <c r="FA86" s="173">
        <f>FA82+FA81-FA84</f>
        <v>81000000</v>
      </c>
      <c r="FB86" s="173">
        <f>FB82+FB81-FB84</f>
        <v>81000000</v>
      </c>
      <c r="FC86" s="173">
        <f>FC82+FC81-FC84</f>
        <v>81000000</v>
      </c>
      <c r="FD86" s="173">
        <f>FD82+FD81-FD84</f>
        <v>81000000</v>
      </c>
      <c r="FE86" s="173">
        <f>FE82+FE81-FE84</f>
        <v>76500000</v>
      </c>
      <c r="FF86" s="173">
        <f>FF82+FF81-FF84</f>
        <v>76500000</v>
      </c>
      <c r="FG86" s="173">
        <f>FG82+FG81-FG84</f>
        <v>76500000</v>
      </c>
      <c r="FH86" s="173">
        <f>FH82+FH81-FH84</f>
        <v>76500000</v>
      </c>
      <c r="FI86" s="173">
        <f>FI82+FI81-FI84</f>
        <v>76500000</v>
      </c>
      <c r="FJ86" s="173">
        <f>FJ82+FJ81-FJ84</f>
        <v>76500000</v>
      </c>
      <c r="FK86" s="173">
        <f>FK82+FK81-FK84</f>
        <v>76500000</v>
      </c>
      <c r="FL86" s="173">
        <f>FL82+FL81-FL84</f>
        <v>76500000</v>
      </c>
      <c r="FM86" s="173">
        <f>FM82+FM81-FM84</f>
        <v>76500000</v>
      </c>
      <c r="FN86" s="173">
        <f>FN82+FN81-FN84</f>
        <v>76500000</v>
      </c>
      <c r="FO86" s="173">
        <f>FO82+FO81-FO84</f>
        <v>76500000</v>
      </c>
      <c r="FP86" s="173">
        <f>FP82+FP81-FP84</f>
        <v>76500000</v>
      </c>
      <c r="FQ86" s="173">
        <f>FQ82+FQ81-FQ84</f>
        <v>72000000</v>
      </c>
      <c r="FR86" s="173">
        <f>FR82+FR81-FR84</f>
        <v>72000000</v>
      </c>
      <c r="FS86" s="173">
        <f>FS82+FS81-FS84</f>
        <v>72000000</v>
      </c>
      <c r="FT86" s="173">
        <f>FT82+FT81-FT84</f>
        <v>72000000</v>
      </c>
      <c r="FU86" s="173">
        <f>FU82+FU81-FU84</f>
        <v>72000000</v>
      </c>
      <c r="FV86" s="173">
        <f>FV82+FV81-FV84</f>
        <v>72000000</v>
      </c>
      <c r="FW86" s="173">
        <f>FW82+FW81-FW84</f>
        <v>72000000</v>
      </c>
      <c r="FX86" s="173">
        <f>FX82+FX81-FX84</f>
        <v>72000000</v>
      </c>
      <c r="FY86" s="173">
        <f>FY82+FY81-FY84</f>
        <v>72000000</v>
      </c>
      <c r="FZ86" s="173">
        <f>FZ82+FZ81-FZ84</f>
        <v>72000000</v>
      </c>
      <c r="GA86" s="173">
        <f>GA82+GA81-GA84</f>
        <v>72000000</v>
      </c>
      <c r="GB86" s="173">
        <f>GB82+GB81-GB84</f>
        <v>72000000</v>
      </c>
      <c r="GC86" s="173">
        <f>GC82+GC81-GC84</f>
        <v>67500000</v>
      </c>
      <c r="GD86" s="173">
        <f>GD82+GD81-GD84</f>
        <v>67500000</v>
      </c>
      <c r="GE86" s="173">
        <f>GE82+GE81-GE84</f>
        <v>67500000</v>
      </c>
      <c r="GF86" s="173">
        <f>GF82+GF81-GF84</f>
        <v>67500000</v>
      </c>
      <c r="GG86" s="173">
        <f>GG82+GG81-GG84</f>
        <v>67500000</v>
      </c>
      <c r="GH86" s="173">
        <f>GH82+GH81-GH84</f>
        <v>67500000</v>
      </c>
      <c r="GI86" s="173">
        <f>GI82+GI81-GI84</f>
        <v>67500000</v>
      </c>
      <c r="GJ86" s="173">
        <f>GJ82+GJ81-GJ84</f>
        <v>67500000</v>
      </c>
      <c r="GK86" s="173">
        <f>GK82+GK81-GK84</f>
        <v>67500000</v>
      </c>
      <c r="GL86" s="173">
        <f>GL82+GL81-GL84</f>
        <v>67500000</v>
      </c>
      <c r="GM86" s="173">
        <f>GM82+GM81-GM84</f>
        <v>67500000</v>
      </c>
      <c r="GN86" s="173">
        <f>GN82+GN81-GN84</f>
        <v>67500000</v>
      </c>
      <c r="GO86" s="173">
        <f>GO82+GO81-GO84</f>
        <v>63000000</v>
      </c>
      <c r="GP86" s="173">
        <f>GP82+GP81-GP84</f>
        <v>63000000</v>
      </c>
      <c r="GQ86" s="173">
        <f>GQ82+GQ81-GQ84</f>
        <v>63000000</v>
      </c>
      <c r="GR86" s="173">
        <f>GR82+GR81-GR84</f>
        <v>63000000</v>
      </c>
      <c r="GS86" s="173">
        <f>GS82+GS81-GS84</f>
        <v>63000000</v>
      </c>
      <c r="GT86" s="173">
        <f>GT82+GT81-GT84</f>
        <v>63000000</v>
      </c>
      <c r="GU86" s="173">
        <f>GU82+GU81-GU84</f>
        <v>63000000</v>
      </c>
      <c r="GV86" s="173">
        <f>GV82+GV81-GV84</f>
        <v>63000000</v>
      </c>
      <c r="GW86" s="173">
        <f>GW82+GW81-GW84</f>
        <v>63000000</v>
      </c>
      <c r="GX86" s="173">
        <f>GX82+GX81-GX84</f>
        <v>63000000</v>
      </c>
      <c r="GY86" s="173">
        <f>GY82+GY81-GY84</f>
        <v>63000000</v>
      </c>
      <c r="GZ86" s="173">
        <f>GZ82+GZ81-GZ84</f>
        <v>63000000</v>
      </c>
      <c r="HA86" s="173">
        <f>HA82+HA81-HA84</f>
        <v>58500000</v>
      </c>
      <c r="HB86" s="173">
        <f>HB82+HB81-HB84</f>
        <v>58500000</v>
      </c>
      <c r="HC86" s="173">
        <f>HC82+HC81-HC84</f>
        <v>58500000</v>
      </c>
      <c r="HD86" s="173">
        <f>HD82+HD81-HD84</f>
        <v>58500000</v>
      </c>
      <c r="HE86" s="173">
        <f>HE82+HE81-HE84</f>
        <v>58500000</v>
      </c>
      <c r="HF86" s="173">
        <f>HF82+HF81-HF84</f>
        <v>58500000</v>
      </c>
      <c r="HG86" s="173">
        <f>HG82+HG81-HG84</f>
        <v>58500000</v>
      </c>
      <c r="HH86" s="173">
        <f>HH82+HH81-HH84</f>
        <v>58500000</v>
      </c>
      <c r="HI86" s="173">
        <f>HI82+HI81-HI84</f>
        <v>58500000</v>
      </c>
      <c r="HJ86" s="173">
        <f>HJ82+HJ81-HJ84</f>
        <v>58500000</v>
      </c>
      <c r="HK86" s="173">
        <f>HK82+HK81-HK84</f>
        <v>58500000</v>
      </c>
      <c r="HL86" s="173">
        <f>HL82+HL81-HL84</f>
        <v>58500000</v>
      </c>
      <c r="HM86" s="173">
        <f>HM82+HM81-HM84</f>
        <v>54000000</v>
      </c>
      <c r="HN86" s="173">
        <f>HN82+HN81-HN84</f>
        <v>54000000</v>
      </c>
      <c r="HO86" s="173">
        <f>HO82+HO81-HO84</f>
        <v>54000000</v>
      </c>
      <c r="HP86" s="173">
        <f>HP82+HP81-HP84</f>
        <v>54000000</v>
      </c>
      <c r="HQ86" s="173">
        <f>HQ82+HQ81-HQ84</f>
        <v>54000000</v>
      </c>
      <c r="HR86" s="173">
        <f>HR82+HR81-HR84</f>
        <v>54000000</v>
      </c>
      <c r="HS86" s="173">
        <f>HS82+HS81-HS84</f>
        <v>54000000</v>
      </c>
      <c r="HT86" s="173">
        <f>HT82+HT81-HT84</f>
        <v>54000000</v>
      </c>
      <c r="HU86" s="173">
        <f>HU82+HU81-HU84</f>
        <v>54000000</v>
      </c>
      <c r="HV86" s="173">
        <f>HV82+HV81-HV84</f>
        <v>54000000</v>
      </c>
      <c r="HW86" s="173">
        <f>HW82+HW81-HW84</f>
        <v>54000000</v>
      </c>
      <c r="HX86" s="173">
        <f>HX82+HX81-HX84</f>
        <v>54000000</v>
      </c>
      <c r="HY86" s="173">
        <f>HY82+HY81-HY84</f>
        <v>49500000</v>
      </c>
      <c r="HZ86" s="173">
        <f>HZ82+HZ81-HZ84</f>
        <v>49500000</v>
      </c>
      <c r="IA86" s="173">
        <f>IA82+IA81-IA84</f>
        <v>49500000</v>
      </c>
      <c r="IB86" s="173">
        <f>IB82+IB81-IB84</f>
        <v>49500000</v>
      </c>
      <c r="IC86" s="173">
        <f>IC82+IC81-IC84</f>
        <v>49500000</v>
      </c>
      <c r="ID86" s="173">
        <f>ID82+ID81-ID84</f>
        <v>49500000</v>
      </c>
      <c r="IE86" s="173">
        <f>IE82+IE81-IE84</f>
        <v>49500000</v>
      </c>
      <c r="IF86" s="173">
        <f>IF82+IF81-IF84</f>
        <v>49500000</v>
      </c>
      <c r="IG86" s="173">
        <f>IG82+IG81-IG84</f>
        <v>49500000</v>
      </c>
      <c r="IH86" s="173">
        <f>IH82+IH81-IH84</f>
        <v>49500000</v>
      </c>
      <c r="II86" s="173">
        <f>II82+II81-II84</f>
        <v>49500000</v>
      </c>
      <c r="IJ86" s="173">
        <f>IJ82+IJ81-IJ84</f>
        <v>49500000</v>
      </c>
      <c r="IK86" s="173">
        <f>IK82+IK81-IK84</f>
        <v>45000000</v>
      </c>
      <c r="IL86" s="173">
        <f>IL82+IL81-IL84</f>
        <v>45000000</v>
      </c>
      <c r="IM86" s="173">
        <f>IM82+IM81-IM84</f>
        <v>45000000</v>
      </c>
      <c r="IN86" s="173">
        <f>IN82+IN81-IN84</f>
        <v>45000000</v>
      </c>
      <c r="IO86" s="173">
        <f>IO82+IO81-IO84</f>
        <v>45000000</v>
      </c>
      <c r="IP86" s="173">
        <f>IP82+IP81-IP84</f>
        <v>45000000</v>
      </c>
      <c r="IQ86" s="173">
        <f>IQ82+IQ81-IQ84</f>
        <v>45000000</v>
      </c>
      <c r="IR86" s="173">
        <f>IR82+IR81-IR84</f>
        <v>45000000</v>
      </c>
      <c r="IS86" s="173">
        <f>IS82+IS81-IS84</f>
        <v>45000000</v>
      </c>
      <c r="IT86" s="173">
        <f>IT82+IT81-IT84</f>
        <v>45000000</v>
      </c>
      <c r="IU86" s="173">
        <f>IU82+IU81-IU84</f>
        <v>45000000</v>
      </c>
      <c r="IV86" s="173">
        <f>IV82+IV81-IV84</f>
        <v>45000000</v>
      </c>
      <c r="IW86" s="173">
        <f>IW82+IW81-IW84</f>
        <v>40500000</v>
      </c>
      <c r="IX86" s="173">
        <f>IX82+IX81-IX84</f>
        <v>40500000</v>
      </c>
      <c r="IY86" s="173">
        <f>IY82+IY81-IY84</f>
        <v>40500000</v>
      </c>
      <c r="IZ86" s="173">
        <f>IZ82+IZ81-IZ84</f>
        <v>40500000</v>
      </c>
      <c r="JA86" s="173">
        <f>JA82+JA81-JA84</f>
        <v>40500000</v>
      </c>
      <c r="JB86" s="173">
        <f>JB82+JB81-JB84</f>
        <v>40500000</v>
      </c>
      <c r="JC86" s="173">
        <f>JC82+JC81-JC84</f>
        <v>40500000</v>
      </c>
      <c r="JD86" s="173">
        <f>JD82+JD81-JD84</f>
        <v>40500000</v>
      </c>
      <c r="JE86" s="173">
        <f>JE82+JE81-JE84</f>
        <v>40500000</v>
      </c>
      <c r="JF86" s="173">
        <f>JF82+JF81-JF84</f>
        <v>40500000</v>
      </c>
      <c r="JG86" s="173">
        <f>JG82+JG81-JG84</f>
        <v>40500000</v>
      </c>
      <c r="JH86" s="173">
        <f>JH82+JH81-JH84</f>
        <v>40500000</v>
      </c>
      <c r="JI86" s="173">
        <f>JI82+JI81-JI84</f>
        <v>36000000</v>
      </c>
      <c r="JJ86" s="173">
        <f>JJ82+JJ81-JJ84</f>
        <v>36000000</v>
      </c>
      <c r="JK86" s="173">
        <f>JK82+JK81-JK84</f>
        <v>36000000</v>
      </c>
      <c r="JL86" s="173">
        <f>JL82+JL81-JL84</f>
        <v>36000000</v>
      </c>
      <c r="JM86" s="173">
        <f>JM82+JM81-JM84</f>
        <v>36000000</v>
      </c>
      <c r="JN86" s="173">
        <f>JN82+JN81-JN84</f>
        <v>36000000</v>
      </c>
      <c r="JO86" s="173">
        <f>JO82+JO81-JO84</f>
        <v>36000000</v>
      </c>
      <c r="JP86" s="173">
        <f>JP82+JP81-JP84</f>
        <v>36000000</v>
      </c>
      <c r="JQ86" s="173">
        <f>JQ82+JQ81-JQ84</f>
        <v>36000000</v>
      </c>
      <c r="JR86" s="173">
        <f>JR82+JR81-JR84</f>
        <v>36000000</v>
      </c>
      <c r="JS86" s="173">
        <f>JS82+JS81-JS84</f>
        <v>36000000</v>
      </c>
      <c r="JT86" s="173">
        <f>JT82+JT81-JT84</f>
        <v>36000000</v>
      </c>
      <c r="JU86" s="173">
        <f>JU82+JU81-JU84</f>
        <v>31500000</v>
      </c>
      <c r="JV86" s="173">
        <f>JV82+JV81-JV84</f>
        <v>31500000</v>
      </c>
      <c r="JW86" s="173">
        <f>JW82+JW81-JW84</f>
        <v>31500000</v>
      </c>
      <c r="JX86" s="173">
        <f>JX82+JX81-JX84</f>
        <v>31500000</v>
      </c>
      <c r="JY86" s="173">
        <f>JY82+JY81-JY84</f>
        <v>31500000</v>
      </c>
      <c r="JZ86" s="173">
        <f>JZ82+JZ81-JZ84</f>
        <v>31500000</v>
      </c>
      <c r="KA86" s="173">
        <f>KA82+KA81-KA84</f>
        <v>31500000</v>
      </c>
      <c r="KB86" s="173">
        <f>KB82+KB81-KB84</f>
        <v>31500000</v>
      </c>
      <c r="KC86" s="173">
        <f>KC82+KC81-KC84</f>
        <v>31500000</v>
      </c>
      <c r="KD86" s="173">
        <f>KD82+KD81-KD84</f>
        <v>31500000</v>
      </c>
      <c r="KE86" s="173">
        <f>KE82+KE81-KE84</f>
        <v>31500000</v>
      </c>
      <c r="KF86" s="173">
        <f>KF82+KF81-KF84</f>
        <v>31500000</v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72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28 · Tax – CIT, losses, deferred tax, UPT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ግብር – የገቢ ግብር፣ ኪሳራ፣ የዘገየ ግብር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Taxable profit</t>
        </is>
      </c>
      <c r="C10" s="37" t="inlineStr">
        <is>
          <t>ግብር የሚከፈልበት ትርፍ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Profit before tax</t>
        </is>
      </c>
      <c r="C11" s="117" t="inlineStr">
        <is>
          <t>ETB</t>
        </is>
      </c>
      <c r="D11" s="169">
        <f>SUM(E11:R11)</f>
        <v>259060029.873682</v>
      </c>
      <c r="E11" s="170">
        <f>'40_PL'!E36</f>
        <v>-1075351.01450162</v>
      </c>
      <c r="F11" s="170">
        <f>'40_PL'!F36</f>
        <v>-10632886.1159518</v>
      </c>
      <c r="G11" s="170">
        <f>'40_PL'!G36</f>
        <v>20670021.9742482</v>
      </c>
      <c r="H11" s="170">
        <f>'40_PL'!H36</f>
        <v>0</v>
      </c>
      <c r="I11" s="170">
        <f>'40_PL'!I36</f>
        <v>12080233.3650177</v>
      </c>
      <c r="J11" s="170">
        <f>'40_PL'!J36</f>
        <v>25709861.5299041</v>
      </c>
      <c r="K11" s="170">
        <f>'40_PL'!K36</f>
        <v>16121258.7375055</v>
      </c>
      <c r="L11" s="170">
        <f>'40_PL'!L36</f>
        <v>18934377.9509648</v>
      </c>
      <c r="M11" s="170">
        <f>'40_PL'!M36</f>
        <v>21962872.1039331</v>
      </c>
      <c r="N11" s="170">
        <f>'40_PL'!N36</f>
        <v>23297892.2288937</v>
      </c>
      <c r="O11" s="170">
        <f>'40_PL'!O36</f>
        <v>26818997.8728658</v>
      </c>
      <c r="P11" s="170">
        <f>'40_PL'!P36</f>
        <v>30833802.516744</v>
      </c>
      <c r="Q11" s="170">
        <f>'40_PL'!Q36</f>
        <v>34944884.8782638</v>
      </c>
      <c r="R11" s="170">
        <f>'40_PL'!R36</f>
        <v>39394063.8457949</v>
      </c>
    </row>
    <row r="12">
      <c r="B12" s="36" t="inlineStr">
        <is>
          <t>Add: accounting depreciation</t>
        </is>
      </c>
      <c r="C12" s="117" t="inlineStr">
        <is>
          <t>ETB</t>
        </is>
      </c>
      <c r="D12" s="169">
        <f>SUM(E12:R12)</f>
        <v>29031065.5816768</v>
      </c>
      <c r="E12" s="170">
        <f>'26_Assets'!E24</f>
        <v>0</v>
      </c>
      <c r="F12" s="170">
        <f>'26_Assets'!F24</f>
        <v>0</v>
      </c>
      <c r="G12" s="170">
        <f>'26_Assets'!G24</f>
        <v>0</v>
      </c>
      <c r="H12" s="170">
        <f>'26_Assets'!H24</f>
        <v>0</v>
      </c>
      <c r="I12" s="170">
        <f>'26_Assets'!I24</f>
        <v>2966744.37611681</v>
      </c>
      <c r="J12" s="170">
        <f>'26_Assets'!J24</f>
        <v>2966744.37611681</v>
      </c>
      <c r="K12" s="170">
        <f>'26_Assets'!K24</f>
        <v>2966744.37611681</v>
      </c>
      <c r="L12" s="170">
        <f>'26_Assets'!L24</f>
        <v>2966744.37611681</v>
      </c>
      <c r="M12" s="170">
        <f>'26_Assets'!M24</f>
        <v>2966744.37611681</v>
      </c>
      <c r="N12" s="170">
        <f>'26_Assets'!N24</f>
        <v>2966744.37611681</v>
      </c>
      <c r="O12" s="170">
        <f>'26_Assets'!O24</f>
        <v>2966744.37611681</v>
      </c>
      <c r="P12" s="170">
        <f>'26_Assets'!P24</f>
        <v>2754618.31628638</v>
      </c>
      <c r="Q12" s="170">
        <f>'26_Assets'!Q24</f>
        <v>2754618.31628638</v>
      </c>
      <c r="R12" s="170">
        <f>'26_Assets'!R24</f>
        <v>2754618.31628638</v>
      </c>
    </row>
    <row r="13">
      <c r="B13" s="36" t="inlineStr">
        <is>
          <t>Less: tax depreciation – buildings (straight line)</t>
        </is>
      </c>
      <c r="C13" s="117" t="inlineStr">
        <is>
          <t>ETB</t>
        </is>
      </c>
      <c r="D13" s="169">
        <f>SUM(E13:R13)</f>
        <v>35481963.6010308</v>
      </c>
      <c r="E13" s="173" t="n">
        <v>0</v>
      </c>
      <c r="F13" s="173" t="n">
        <v>0</v>
      </c>
      <c r="G13" s="173" t="n">
        <v>0</v>
      </c>
      <c r="H13" s="173" t="n">
        <v>0</v>
      </c>
      <c r="I13" s="173">
        <f>MIN(TAXDEP_BLD*BASE_STR,BASE_STR-H14)</f>
        <v>3548196.36010308</v>
      </c>
      <c r="J13" s="173">
        <f>MIN(TAXDEP_BLD*BASE_STR,BASE_STR-I14)</f>
        <v>3548196.36010308</v>
      </c>
      <c r="K13" s="173">
        <f>MIN(TAXDEP_BLD*BASE_STR,BASE_STR-J14)</f>
        <v>3548196.36010308</v>
      </c>
      <c r="L13" s="173">
        <f>MIN(TAXDEP_BLD*BASE_STR,BASE_STR-K14)</f>
        <v>3548196.36010308</v>
      </c>
      <c r="M13" s="173">
        <f>MIN(TAXDEP_BLD*BASE_STR,BASE_STR-L14)</f>
        <v>3548196.36010308</v>
      </c>
      <c r="N13" s="173">
        <f>MIN(TAXDEP_BLD*BASE_STR,BASE_STR-M14)</f>
        <v>3548196.36010308</v>
      </c>
      <c r="O13" s="173">
        <f>MIN(TAXDEP_BLD*BASE_STR,BASE_STR-N14)</f>
        <v>3548196.36010308</v>
      </c>
      <c r="P13" s="173">
        <f>MIN(TAXDEP_BLD*BASE_STR,BASE_STR-O14)</f>
        <v>3548196.36010308</v>
      </c>
      <c r="Q13" s="173">
        <f>MIN(TAXDEP_BLD*BASE_STR,BASE_STR-P14)</f>
        <v>3548196.36010308</v>
      </c>
      <c r="R13" s="173">
        <f>MIN(TAXDEP_BLD*BASE_STR,BASE_STR-Q14)</f>
        <v>3548196.36010308</v>
      </c>
    </row>
    <row r="14">
      <c r="B14" s="36" t="inlineStr">
        <is>
          <t xml:space="preserve">  cumulative</t>
        </is>
      </c>
      <c r="C14" s="117" t="inlineStr">
        <is>
          <t>ETB</t>
        </is>
      </c>
      <c r="D14" s="169">
        <f>R14</f>
        <v>35481963.6010308</v>
      </c>
      <c r="E14" s="173">
        <f>0+E13</f>
        <v>0</v>
      </c>
      <c r="F14" s="173">
        <f>E14+F13</f>
        <v>0</v>
      </c>
      <c r="G14" s="173">
        <f>F14+G13</f>
        <v>0</v>
      </c>
      <c r="H14" s="173">
        <f>G14+H13</f>
        <v>0</v>
      </c>
      <c r="I14" s="173">
        <f>H14+I13</f>
        <v>3548196.36010308</v>
      </c>
      <c r="J14" s="173">
        <f>I14+J13</f>
        <v>7096392.72020615</v>
      </c>
      <c r="K14" s="173">
        <f>J14+K13</f>
        <v>10644589.0803092</v>
      </c>
      <c r="L14" s="173">
        <f>K14+L13</f>
        <v>14192785.4404123</v>
      </c>
      <c r="M14" s="173">
        <f>L14+M13</f>
        <v>17740981.8005154</v>
      </c>
      <c r="N14" s="173">
        <f>M14+N13</f>
        <v>21289178.1606185</v>
      </c>
      <c r="O14" s="173">
        <f>N14+O13</f>
        <v>24837374.5207215</v>
      </c>
      <c r="P14" s="173">
        <f>O14+P13</f>
        <v>28385570.8808246</v>
      </c>
      <c r="Q14" s="173">
        <f>P14+Q13</f>
        <v>31933767.2409277</v>
      </c>
      <c r="R14" s="173">
        <f>Q14+R13</f>
        <v>35481963.6010308</v>
      </c>
    </row>
    <row r="15">
      <c r="B15" s="36" t="inlineStr">
        <is>
          <t>Plant pool – opening WDV</t>
        </is>
      </c>
      <c r="C15" s="117" t="inlineStr">
        <is>
          <t>ETB</t>
        </is>
      </c>
      <c r="E15" s="173" t="n">
        <v>0</v>
      </c>
      <c r="F15" s="173" t="n">
        <v>0</v>
      </c>
      <c r="G15" s="173" t="n">
        <v>0</v>
      </c>
      <c r="H15" s="173" t="n">
        <v>0</v>
      </c>
      <c r="I15" s="173">
        <f>BASE_SYS+BASE_FFE</f>
        <v>28191677.863716</v>
      </c>
      <c r="J15" s="170">
        <f>I17</f>
        <v>22553342.2909728</v>
      </c>
      <c r="K15" s="170">
        <f>J17</f>
        <v>18042673.8327783</v>
      </c>
      <c r="L15" s="170">
        <f>K17</f>
        <v>14434139.0662226</v>
      </c>
      <c r="M15" s="170">
        <f>L17</f>
        <v>11547311.2529781</v>
      </c>
      <c r="N15" s="170">
        <f>M17</f>
        <v>9237849.00238247</v>
      </c>
      <c r="O15" s="170">
        <f>N17</f>
        <v>7390279.20190598</v>
      </c>
      <c r="P15" s="170">
        <f>O17</f>
        <v>5912223.36152478</v>
      </c>
      <c r="Q15" s="170">
        <f>P17</f>
        <v>4729778.68921983</v>
      </c>
      <c r="R15" s="170">
        <f>Q17</f>
        <v>3783822.95137586</v>
      </c>
    </row>
    <row r="16">
      <c r="B16" s="36" t="inlineStr">
        <is>
          <t>Less: tax depreciation – plant pool (diminishing)</t>
        </is>
      </c>
      <c r="C16" s="117" t="inlineStr">
        <is>
          <t>ETB</t>
        </is>
      </c>
      <c r="D16" s="169">
        <f>SUM(E16:R16)</f>
        <v>25164619.5026154</v>
      </c>
      <c r="E16" s="173">
        <f>TAXDEP_PLANT*E15</f>
        <v>0</v>
      </c>
      <c r="F16" s="173">
        <f>TAXDEP_PLANT*F15</f>
        <v>0</v>
      </c>
      <c r="G16" s="173">
        <f>TAXDEP_PLANT*G15</f>
        <v>0</v>
      </c>
      <c r="H16" s="173">
        <f>TAXDEP_PLANT*H15</f>
        <v>0</v>
      </c>
      <c r="I16" s="173">
        <f>TAXDEP_PLANT*I15</f>
        <v>5638335.57274321</v>
      </c>
      <c r="J16" s="173">
        <f>TAXDEP_PLANT*J15</f>
        <v>4510668.45819457</v>
      </c>
      <c r="K16" s="173">
        <f>TAXDEP_PLANT*K15</f>
        <v>3608534.76655565</v>
      </c>
      <c r="L16" s="173">
        <f>TAXDEP_PLANT*L15</f>
        <v>2886827.81324452</v>
      </c>
      <c r="M16" s="173">
        <f>TAXDEP_PLANT*M15</f>
        <v>2309462.25059562</v>
      </c>
      <c r="N16" s="173">
        <f>TAXDEP_PLANT*N15</f>
        <v>1847569.80047649</v>
      </c>
      <c r="O16" s="173">
        <f>TAXDEP_PLANT*O15</f>
        <v>1478055.8403812</v>
      </c>
      <c r="P16" s="173">
        <f>TAXDEP_PLANT*P15</f>
        <v>1182444.67230496</v>
      </c>
      <c r="Q16" s="173">
        <f>TAXDEP_PLANT*Q15</f>
        <v>945955.737843965</v>
      </c>
      <c r="R16" s="173">
        <f>TAXDEP_PLANT*R15</f>
        <v>756764.590275172</v>
      </c>
    </row>
    <row r="17">
      <c r="B17" s="36" t="inlineStr">
        <is>
          <t>Plant pool – closing WDV</t>
        </is>
      </c>
      <c r="C17" s="117" t="inlineStr">
        <is>
          <t>ETB</t>
        </is>
      </c>
      <c r="D17" s="169">
        <f>R17</f>
        <v>3027058.36110069</v>
      </c>
      <c r="E17" s="173">
        <f>E15-E16</f>
        <v>0</v>
      </c>
      <c r="F17" s="173">
        <f>F15-F16</f>
        <v>0</v>
      </c>
      <c r="G17" s="173">
        <f>G15-G16</f>
        <v>0</v>
      </c>
      <c r="H17" s="173">
        <f>H15-H16</f>
        <v>0</v>
      </c>
      <c r="I17" s="173">
        <f>I15-I16</f>
        <v>22553342.2909728</v>
      </c>
      <c r="J17" s="173">
        <f>J15-J16</f>
        <v>18042673.8327783</v>
      </c>
      <c r="K17" s="173">
        <f>K15-K16</f>
        <v>14434139.0662226</v>
      </c>
      <c r="L17" s="173">
        <f>L15-L16</f>
        <v>11547311.2529781</v>
      </c>
      <c r="M17" s="173">
        <f>M15-M16</f>
        <v>9237849.00238247</v>
      </c>
      <c r="N17" s="173">
        <f>N15-N16</f>
        <v>7390279.20190598</v>
      </c>
      <c r="O17" s="173">
        <f>O15-O16</f>
        <v>5912223.36152478</v>
      </c>
      <c r="P17" s="173">
        <f>P15-P16</f>
        <v>4729778.68921983</v>
      </c>
      <c r="Q17" s="173">
        <f>Q15-Q16</f>
        <v>3783822.95137586</v>
      </c>
      <c r="R17" s="173">
        <f>R15-R16</f>
        <v>3027058.36110069</v>
      </c>
    </row>
    <row r="18">
      <c r="B18" s="36" t="inlineStr">
        <is>
          <t xml:space="preserve">  cumulative plant allowances</t>
        </is>
      </c>
      <c r="C18" s="117" t="inlineStr">
        <is>
          <t>ETB</t>
        </is>
      </c>
      <c r="D18" s="169">
        <f>R18</f>
        <v>25164619.5026154</v>
      </c>
      <c r="E18" s="173">
        <f>0+E16</f>
        <v>0</v>
      </c>
      <c r="F18" s="173">
        <f>E18+F16</f>
        <v>0</v>
      </c>
      <c r="G18" s="173">
        <f>F18+G16</f>
        <v>0</v>
      </c>
      <c r="H18" s="173">
        <f>G18+H16</f>
        <v>0</v>
      </c>
      <c r="I18" s="173">
        <f>H18+I16</f>
        <v>5638335.57274321</v>
      </c>
      <c r="J18" s="173">
        <f>I18+J16</f>
        <v>10149004.0309378</v>
      </c>
      <c r="K18" s="173">
        <f>J18+K16</f>
        <v>13757538.7974934</v>
      </c>
      <c r="L18" s="173">
        <f>K18+L16</f>
        <v>16644366.610738</v>
      </c>
      <c r="M18" s="173">
        <f>L18+M16</f>
        <v>18953828.8613336</v>
      </c>
      <c r="N18" s="173">
        <f>M18+N16</f>
        <v>20801398.6618101</v>
      </c>
      <c r="O18" s="173">
        <f>N18+O16</f>
        <v>22279454.5021913</v>
      </c>
      <c r="P18" s="173">
        <f>O18+P16</f>
        <v>23461899.1744962</v>
      </c>
      <c r="Q18" s="173">
        <f>P18+Q16</f>
        <v>24407854.9123402</v>
      </c>
      <c r="R18" s="173">
        <f>Q18+R16</f>
        <v>25164619.5026154</v>
      </c>
    </row>
    <row r="19">
      <c r="B19" s="97" t="inlineStr">
        <is>
          <t>Taxable income before losses</t>
        </is>
      </c>
      <c r="C19" s="180" t="inlineStr">
        <is>
          <t>ETB</t>
        </is>
      </c>
      <c r="D19" s="181">
        <f>SUM(E19:R19)</f>
        <v>227444512.351713</v>
      </c>
      <c r="E19" s="182">
        <f>E11+E12-E13-E16</f>
        <v>-1075351.01450162</v>
      </c>
      <c r="F19" s="182">
        <f>F11+F12-F13-F16</f>
        <v>-10632886.1159518</v>
      </c>
      <c r="G19" s="182">
        <f>G11+G12-G13-G16</f>
        <v>20670021.9742482</v>
      </c>
      <c r="H19" s="182">
        <f>H11+H12-H13-H16</f>
        <v>0</v>
      </c>
      <c r="I19" s="182">
        <f>I11+I12-I13-I16</f>
        <v>5860445.80828823</v>
      </c>
      <c r="J19" s="182">
        <f>J11+J12-J13-J16</f>
        <v>20617741.0877232</v>
      </c>
      <c r="K19" s="182">
        <f>K11+K12-K13-K16</f>
        <v>11931271.9869636</v>
      </c>
      <c r="L19" s="182">
        <f>L11+L12-L13-L16</f>
        <v>15466098.153734</v>
      </c>
      <c r="M19" s="182">
        <f>M11+M12-M13-M16</f>
        <v>19071957.8693512</v>
      </c>
      <c r="N19" s="182">
        <f>N11+N12-N13-N16</f>
        <v>20868870.4444309</v>
      </c>
      <c r="O19" s="182">
        <f>O11+O12-O13-O16</f>
        <v>24759490.0484984</v>
      </c>
      <c r="P19" s="182">
        <f>P11+P12-P13-P16</f>
        <v>28857779.8006224</v>
      </c>
      <c r="Q19" s="182">
        <f>Q11+Q12-Q13-Q16</f>
        <v>33205351.0966032</v>
      </c>
      <c r="R19" s="182">
        <f>R11+R12-R13-R16</f>
        <v>37843721.2117031</v>
      </c>
    </row>
    <row r="20">
      <c r="B20" s="36" t="inlineStr">
        <is>
          <t>Tax loss arising</t>
        </is>
      </c>
      <c r="C20" s="117" t="inlineStr">
        <is>
          <t>ETB</t>
        </is>
      </c>
      <c r="D20" s="169">
        <f>SUM(E20:R20)</f>
        <v>11708237.1304534</v>
      </c>
      <c r="E20" s="173">
        <f>MAX(0,-E19)</f>
        <v>1075351.01450162</v>
      </c>
      <c r="F20" s="173">
        <f>MAX(0,-F19)</f>
        <v>10632886.1159518</v>
      </c>
      <c r="G20" s="173">
        <f>MAX(0,-G19)</f>
        <v>0</v>
      </c>
      <c r="H20" s="173">
        <f>MAX(0,-H19)</f>
        <v>0</v>
      </c>
      <c r="I20" s="173">
        <f>MAX(0,-I19)</f>
        <v>0</v>
      </c>
      <c r="J20" s="173">
        <f>MAX(0,-J19)</f>
        <v>0</v>
      </c>
      <c r="K20" s="173">
        <f>MAX(0,-K19)</f>
        <v>0</v>
      </c>
      <c r="L20" s="173">
        <f>MAX(0,-L19)</f>
        <v>0</v>
      </c>
      <c r="M20" s="173">
        <f>MAX(0,-M19)</f>
        <v>0</v>
      </c>
      <c r="N20" s="173">
        <f>MAX(0,-N19)</f>
        <v>0</v>
      </c>
      <c r="O20" s="173">
        <f>MAX(0,-O19)</f>
        <v>0</v>
      </c>
      <c r="P20" s="173">
        <f>MAX(0,-P19)</f>
        <v>0</v>
      </c>
      <c r="Q20" s="173">
        <f>MAX(0,-Q19)</f>
        <v>0</v>
      </c>
      <c r="R20" s="173">
        <f>MAX(0,-R19)</f>
        <v>0</v>
      </c>
    </row>
    <row r="21" ht="20" customHeight="1">
      <c r="B21" s="113" t="inlineStr">
        <is>
          <t>Loss carry-forward by vintage (FIFO, expiry after LCF_YEARS)</t>
        </is>
      </c>
      <c r="C21" s="37" t="inlineStr">
        <is>
          <t>ኪሳራ በዓመት</t>
        </is>
      </c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  <c r="M21" s="115" t="n"/>
      <c r="N21" s="115" t="n"/>
      <c r="O21" s="115" t="n"/>
      <c r="P21" s="115" t="n"/>
      <c r="Q21" s="115" t="n"/>
      <c r="R21" s="115" t="n"/>
    </row>
    <row r="22">
      <c r="B22" s="36" t="inlineStr">
        <is>
          <t>Vintage C1 – available at start</t>
        </is>
      </c>
      <c r="C22" s="117" t="inlineStr">
        <is>
          <t>ETB</t>
        </is>
      </c>
      <c r="E22" s="173" t="n">
        <v>0</v>
      </c>
      <c r="F22" s="173">
        <f>IF('20_Timeline'!F11-'20_Timeline'!E11&gt;LCF_YEARS,0,E20)</f>
        <v>1075351.01450162</v>
      </c>
      <c r="G22" s="173">
        <f>IF('20_Timeline'!G11-'20_Timeline'!E11&gt;LCF_YEARS,0,F22-F38)</f>
        <v>1075351.01450162</v>
      </c>
      <c r="H22" s="173">
        <f>IF('20_Timeline'!H11-'20_Timeline'!E11&gt;LCF_YEARS,0,G22-G38)</f>
        <v>0</v>
      </c>
      <c r="I22" s="173">
        <f>IF('20_Timeline'!I11-'20_Timeline'!E11&gt;LCF_YEARS,0,H22-H38)</f>
        <v>0</v>
      </c>
      <c r="J22" s="173">
        <f>IF('20_Timeline'!J11-'20_Timeline'!E11&gt;LCF_YEARS,0,I22-I38)</f>
        <v>0</v>
      </c>
      <c r="K22" s="173">
        <f>IF('20_Timeline'!K11-'20_Timeline'!E11&gt;LCF_YEARS,0,J22-J38)</f>
        <v>0</v>
      </c>
      <c r="L22" s="173">
        <f>IF('20_Timeline'!L11-'20_Timeline'!E11&gt;LCF_YEARS,0,K22-K38)</f>
        <v>0</v>
      </c>
      <c r="M22" s="173">
        <f>IF('20_Timeline'!M11-'20_Timeline'!E11&gt;LCF_YEARS,0,L22-L38)</f>
        <v>0</v>
      </c>
      <c r="N22" s="173">
        <f>IF('20_Timeline'!N11-'20_Timeline'!E11&gt;LCF_YEARS,0,M22-M38)</f>
        <v>0</v>
      </c>
      <c r="O22" s="173">
        <f>IF('20_Timeline'!O11-'20_Timeline'!E11&gt;LCF_YEARS,0,N22-N38)</f>
        <v>0</v>
      </c>
      <c r="P22" s="173">
        <f>IF('20_Timeline'!P11-'20_Timeline'!E11&gt;LCF_YEARS,0,O22-O38)</f>
        <v>0</v>
      </c>
      <c r="Q22" s="173">
        <f>IF('20_Timeline'!Q11-'20_Timeline'!E11&gt;LCF_YEARS,0,P22-P38)</f>
        <v>0</v>
      </c>
      <c r="R22" s="173">
        <f>IF('20_Timeline'!R11-'20_Timeline'!E11&gt;LCF_YEARS,0,Q22-Q38)</f>
        <v>0</v>
      </c>
    </row>
    <row r="23">
      <c r="B23" s="36" t="inlineStr">
        <is>
          <t>Vintage C2 – available at start</t>
        </is>
      </c>
      <c r="C23" s="117" t="inlineStr">
        <is>
          <t>ETB</t>
        </is>
      </c>
      <c r="E23" s="173" t="n">
        <v>0</v>
      </c>
      <c r="F23" s="173" t="n">
        <v>0</v>
      </c>
      <c r="G23" s="173">
        <f>IF('20_Timeline'!G11-'20_Timeline'!F11&gt;LCF_YEARS,0,F20)</f>
        <v>10632886.1159518</v>
      </c>
      <c r="H23" s="173">
        <f>IF('20_Timeline'!H11-'20_Timeline'!F11&gt;LCF_YEARS,0,G23-G39)</f>
        <v>0</v>
      </c>
      <c r="I23" s="173">
        <f>IF('20_Timeline'!I11-'20_Timeline'!F11&gt;LCF_YEARS,0,H23-H39)</f>
        <v>0</v>
      </c>
      <c r="J23" s="173">
        <f>IF('20_Timeline'!J11-'20_Timeline'!F11&gt;LCF_YEARS,0,I23-I39)</f>
        <v>0</v>
      </c>
      <c r="K23" s="173">
        <f>IF('20_Timeline'!K11-'20_Timeline'!F11&gt;LCF_YEARS,0,J23-J39)</f>
        <v>0</v>
      </c>
      <c r="L23" s="173">
        <f>IF('20_Timeline'!L11-'20_Timeline'!F11&gt;LCF_YEARS,0,K23-K39)</f>
        <v>0</v>
      </c>
      <c r="M23" s="173">
        <f>IF('20_Timeline'!M11-'20_Timeline'!F11&gt;LCF_YEARS,0,L23-L39)</f>
        <v>0</v>
      </c>
      <c r="N23" s="173">
        <f>IF('20_Timeline'!N11-'20_Timeline'!F11&gt;LCF_YEARS,0,M23-M39)</f>
        <v>0</v>
      </c>
      <c r="O23" s="173">
        <f>IF('20_Timeline'!O11-'20_Timeline'!F11&gt;LCF_YEARS,0,N23-N39)</f>
        <v>0</v>
      </c>
      <c r="P23" s="173">
        <f>IF('20_Timeline'!P11-'20_Timeline'!F11&gt;LCF_YEARS,0,O23-O39)</f>
        <v>0</v>
      </c>
      <c r="Q23" s="173">
        <f>IF('20_Timeline'!Q11-'20_Timeline'!F11&gt;LCF_YEARS,0,P23-P39)</f>
        <v>0</v>
      </c>
      <c r="R23" s="173">
        <f>IF('20_Timeline'!R11-'20_Timeline'!F11&gt;LCF_YEARS,0,Q23-Q39)</f>
        <v>0</v>
      </c>
    </row>
    <row r="24">
      <c r="B24" s="36" t="inlineStr">
        <is>
          <t>Vintage C3 – available at start</t>
        </is>
      </c>
      <c r="C24" s="117" t="inlineStr">
        <is>
          <t>ETB</t>
        </is>
      </c>
      <c r="E24" s="173" t="n">
        <v>0</v>
      </c>
      <c r="F24" s="173" t="n">
        <v>0</v>
      </c>
      <c r="G24" s="173" t="n">
        <v>0</v>
      </c>
      <c r="H24" s="173">
        <f>IF('20_Timeline'!H11-'20_Timeline'!G11&gt;LCF_YEARS,0,G20)</f>
        <v>0</v>
      </c>
      <c r="I24" s="173">
        <f>IF('20_Timeline'!I11-'20_Timeline'!G11&gt;LCF_YEARS,0,H24-H40)</f>
        <v>0</v>
      </c>
      <c r="J24" s="173">
        <f>IF('20_Timeline'!J11-'20_Timeline'!G11&gt;LCF_YEARS,0,I24-I40)</f>
        <v>0</v>
      </c>
      <c r="K24" s="173">
        <f>IF('20_Timeline'!K11-'20_Timeline'!G11&gt;LCF_YEARS,0,J24-J40)</f>
        <v>0</v>
      </c>
      <c r="L24" s="173">
        <f>IF('20_Timeline'!L11-'20_Timeline'!G11&gt;LCF_YEARS,0,K24-K40)</f>
        <v>0</v>
      </c>
      <c r="M24" s="173">
        <f>IF('20_Timeline'!M11-'20_Timeline'!G11&gt;LCF_YEARS,0,L24-L40)</f>
        <v>0</v>
      </c>
      <c r="N24" s="173">
        <f>IF('20_Timeline'!N11-'20_Timeline'!G11&gt;LCF_YEARS,0,M24-M40)</f>
        <v>0</v>
      </c>
      <c r="O24" s="173">
        <f>IF('20_Timeline'!O11-'20_Timeline'!G11&gt;LCF_YEARS,0,N24-N40)</f>
        <v>0</v>
      </c>
      <c r="P24" s="173">
        <f>IF('20_Timeline'!P11-'20_Timeline'!G11&gt;LCF_YEARS,0,O24-O40)</f>
        <v>0</v>
      </c>
      <c r="Q24" s="173">
        <f>IF('20_Timeline'!Q11-'20_Timeline'!G11&gt;LCF_YEARS,0,P24-P40)</f>
        <v>0</v>
      </c>
      <c r="R24" s="173">
        <f>IF('20_Timeline'!R11-'20_Timeline'!G11&gt;LCF_YEARS,0,Q24-Q40)</f>
        <v>0</v>
      </c>
    </row>
    <row r="25">
      <c r="B25" s="36" t="inlineStr">
        <is>
          <t>Vintage C4 – available at start</t>
        </is>
      </c>
      <c r="C25" s="117" t="inlineStr">
        <is>
          <t>ETB</t>
        </is>
      </c>
      <c r="E25" s="173" t="n">
        <v>0</v>
      </c>
      <c r="F25" s="173" t="n">
        <v>0</v>
      </c>
      <c r="G25" s="173" t="n">
        <v>0</v>
      </c>
      <c r="H25" s="173" t="n">
        <v>0</v>
      </c>
      <c r="I25" s="173">
        <f>IF('20_Timeline'!I11-'20_Timeline'!H11&gt;LCF_YEARS,0,H20)</f>
        <v>0</v>
      </c>
      <c r="J25" s="173">
        <f>IF('20_Timeline'!J11-'20_Timeline'!H11&gt;LCF_YEARS,0,I25-I41)</f>
        <v>0</v>
      </c>
      <c r="K25" s="173">
        <f>IF('20_Timeline'!K11-'20_Timeline'!H11&gt;LCF_YEARS,0,J25-J41)</f>
        <v>0</v>
      </c>
      <c r="L25" s="173">
        <f>IF('20_Timeline'!L11-'20_Timeline'!H11&gt;LCF_YEARS,0,K25-K41)</f>
        <v>0</v>
      </c>
      <c r="M25" s="173">
        <f>IF('20_Timeline'!M11-'20_Timeline'!H11&gt;LCF_YEARS,0,L25-L41)</f>
        <v>0</v>
      </c>
      <c r="N25" s="173">
        <f>IF('20_Timeline'!N11-'20_Timeline'!H11&gt;LCF_YEARS,0,M25-M41)</f>
        <v>0</v>
      </c>
      <c r="O25" s="173">
        <f>IF('20_Timeline'!O11-'20_Timeline'!H11&gt;LCF_YEARS,0,N25-N41)</f>
        <v>0</v>
      </c>
      <c r="P25" s="173">
        <f>IF('20_Timeline'!P11-'20_Timeline'!H11&gt;LCF_YEARS,0,O25-O41)</f>
        <v>0</v>
      </c>
      <c r="Q25" s="173">
        <f>IF('20_Timeline'!Q11-'20_Timeline'!H11&gt;LCF_YEARS,0,P25-P41)</f>
        <v>0</v>
      </c>
      <c r="R25" s="173">
        <f>IF('20_Timeline'!R11-'20_Timeline'!H11&gt;LCF_YEARS,0,Q25-Q41)</f>
        <v>0</v>
      </c>
    </row>
    <row r="26">
      <c r="B26" s="36" t="inlineStr">
        <is>
          <t>Vintage O1 – available at start</t>
        </is>
      </c>
      <c r="C26" s="117" t="inlineStr">
        <is>
          <t>ETB</t>
        </is>
      </c>
      <c r="E26" s="173" t="n">
        <v>0</v>
      </c>
      <c r="F26" s="173" t="n">
        <v>0</v>
      </c>
      <c r="G26" s="173" t="n">
        <v>0</v>
      </c>
      <c r="H26" s="173" t="n">
        <v>0</v>
      </c>
      <c r="I26" s="173" t="n">
        <v>0</v>
      </c>
      <c r="J26" s="173">
        <f>IF('20_Timeline'!J11-'20_Timeline'!I11&gt;LCF_YEARS,0,I20)</f>
        <v>0</v>
      </c>
      <c r="K26" s="173">
        <f>IF('20_Timeline'!K11-'20_Timeline'!I11&gt;LCF_YEARS,0,J26-J42)</f>
        <v>0</v>
      </c>
      <c r="L26" s="173">
        <f>IF('20_Timeline'!L11-'20_Timeline'!I11&gt;LCF_YEARS,0,K26-K42)</f>
        <v>0</v>
      </c>
      <c r="M26" s="173">
        <f>IF('20_Timeline'!M11-'20_Timeline'!I11&gt;LCF_YEARS,0,L26-L42)</f>
        <v>0</v>
      </c>
      <c r="N26" s="173">
        <f>IF('20_Timeline'!N11-'20_Timeline'!I11&gt;LCF_YEARS,0,M26-M42)</f>
        <v>0</v>
      </c>
      <c r="O26" s="173">
        <f>IF('20_Timeline'!O11-'20_Timeline'!I11&gt;LCF_YEARS,0,N26-N42)</f>
        <v>0</v>
      </c>
      <c r="P26" s="173">
        <f>IF('20_Timeline'!P11-'20_Timeline'!I11&gt;LCF_YEARS,0,O26-O42)</f>
        <v>0</v>
      </c>
      <c r="Q26" s="173">
        <f>IF('20_Timeline'!Q11-'20_Timeline'!I11&gt;LCF_YEARS,0,P26-P42)</f>
        <v>0</v>
      </c>
      <c r="R26" s="173">
        <f>IF('20_Timeline'!R11-'20_Timeline'!I11&gt;LCF_YEARS,0,Q26-Q42)</f>
        <v>0</v>
      </c>
    </row>
    <row r="27">
      <c r="B27" s="36" t="inlineStr">
        <is>
          <t>Vintage O2 – available at start</t>
        </is>
      </c>
      <c r="C27" s="117" t="inlineStr">
        <is>
          <t>ETB</t>
        </is>
      </c>
      <c r="E27" s="173" t="n">
        <v>0</v>
      </c>
      <c r="F27" s="173" t="n">
        <v>0</v>
      </c>
      <c r="G27" s="173" t="n">
        <v>0</v>
      </c>
      <c r="H27" s="173" t="n">
        <v>0</v>
      </c>
      <c r="I27" s="173" t="n">
        <v>0</v>
      </c>
      <c r="J27" s="173" t="n">
        <v>0</v>
      </c>
      <c r="K27" s="173">
        <f>IF('20_Timeline'!K11-'20_Timeline'!J11&gt;LCF_YEARS,0,J20)</f>
        <v>0</v>
      </c>
      <c r="L27" s="173">
        <f>IF('20_Timeline'!L11-'20_Timeline'!J11&gt;LCF_YEARS,0,K27-K43)</f>
        <v>0</v>
      </c>
      <c r="M27" s="173">
        <f>IF('20_Timeline'!M11-'20_Timeline'!J11&gt;LCF_YEARS,0,L27-L43)</f>
        <v>0</v>
      </c>
      <c r="N27" s="173">
        <f>IF('20_Timeline'!N11-'20_Timeline'!J11&gt;LCF_YEARS,0,M27-M43)</f>
        <v>0</v>
      </c>
      <c r="O27" s="173">
        <f>IF('20_Timeline'!O11-'20_Timeline'!J11&gt;LCF_YEARS,0,N27-N43)</f>
        <v>0</v>
      </c>
      <c r="P27" s="173">
        <f>IF('20_Timeline'!P11-'20_Timeline'!J11&gt;LCF_YEARS,0,O27-O43)</f>
        <v>0</v>
      </c>
      <c r="Q27" s="173">
        <f>IF('20_Timeline'!Q11-'20_Timeline'!J11&gt;LCF_YEARS,0,P27-P43)</f>
        <v>0</v>
      </c>
      <c r="R27" s="173">
        <f>IF('20_Timeline'!R11-'20_Timeline'!J11&gt;LCF_YEARS,0,Q27-Q43)</f>
        <v>0</v>
      </c>
    </row>
    <row r="28">
      <c r="B28" s="36" t="inlineStr">
        <is>
          <t>Vintage O3 – available at start</t>
        </is>
      </c>
      <c r="C28" s="117" t="inlineStr">
        <is>
          <t>ETB</t>
        </is>
      </c>
      <c r="E28" s="173" t="n">
        <v>0</v>
      </c>
      <c r="F28" s="173" t="n">
        <v>0</v>
      </c>
      <c r="G28" s="173" t="n">
        <v>0</v>
      </c>
      <c r="H28" s="173" t="n">
        <v>0</v>
      </c>
      <c r="I28" s="173" t="n">
        <v>0</v>
      </c>
      <c r="J28" s="173" t="n">
        <v>0</v>
      </c>
      <c r="K28" s="173" t="n">
        <v>0</v>
      </c>
      <c r="L28" s="173">
        <f>IF('20_Timeline'!L11-'20_Timeline'!K11&gt;LCF_YEARS,0,K20)</f>
        <v>0</v>
      </c>
      <c r="M28" s="173">
        <f>IF('20_Timeline'!M11-'20_Timeline'!K11&gt;LCF_YEARS,0,L28-L44)</f>
        <v>0</v>
      </c>
      <c r="N28" s="173">
        <f>IF('20_Timeline'!N11-'20_Timeline'!K11&gt;LCF_YEARS,0,M28-M44)</f>
        <v>0</v>
      </c>
      <c r="O28" s="173">
        <f>IF('20_Timeline'!O11-'20_Timeline'!K11&gt;LCF_YEARS,0,N28-N44)</f>
        <v>0</v>
      </c>
      <c r="P28" s="173">
        <f>IF('20_Timeline'!P11-'20_Timeline'!K11&gt;LCF_YEARS,0,O28-O44)</f>
        <v>0</v>
      </c>
      <c r="Q28" s="173">
        <f>IF('20_Timeline'!Q11-'20_Timeline'!K11&gt;LCF_YEARS,0,P28-P44)</f>
        <v>0</v>
      </c>
      <c r="R28" s="173">
        <f>IF('20_Timeline'!R11-'20_Timeline'!K11&gt;LCF_YEARS,0,Q28-Q44)</f>
        <v>0</v>
      </c>
    </row>
    <row r="29">
      <c r="B29" s="36" t="inlineStr">
        <is>
          <t>Vintage O4 – available at start</t>
        </is>
      </c>
      <c r="C29" s="117" t="inlineStr">
        <is>
          <t>ETB</t>
        </is>
      </c>
      <c r="E29" s="173" t="n">
        <v>0</v>
      </c>
      <c r="F29" s="173" t="n">
        <v>0</v>
      </c>
      <c r="G29" s="173" t="n">
        <v>0</v>
      </c>
      <c r="H29" s="173" t="n">
        <v>0</v>
      </c>
      <c r="I29" s="173" t="n">
        <v>0</v>
      </c>
      <c r="J29" s="173" t="n">
        <v>0</v>
      </c>
      <c r="K29" s="173" t="n">
        <v>0</v>
      </c>
      <c r="L29" s="173" t="n">
        <v>0</v>
      </c>
      <c r="M29" s="173">
        <f>IF('20_Timeline'!M11-'20_Timeline'!L11&gt;LCF_YEARS,0,L20)</f>
        <v>0</v>
      </c>
      <c r="N29" s="173">
        <f>IF('20_Timeline'!N11-'20_Timeline'!L11&gt;LCF_YEARS,0,M29-M45)</f>
        <v>0</v>
      </c>
      <c r="O29" s="173">
        <f>IF('20_Timeline'!O11-'20_Timeline'!L11&gt;LCF_YEARS,0,N29-N45)</f>
        <v>0</v>
      </c>
      <c r="P29" s="173">
        <f>IF('20_Timeline'!P11-'20_Timeline'!L11&gt;LCF_YEARS,0,O29-O45)</f>
        <v>0</v>
      </c>
      <c r="Q29" s="173">
        <f>IF('20_Timeline'!Q11-'20_Timeline'!L11&gt;LCF_YEARS,0,P29-P45)</f>
        <v>0</v>
      </c>
      <c r="R29" s="173">
        <f>IF('20_Timeline'!R11-'20_Timeline'!L11&gt;LCF_YEARS,0,Q29-Q45)</f>
        <v>0</v>
      </c>
    </row>
    <row r="30">
      <c r="B30" s="36" t="inlineStr">
        <is>
          <t>Vintage O5 – available at start</t>
        </is>
      </c>
      <c r="C30" s="117" t="inlineStr">
        <is>
          <t>ETB</t>
        </is>
      </c>
      <c r="E30" s="173" t="n">
        <v>0</v>
      </c>
      <c r="F30" s="173" t="n">
        <v>0</v>
      </c>
      <c r="G30" s="173" t="n">
        <v>0</v>
      </c>
      <c r="H30" s="173" t="n">
        <v>0</v>
      </c>
      <c r="I30" s="173" t="n">
        <v>0</v>
      </c>
      <c r="J30" s="173" t="n">
        <v>0</v>
      </c>
      <c r="K30" s="173" t="n">
        <v>0</v>
      </c>
      <c r="L30" s="173" t="n">
        <v>0</v>
      </c>
      <c r="M30" s="173" t="n">
        <v>0</v>
      </c>
      <c r="N30" s="173">
        <f>IF('20_Timeline'!N11-'20_Timeline'!M11&gt;LCF_YEARS,0,M20)</f>
        <v>0</v>
      </c>
      <c r="O30" s="173">
        <f>IF('20_Timeline'!O11-'20_Timeline'!M11&gt;LCF_YEARS,0,N30-N46)</f>
        <v>0</v>
      </c>
      <c r="P30" s="173">
        <f>IF('20_Timeline'!P11-'20_Timeline'!M11&gt;LCF_YEARS,0,O30-O46)</f>
        <v>0</v>
      </c>
      <c r="Q30" s="173">
        <f>IF('20_Timeline'!Q11-'20_Timeline'!M11&gt;LCF_YEARS,0,P30-P46)</f>
        <v>0</v>
      </c>
      <c r="R30" s="173">
        <f>IF('20_Timeline'!R11-'20_Timeline'!M11&gt;LCF_YEARS,0,Q30-Q46)</f>
        <v>0</v>
      </c>
    </row>
    <row r="31">
      <c r="B31" s="36" t="inlineStr">
        <is>
          <t>Vintage O6 – available at start</t>
        </is>
      </c>
      <c r="C31" s="117" t="inlineStr">
        <is>
          <t>ETB</t>
        </is>
      </c>
      <c r="E31" s="173" t="n">
        <v>0</v>
      </c>
      <c r="F31" s="173" t="n">
        <v>0</v>
      </c>
      <c r="G31" s="173" t="n">
        <v>0</v>
      </c>
      <c r="H31" s="173" t="n">
        <v>0</v>
      </c>
      <c r="I31" s="173" t="n">
        <v>0</v>
      </c>
      <c r="J31" s="173" t="n">
        <v>0</v>
      </c>
      <c r="K31" s="173" t="n">
        <v>0</v>
      </c>
      <c r="L31" s="173" t="n">
        <v>0</v>
      </c>
      <c r="M31" s="173" t="n">
        <v>0</v>
      </c>
      <c r="N31" s="173" t="n">
        <v>0</v>
      </c>
      <c r="O31" s="173">
        <f>IF('20_Timeline'!O11-'20_Timeline'!N11&gt;LCF_YEARS,0,N20)</f>
        <v>0</v>
      </c>
      <c r="P31" s="173">
        <f>IF('20_Timeline'!P11-'20_Timeline'!N11&gt;LCF_YEARS,0,O31-O47)</f>
        <v>0</v>
      </c>
      <c r="Q31" s="173">
        <f>IF('20_Timeline'!Q11-'20_Timeline'!N11&gt;LCF_YEARS,0,P31-P47)</f>
        <v>0</v>
      </c>
      <c r="R31" s="173">
        <f>IF('20_Timeline'!R11-'20_Timeline'!N11&gt;LCF_YEARS,0,Q31-Q47)</f>
        <v>0</v>
      </c>
    </row>
    <row r="32">
      <c r="B32" s="36" t="inlineStr">
        <is>
          <t>Vintage O7 – available at start</t>
        </is>
      </c>
      <c r="C32" s="117" t="inlineStr">
        <is>
          <t>ETB</t>
        </is>
      </c>
      <c r="E32" s="173" t="n">
        <v>0</v>
      </c>
      <c r="F32" s="173" t="n">
        <v>0</v>
      </c>
      <c r="G32" s="173" t="n">
        <v>0</v>
      </c>
      <c r="H32" s="173" t="n">
        <v>0</v>
      </c>
      <c r="I32" s="173" t="n">
        <v>0</v>
      </c>
      <c r="J32" s="173" t="n">
        <v>0</v>
      </c>
      <c r="K32" s="173" t="n">
        <v>0</v>
      </c>
      <c r="L32" s="173" t="n">
        <v>0</v>
      </c>
      <c r="M32" s="173" t="n">
        <v>0</v>
      </c>
      <c r="N32" s="173" t="n">
        <v>0</v>
      </c>
      <c r="O32" s="173" t="n">
        <v>0</v>
      </c>
      <c r="P32" s="173">
        <f>IF('20_Timeline'!P11-'20_Timeline'!O11&gt;LCF_YEARS,0,O20)</f>
        <v>0</v>
      </c>
      <c r="Q32" s="173">
        <f>IF('20_Timeline'!Q11-'20_Timeline'!O11&gt;LCF_YEARS,0,P32-P48)</f>
        <v>0</v>
      </c>
      <c r="R32" s="173">
        <f>IF('20_Timeline'!R11-'20_Timeline'!O11&gt;LCF_YEARS,0,Q32-Q48)</f>
        <v>0</v>
      </c>
    </row>
    <row r="33">
      <c r="B33" s="36" t="inlineStr">
        <is>
          <t>Vintage O8 – available at start</t>
        </is>
      </c>
      <c r="C33" s="117" t="inlineStr">
        <is>
          <t>ETB</t>
        </is>
      </c>
      <c r="E33" s="173" t="n">
        <v>0</v>
      </c>
      <c r="F33" s="173" t="n">
        <v>0</v>
      </c>
      <c r="G33" s="173" t="n">
        <v>0</v>
      </c>
      <c r="H33" s="173" t="n">
        <v>0</v>
      </c>
      <c r="I33" s="173" t="n">
        <v>0</v>
      </c>
      <c r="J33" s="173" t="n">
        <v>0</v>
      </c>
      <c r="K33" s="173" t="n">
        <v>0</v>
      </c>
      <c r="L33" s="173" t="n">
        <v>0</v>
      </c>
      <c r="M33" s="173" t="n">
        <v>0</v>
      </c>
      <c r="N33" s="173" t="n">
        <v>0</v>
      </c>
      <c r="O33" s="173" t="n">
        <v>0</v>
      </c>
      <c r="P33" s="173" t="n">
        <v>0</v>
      </c>
      <c r="Q33" s="173">
        <f>IF('20_Timeline'!Q11-'20_Timeline'!P11&gt;LCF_YEARS,0,P20)</f>
        <v>0</v>
      </c>
      <c r="R33" s="173">
        <f>IF('20_Timeline'!R11-'20_Timeline'!P11&gt;LCF_YEARS,0,Q33-Q49)</f>
        <v>0</v>
      </c>
    </row>
    <row r="34">
      <c r="B34" s="36" t="inlineStr">
        <is>
          <t>Vintage O9 – available at start</t>
        </is>
      </c>
      <c r="C34" s="117" t="inlineStr">
        <is>
          <t>ETB</t>
        </is>
      </c>
      <c r="E34" s="173" t="n">
        <v>0</v>
      </c>
      <c r="F34" s="173" t="n">
        <v>0</v>
      </c>
      <c r="G34" s="173" t="n">
        <v>0</v>
      </c>
      <c r="H34" s="173" t="n">
        <v>0</v>
      </c>
      <c r="I34" s="173" t="n">
        <v>0</v>
      </c>
      <c r="J34" s="173" t="n">
        <v>0</v>
      </c>
      <c r="K34" s="173" t="n">
        <v>0</v>
      </c>
      <c r="L34" s="173" t="n">
        <v>0</v>
      </c>
      <c r="M34" s="173" t="n">
        <v>0</v>
      </c>
      <c r="N34" s="173" t="n">
        <v>0</v>
      </c>
      <c r="O34" s="173" t="n">
        <v>0</v>
      </c>
      <c r="P34" s="173" t="n">
        <v>0</v>
      </c>
      <c r="Q34" s="173" t="n">
        <v>0</v>
      </c>
      <c r="R34" s="173">
        <f>IF('20_Timeline'!R11-'20_Timeline'!Q11&gt;LCF_YEARS,0,Q20)</f>
        <v>0</v>
      </c>
    </row>
    <row r="35">
      <c r="B35" s="36" t="inlineStr">
        <is>
          <t>Vintage O10 – available at start</t>
        </is>
      </c>
      <c r="C35" s="117" t="inlineStr">
        <is>
          <t>ETB</t>
        </is>
      </c>
      <c r="E35" s="173" t="n">
        <v>0</v>
      </c>
      <c r="F35" s="173" t="n">
        <v>0</v>
      </c>
      <c r="G35" s="173" t="n">
        <v>0</v>
      </c>
      <c r="H35" s="173" t="n">
        <v>0</v>
      </c>
      <c r="I35" s="173" t="n">
        <v>0</v>
      </c>
      <c r="J35" s="173" t="n">
        <v>0</v>
      </c>
      <c r="K35" s="173" t="n">
        <v>0</v>
      </c>
      <c r="L35" s="173" t="n">
        <v>0</v>
      </c>
      <c r="M35" s="173" t="n">
        <v>0</v>
      </c>
      <c r="N35" s="173" t="n">
        <v>0</v>
      </c>
      <c r="O35" s="173" t="n">
        <v>0</v>
      </c>
      <c r="P35" s="173" t="n">
        <v>0</v>
      </c>
      <c r="Q35" s="173" t="n">
        <v>0</v>
      </c>
      <c r="R35" s="173" t="n">
        <v>0</v>
      </c>
    </row>
    <row r="36">
      <c r="B36" s="36" t="inlineStr">
        <is>
          <t>Losses available at start</t>
        </is>
      </c>
      <c r="C36" s="117" t="inlineStr">
        <is>
          <t>ETB</t>
        </is>
      </c>
      <c r="E36" s="173">
        <f>E22+E23+E24+E25+E26+E27+E28+E29+E30+E31+E32+E33+E34+E35</f>
        <v>0</v>
      </c>
      <c r="F36" s="173">
        <f>F22+F23+F24+F25+F26+F27+F28+F29+F30+F31+F32+F33+F34+F35</f>
        <v>1075351.01450162</v>
      </c>
      <c r="G36" s="173">
        <f>G22+G23+G24+G25+G26+G27+G28+G29+G30+G31+G32+G33+G34+G35</f>
        <v>11708237.1304534</v>
      </c>
      <c r="H36" s="173">
        <f>H22+H23+H24+H25+H26+H27+H28+H29+H30+H31+H32+H33+H34+H35</f>
        <v>0</v>
      </c>
      <c r="I36" s="173">
        <f>I22+I23+I24+I25+I26+I27+I28+I29+I30+I31+I32+I33+I34+I35</f>
        <v>0</v>
      </c>
      <c r="J36" s="173">
        <f>J22+J23+J24+J25+J26+J27+J28+J29+J30+J31+J32+J33+J34+J35</f>
        <v>0</v>
      </c>
      <c r="K36" s="173">
        <f>K22+K23+K24+K25+K26+K27+K28+K29+K30+K31+K32+K33+K34+K35</f>
        <v>0</v>
      </c>
      <c r="L36" s="173">
        <f>L22+L23+L24+L25+L26+L27+L28+L29+L30+L31+L32+L33+L34+L35</f>
        <v>0</v>
      </c>
      <c r="M36" s="173">
        <f>M22+M23+M24+M25+M26+M27+M28+M29+M30+M31+M32+M33+M34+M35</f>
        <v>0</v>
      </c>
      <c r="N36" s="173">
        <f>N22+N23+N24+N25+N26+N27+N28+N29+N30+N31+N32+N33+N34+N35</f>
        <v>0</v>
      </c>
      <c r="O36" s="173">
        <f>O22+O23+O24+O25+O26+O27+O28+O29+O30+O31+O32+O33+O34+O35</f>
        <v>0</v>
      </c>
      <c r="P36" s="173">
        <f>P22+P23+P24+P25+P26+P27+P28+P29+P30+P31+P32+P33+P34+P35</f>
        <v>0</v>
      </c>
      <c r="Q36" s="173">
        <f>Q22+Q23+Q24+Q25+Q26+Q27+Q28+Q29+Q30+Q31+Q32+Q33+Q34+Q35</f>
        <v>0</v>
      </c>
      <c r="R36" s="173">
        <f>R22+R23+R24+R25+R26+R27+R28+R29+R30+R31+R32+R33+R34+R35</f>
        <v>0</v>
      </c>
    </row>
    <row r="37">
      <c r="B37" s="36" t="inlineStr">
        <is>
          <t>Losses used</t>
        </is>
      </c>
      <c r="C37" s="117" t="inlineStr">
        <is>
          <t>ETB</t>
        </is>
      </c>
      <c r="D37" s="169">
        <f>SUM(E37:R37)</f>
        <v>11708237.1304534</v>
      </c>
      <c r="E37" s="173">
        <f>MIN(E36,LCF_CAP*MAX(0,E19))</f>
        <v>0</v>
      </c>
      <c r="F37" s="173">
        <f>MIN(F36,LCF_CAP*MAX(0,F19))</f>
        <v>0</v>
      </c>
      <c r="G37" s="173">
        <f>MIN(G36,LCF_CAP*MAX(0,G19))</f>
        <v>11708237.1304534</v>
      </c>
      <c r="H37" s="173">
        <f>MIN(H36,LCF_CAP*MAX(0,H19))</f>
        <v>0</v>
      </c>
      <c r="I37" s="173">
        <f>MIN(I36,LCF_CAP*MAX(0,I19))</f>
        <v>0</v>
      </c>
      <c r="J37" s="173">
        <f>MIN(J36,LCF_CAP*MAX(0,J19))</f>
        <v>0</v>
      </c>
      <c r="K37" s="173">
        <f>MIN(K36,LCF_CAP*MAX(0,K19))</f>
        <v>0</v>
      </c>
      <c r="L37" s="173">
        <f>MIN(L36,LCF_CAP*MAX(0,L19))</f>
        <v>0</v>
      </c>
      <c r="M37" s="173">
        <f>MIN(M36,LCF_CAP*MAX(0,M19))</f>
        <v>0</v>
      </c>
      <c r="N37" s="173">
        <f>MIN(N36,LCF_CAP*MAX(0,N19))</f>
        <v>0</v>
      </c>
      <c r="O37" s="173">
        <f>MIN(O36,LCF_CAP*MAX(0,O19))</f>
        <v>0</v>
      </c>
      <c r="P37" s="173">
        <f>MIN(P36,LCF_CAP*MAX(0,P19))</f>
        <v>0</v>
      </c>
      <c r="Q37" s="173">
        <f>MIN(Q36,LCF_CAP*MAX(0,Q19))</f>
        <v>0</v>
      </c>
      <c r="R37" s="173">
        <f>MIN(R36,LCF_CAP*MAX(0,R19))</f>
        <v>0</v>
      </c>
    </row>
    <row r="38">
      <c r="B38" s="36" t="inlineStr">
        <is>
          <t>Used from vintage C1</t>
        </is>
      </c>
      <c r="C38" s="117" t="inlineStr">
        <is>
          <t>ETB</t>
        </is>
      </c>
      <c r="D38" s="169">
        <f>SUM(E38:R38)</f>
        <v>1075351.01450162</v>
      </c>
      <c r="E38" s="173">
        <f>MIN(E22,MAX(0,E37-(0)))</f>
        <v>0</v>
      </c>
      <c r="F38" s="173">
        <f>MIN(F22,MAX(0,F37-(0)))</f>
        <v>0</v>
      </c>
      <c r="G38" s="173">
        <f>MIN(G22,MAX(0,G37-(0)))</f>
        <v>1075351.01450162</v>
      </c>
      <c r="H38" s="173">
        <f>MIN(H22,MAX(0,H37-(0)))</f>
        <v>0</v>
      </c>
      <c r="I38" s="173">
        <f>MIN(I22,MAX(0,I37-(0)))</f>
        <v>0</v>
      </c>
      <c r="J38" s="173">
        <f>MIN(J22,MAX(0,J37-(0)))</f>
        <v>0</v>
      </c>
      <c r="K38" s="173">
        <f>MIN(K22,MAX(0,K37-(0)))</f>
        <v>0</v>
      </c>
      <c r="L38" s="173">
        <f>MIN(L22,MAX(0,L37-(0)))</f>
        <v>0</v>
      </c>
      <c r="M38" s="173">
        <f>MIN(M22,MAX(0,M37-(0)))</f>
        <v>0</v>
      </c>
      <c r="N38" s="173">
        <f>MIN(N22,MAX(0,N37-(0)))</f>
        <v>0</v>
      </c>
      <c r="O38" s="173">
        <f>MIN(O22,MAX(0,O37-(0)))</f>
        <v>0</v>
      </c>
      <c r="P38" s="173">
        <f>MIN(P22,MAX(0,P37-(0)))</f>
        <v>0</v>
      </c>
      <c r="Q38" s="173">
        <f>MIN(Q22,MAX(0,Q37-(0)))</f>
        <v>0</v>
      </c>
      <c r="R38" s="173">
        <f>MIN(R22,MAX(0,R37-(0)))</f>
        <v>0</v>
      </c>
    </row>
    <row r="39">
      <c r="B39" s="36" t="inlineStr">
        <is>
          <t>Used from vintage C2</t>
        </is>
      </c>
      <c r="C39" s="117" t="inlineStr">
        <is>
          <t>ETB</t>
        </is>
      </c>
      <c r="D39" s="169">
        <f>SUM(E39:R39)</f>
        <v>10632886.1159518</v>
      </c>
      <c r="E39" s="173">
        <f>MIN(E23,MAX(0,E37-(E38)))</f>
        <v>0</v>
      </c>
      <c r="F39" s="173">
        <f>MIN(F23,MAX(0,F37-(F38)))</f>
        <v>0</v>
      </c>
      <c r="G39" s="173">
        <f>MIN(G23,MAX(0,G37-(G38)))</f>
        <v>10632886.1159518</v>
      </c>
      <c r="H39" s="173">
        <f>MIN(H23,MAX(0,H37-(H38)))</f>
        <v>0</v>
      </c>
      <c r="I39" s="173">
        <f>MIN(I23,MAX(0,I37-(I38)))</f>
        <v>0</v>
      </c>
      <c r="J39" s="173">
        <f>MIN(J23,MAX(0,J37-(J38)))</f>
        <v>0</v>
      </c>
      <c r="K39" s="173">
        <f>MIN(K23,MAX(0,K37-(K38)))</f>
        <v>0</v>
      </c>
      <c r="L39" s="173">
        <f>MIN(L23,MAX(0,L37-(L38)))</f>
        <v>0</v>
      </c>
      <c r="M39" s="173">
        <f>MIN(M23,MAX(0,M37-(M38)))</f>
        <v>0</v>
      </c>
      <c r="N39" s="173">
        <f>MIN(N23,MAX(0,N37-(N38)))</f>
        <v>0</v>
      </c>
      <c r="O39" s="173">
        <f>MIN(O23,MAX(0,O37-(O38)))</f>
        <v>0</v>
      </c>
      <c r="P39" s="173">
        <f>MIN(P23,MAX(0,P37-(P38)))</f>
        <v>0</v>
      </c>
      <c r="Q39" s="173">
        <f>MIN(Q23,MAX(0,Q37-(Q38)))</f>
        <v>0</v>
      </c>
      <c r="R39" s="173">
        <f>MIN(R23,MAX(0,R37-(R38)))</f>
        <v>0</v>
      </c>
    </row>
    <row r="40">
      <c r="B40" s="36" t="inlineStr">
        <is>
          <t>Used from vintage C3</t>
        </is>
      </c>
      <c r="C40" s="117" t="inlineStr">
        <is>
          <t>ETB</t>
        </is>
      </c>
      <c r="D40" s="169">
        <f>SUM(E40:R40)</f>
        <v>0</v>
      </c>
      <c r="E40" s="173">
        <f>MIN(E24,MAX(0,E37-(E38+E39)))</f>
        <v>0</v>
      </c>
      <c r="F40" s="173">
        <f>MIN(F24,MAX(0,F37-(F38+F39)))</f>
        <v>0</v>
      </c>
      <c r="G40" s="173">
        <f>MIN(G24,MAX(0,G37-(G38+G39)))</f>
        <v>0</v>
      </c>
      <c r="H40" s="173">
        <f>MIN(H24,MAX(0,H37-(H38+H39)))</f>
        <v>0</v>
      </c>
      <c r="I40" s="173">
        <f>MIN(I24,MAX(0,I37-(I38+I39)))</f>
        <v>0</v>
      </c>
      <c r="J40" s="173">
        <f>MIN(J24,MAX(0,J37-(J38+J39)))</f>
        <v>0</v>
      </c>
      <c r="K40" s="173">
        <f>MIN(K24,MAX(0,K37-(K38+K39)))</f>
        <v>0</v>
      </c>
      <c r="L40" s="173">
        <f>MIN(L24,MAX(0,L37-(L38+L39)))</f>
        <v>0</v>
      </c>
      <c r="M40" s="173">
        <f>MIN(M24,MAX(0,M37-(M38+M39)))</f>
        <v>0</v>
      </c>
      <c r="N40" s="173">
        <f>MIN(N24,MAX(0,N37-(N38+N39)))</f>
        <v>0</v>
      </c>
      <c r="O40" s="173">
        <f>MIN(O24,MAX(0,O37-(O38+O39)))</f>
        <v>0</v>
      </c>
      <c r="P40" s="173">
        <f>MIN(P24,MAX(0,P37-(P38+P39)))</f>
        <v>0</v>
      </c>
      <c r="Q40" s="173">
        <f>MIN(Q24,MAX(0,Q37-(Q38+Q39)))</f>
        <v>0</v>
      </c>
      <c r="R40" s="173">
        <f>MIN(R24,MAX(0,R37-(R38+R39)))</f>
        <v>0</v>
      </c>
    </row>
    <row r="41">
      <c r="B41" s="36" t="inlineStr">
        <is>
          <t>Used from vintage C4</t>
        </is>
      </c>
      <c r="C41" s="117" t="inlineStr">
        <is>
          <t>ETB</t>
        </is>
      </c>
      <c r="D41" s="169">
        <f>SUM(E41:R41)</f>
        <v>0</v>
      </c>
      <c r="E41" s="173">
        <f>MIN(E25,MAX(0,E37-(E38+E39+E40)))</f>
        <v>0</v>
      </c>
      <c r="F41" s="173">
        <f>MIN(F25,MAX(0,F37-(F38+F39+F40)))</f>
        <v>0</v>
      </c>
      <c r="G41" s="173">
        <f>MIN(G25,MAX(0,G37-(G38+G39+G40)))</f>
        <v>0</v>
      </c>
      <c r="H41" s="173">
        <f>MIN(H25,MAX(0,H37-(H38+H39+H40)))</f>
        <v>0</v>
      </c>
      <c r="I41" s="173">
        <f>MIN(I25,MAX(0,I37-(I38+I39+I40)))</f>
        <v>0</v>
      </c>
      <c r="J41" s="173">
        <f>MIN(J25,MAX(0,J37-(J38+J39+J40)))</f>
        <v>0</v>
      </c>
      <c r="K41" s="173">
        <f>MIN(K25,MAX(0,K37-(K38+K39+K40)))</f>
        <v>0</v>
      </c>
      <c r="L41" s="173">
        <f>MIN(L25,MAX(0,L37-(L38+L39+L40)))</f>
        <v>0</v>
      </c>
      <c r="M41" s="173">
        <f>MIN(M25,MAX(0,M37-(M38+M39+M40)))</f>
        <v>0</v>
      </c>
      <c r="N41" s="173">
        <f>MIN(N25,MAX(0,N37-(N38+N39+N40)))</f>
        <v>0</v>
      </c>
      <c r="O41" s="173">
        <f>MIN(O25,MAX(0,O37-(O38+O39+O40)))</f>
        <v>0</v>
      </c>
      <c r="P41" s="173">
        <f>MIN(P25,MAX(0,P37-(P38+P39+P40)))</f>
        <v>0</v>
      </c>
      <c r="Q41" s="173">
        <f>MIN(Q25,MAX(0,Q37-(Q38+Q39+Q40)))</f>
        <v>0</v>
      </c>
      <c r="R41" s="173">
        <f>MIN(R25,MAX(0,R37-(R38+R39+R40)))</f>
        <v>0</v>
      </c>
    </row>
    <row r="42">
      <c r="B42" s="36" t="inlineStr">
        <is>
          <t>Used from vintage O1</t>
        </is>
      </c>
      <c r="C42" s="117" t="inlineStr">
        <is>
          <t>ETB</t>
        </is>
      </c>
      <c r="D42" s="169">
        <f>SUM(E42:R42)</f>
        <v>0</v>
      </c>
      <c r="E42" s="173">
        <f>MIN(E26,MAX(0,E37-(E38+E39+E40+E41)))</f>
        <v>0</v>
      </c>
      <c r="F42" s="173">
        <f>MIN(F26,MAX(0,F37-(F38+F39+F40+F41)))</f>
        <v>0</v>
      </c>
      <c r="G42" s="173">
        <f>MIN(G26,MAX(0,G37-(G38+G39+G40+G41)))</f>
        <v>0</v>
      </c>
      <c r="H42" s="173">
        <f>MIN(H26,MAX(0,H37-(H38+H39+H40+H41)))</f>
        <v>0</v>
      </c>
      <c r="I42" s="173">
        <f>MIN(I26,MAX(0,I37-(I38+I39+I40+I41)))</f>
        <v>0</v>
      </c>
      <c r="J42" s="173">
        <f>MIN(J26,MAX(0,J37-(J38+J39+J40+J41)))</f>
        <v>0</v>
      </c>
      <c r="K42" s="173">
        <f>MIN(K26,MAX(0,K37-(K38+K39+K40+K41)))</f>
        <v>0</v>
      </c>
      <c r="L42" s="173">
        <f>MIN(L26,MAX(0,L37-(L38+L39+L40+L41)))</f>
        <v>0</v>
      </c>
      <c r="M42" s="173">
        <f>MIN(M26,MAX(0,M37-(M38+M39+M40+M41)))</f>
        <v>0</v>
      </c>
      <c r="N42" s="173">
        <f>MIN(N26,MAX(0,N37-(N38+N39+N40+N41)))</f>
        <v>0</v>
      </c>
      <c r="O42" s="173">
        <f>MIN(O26,MAX(0,O37-(O38+O39+O40+O41)))</f>
        <v>0</v>
      </c>
      <c r="P42" s="173">
        <f>MIN(P26,MAX(0,P37-(P38+P39+P40+P41)))</f>
        <v>0</v>
      </c>
      <c r="Q42" s="173">
        <f>MIN(Q26,MAX(0,Q37-(Q38+Q39+Q40+Q41)))</f>
        <v>0</v>
      </c>
      <c r="R42" s="173">
        <f>MIN(R26,MAX(0,R37-(R38+R39+R40+R41)))</f>
        <v>0</v>
      </c>
    </row>
    <row r="43">
      <c r="B43" s="36" t="inlineStr">
        <is>
          <t>Used from vintage O2</t>
        </is>
      </c>
      <c r="C43" s="117" t="inlineStr">
        <is>
          <t>ETB</t>
        </is>
      </c>
      <c r="D43" s="169">
        <f>SUM(E43:R43)</f>
        <v>0</v>
      </c>
      <c r="E43" s="173">
        <f>MIN(E27,MAX(0,E37-(E38+E39+E40+E41+E42)))</f>
        <v>0</v>
      </c>
      <c r="F43" s="173">
        <f>MIN(F27,MAX(0,F37-(F38+F39+F40+F41+F42)))</f>
        <v>0</v>
      </c>
      <c r="G43" s="173">
        <f>MIN(G27,MAX(0,G37-(G38+G39+G40+G41+G42)))</f>
        <v>0</v>
      </c>
      <c r="H43" s="173">
        <f>MIN(H27,MAX(0,H37-(H38+H39+H40+H41+H42)))</f>
        <v>0</v>
      </c>
      <c r="I43" s="173">
        <f>MIN(I27,MAX(0,I37-(I38+I39+I40+I41+I42)))</f>
        <v>0</v>
      </c>
      <c r="J43" s="173">
        <f>MIN(J27,MAX(0,J37-(J38+J39+J40+J41+J42)))</f>
        <v>0</v>
      </c>
      <c r="K43" s="173">
        <f>MIN(K27,MAX(0,K37-(K38+K39+K40+K41+K42)))</f>
        <v>0</v>
      </c>
      <c r="L43" s="173">
        <f>MIN(L27,MAX(0,L37-(L38+L39+L40+L41+L42)))</f>
        <v>0</v>
      </c>
      <c r="M43" s="173">
        <f>MIN(M27,MAX(0,M37-(M38+M39+M40+M41+M42)))</f>
        <v>0</v>
      </c>
      <c r="N43" s="173">
        <f>MIN(N27,MAX(0,N37-(N38+N39+N40+N41+N42)))</f>
        <v>0</v>
      </c>
      <c r="O43" s="173">
        <f>MIN(O27,MAX(0,O37-(O38+O39+O40+O41+O42)))</f>
        <v>0</v>
      </c>
      <c r="P43" s="173">
        <f>MIN(P27,MAX(0,P37-(P38+P39+P40+P41+P42)))</f>
        <v>0</v>
      </c>
      <c r="Q43" s="173">
        <f>MIN(Q27,MAX(0,Q37-(Q38+Q39+Q40+Q41+Q42)))</f>
        <v>0</v>
      </c>
      <c r="R43" s="173">
        <f>MIN(R27,MAX(0,R37-(R38+R39+R40+R41+R42)))</f>
        <v>0</v>
      </c>
    </row>
    <row r="44">
      <c r="B44" s="36" t="inlineStr">
        <is>
          <t>Used from vintage O3</t>
        </is>
      </c>
      <c r="C44" s="117" t="inlineStr">
        <is>
          <t>ETB</t>
        </is>
      </c>
      <c r="D44" s="169">
        <f>SUM(E44:R44)</f>
        <v>0</v>
      </c>
      <c r="E44" s="173">
        <f>MIN(E28,MAX(0,E37-(E38+E39+E40+E41+E42+E43)))</f>
        <v>0</v>
      </c>
      <c r="F44" s="173">
        <f>MIN(F28,MAX(0,F37-(F38+F39+F40+F41+F42+F43)))</f>
        <v>0</v>
      </c>
      <c r="G44" s="173">
        <f>MIN(G28,MAX(0,G37-(G38+G39+G40+G41+G42+G43)))</f>
        <v>0</v>
      </c>
      <c r="H44" s="173">
        <f>MIN(H28,MAX(0,H37-(H38+H39+H40+H41+H42+H43)))</f>
        <v>0</v>
      </c>
      <c r="I44" s="173">
        <f>MIN(I28,MAX(0,I37-(I38+I39+I40+I41+I42+I43)))</f>
        <v>0</v>
      </c>
      <c r="J44" s="173">
        <f>MIN(J28,MAX(0,J37-(J38+J39+J40+J41+J42+J43)))</f>
        <v>0</v>
      </c>
      <c r="K44" s="173">
        <f>MIN(K28,MAX(0,K37-(K38+K39+K40+K41+K42+K43)))</f>
        <v>0</v>
      </c>
      <c r="L44" s="173">
        <f>MIN(L28,MAX(0,L37-(L38+L39+L40+L41+L42+L43)))</f>
        <v>0</v>
      </c>
      <c r="M44" s="173">
        <f>MIN(M28,MAX(0,M37-(M38+M39+M40+M41+M42+M43)))</f>
        <v>0</v>
      </c>
      <c r="N44" s="173">
        <f>MIN(N28,MAX(0,N37-(N38+N39+N40+N41+N42+N43)))</f>
        <v>0</v>
      </c>
      <c r="O44" s="173">
        <f>MIN(O28,MAX(0,O37-(O38+O39+O40+O41+O42+O43)))</f>
        <v>0</v>
      </c>
      <c r="P44" s="173">
        <f>MIN(P28,MAX(0,P37-(P38+P39+P40+P41+P42+P43)))</f>
        <v>0</v>
      </c>
      <c r="Q44" s="173">
        <f>MIN(Q28,MAX(0,Q37-(Q38+Q39+Q40+Q41+Q42+Q43)))</f>
        <v>0</v>
      </c>
      <c r="R44" s="173">
        <f>MIN(R28,MAX(0,R37-(R38+R39+R40+R41+R42+R43)))</f>
        <v>0</v>
      </c>
    </row>
    <row r="45">
      <c r="B45" s="36" t="inlineStr">
        <is>
          <t>Used from vintage O4</t>
        </is>
      </c>
      <c r="C45" s="117" t="inlineStr">
        <is>
          <t>ETB</t>
        </is>
      </c>
      <c r="D45" s="169">
        <f>SUM(E45:R45)</f>
        <v>0</v>
      </c>
      <c r="E45" s="173">
        <f>MIN(E29,MAX(0,E37-(E38+E39+E40+E41+E42+E43+E44)))</f>
        <v>0</v>
      </c>
      <c r="F45" s="173">
        <f>MIN(F29,MAX(0,F37-(F38+F39+F40+F41+F42+F43+F44)))</f>
        <v>0</v>
      </c>
      <c r="G45" s="173">
        <f>MIN(G29,MAX(0,G37-(G38+G39+G40+G41+G42+G43+G44)))</f>
        <v>0</v>
      </c>
      <c r="H45" s="173">
        <f>MIN(H29,MAX(0,H37-(H38+H39+H40+H41+H42+H43+H44)))</f>
        <v>0</v>
      </c>
      <c r="I45" s="173">
        <f>MIN(I29,MAX(0,I37-(I38+I39+I40+I41+I42+I43+I44)))</f>
        <v>0</v>
      </c>
      <c r="J45" s="173">
        <f>MIN(J29,MAX(0,J37-(J38+J39+J40+J41+J42+J43+J44)))</f>
        <v>0</v>
      </c>
      <c r="K45" s="173">
        <f>MIN(K29,MAX(0,K37-(K38+K39+K40+K41+K42+K43+K44)))</f>
        <v>0</v>
      </c>
      <c r="L45" s="173">
        <f>MIN(L29,MAX(0,L37-(L38+L39+L40+L41+L42+L43+L44)))</f>
        <v>0</v>
      </c>
      <c r="M45" s="173">
        <f>MIN(M29,MAX(0,M37-(M38+M39+M40+M41+M42+M43+M44)))</f>
        <v>0</v>
      </c>
      <c r="N45" s="173">
        <f>MIN(N29,MAX(0,N37-(N38+N39+N40+N41+N42+N43+N44)))</f>
        <v>0</v>
      </c>
      <c r="O45" s="173">
        <f>MIN(O29,MAX(0,O37-(O38+O39+O40+O41+O42+O43+O44)))</f>
        <v>0</v>
      </c>
      <c r="P45" s="173">
        <f>MIN(P29,MAX(0,P37-(P38+P39+P40+P41+P42+P43+P44)))</f>
        <v>0</v>
      </c>
      <c r="Q45" s="173">
        <f>MIN(Q29,MAX(0,Q37-(Q38+Q39+Q40+Q41+Q42+Q43+Q44)))</f>
        <v>0</v>
      </c>
      <c r="R45" s="173">
        <f>MIN(R29,MAX(0,R37-(R38+R39+R40+R41+R42+R43+R44)))</f>
        <v>0</v>
      </c>
    </row>
    <row r="46">
      <c r="B46" s="36" t="inlineStr">
        <is>
          <t>Used from vintage O5</t>
        </is>
      </c>
      <c r="C46" s="117" t="inlineStr">
        <is>
          <t>ETB</t>
        </is>
      </c>
      <c r="D46" s="169">
        <f>SUM(E46:R46)</f>
        <v>0</v>
      </c>
      <c r="E46" s="173">
        <f>MIN(E30,MAX(0,E37-(E38+E39+E40+E41+E42+E43+E44+E45)))</f>
        <v>0</v>
      </c>
      <c r="F46" s="173">
        <f>MIN(F30,MAX(0,F37-(F38+F39+F40+F41+F42+F43+F44+F45)))</f>
        <v>0</v>
      </c>
      <c r="G46" s="173">
        <f>MIN(G30,MAX(0,G37-(G38+G39+G40+G41+G42+G43+G44+G45)))</f>
        <v>0</v>
      </c>
      <c r="H46" s="173">
        <f>MIN(H30,MAX(0,H37-(H38+H39+H40+H41+H42+H43+H44+H45)))</f>
        <v>0</v>
      </c>
      <c r="I46" s="173">
        <f>MIN(I30,MAX(0,I37-(I38+I39+I40+I41+I42+I43+I44+I45)))</f>
        <v>0</v>
      </c>
      <c r="J46" s="173">
        <f>MIN(J30,MAX(0,J37-(J38+J39+J40+J41+J42+J43+J44+J45)))</f>
        <v>0</v>
      </c>
      <c r="K46" s="173">
        <f>MIN(K30,MAX(0,K37-(K38+K39+K40+K41+K42+K43+K44+K45)))</f>
        <v>0</v>
      </c>
      <c r="L46" s="173">
        <f>MIN(L30,MAX(0,L37-(L38+L39+L40+L41+L42+L43+L44+L45)))</f>
        <v>0</v>
      </c>
      <c r="M46" s="173">
        <f>MIN(M30,MAX(0,M37-(M38+M39+M40+M41+M42+M43+M44+M45)))</f>
        <v>0</v>
      </c>
      <c r="N46" s="173">
        <f>MIN(N30,MAX(0,N37-(N38+N39+N40+N41+N42+N43+N44+N45)))</f>
        <v>0</v>
      </c>
      <c r="O46" s="173">
        <f>MIN(O30,MAX(0,O37-(O38+O39+O40+O41+O42+O43+O44+O45)))</f>
        <v>0</v>
      </c>
      <c r="P46" s="173">
        <f>MIN(P30,MAX(0,P37-(P38+P39+P40+P41+P42+P43+P44+P45)))</f>
        <v>0</v>
      </c>
      <c r="Q46" s="173">
        <f>MIN(Q30,MAX(0,Q37-(Q38+Q39+Q40+Q41+Q42+Q43+Q44+Q45)))</f>
        <v>0</v>
      </c>
      <c r="R46" s="173">
        <f>MIN(R30,MAX(0,R37-(R38+R39+R40+R41+R42+R43+R44+R45)))</f>
        <v>0</v>
      </c>
    </row>
    <row r="47">
      <c r="B47" s="36" t="inlineStr">
        <is>
          <t>Used from vintage O6</t>
        </is>
      </c>
      <c r="C47" s="117" t="inlineStr">
        <is>
          <t>ETB</t>
        </is>
      </c>
      <c r="D47" s="169">
        <f>SUM(E47:R47)</f>
        <v>0</v>
      </c>
      <c r="E47" s="173">
        <f>MIN(E31,MAX(0,E37-(E38+E39+E40+E41+E42+E43+E44+E45+E46)))</f>
        <v>0</v>
      </c>
      <c r="F47" s="173">
        <f>MIN(F31,MAX(0,F37-(F38+F39+F40+F41+F42+F43+F44+F45+F46)))</f>
        <v>0</v>
      </c>
      <c r="G47" s="173">
        <f>MIN(G31,MAX(0,G37-(G38+G39+G40+G41+G42+G43+G44+G45+G46)))</f>
        <v>0</v>
      </c>
      <c r="H47" s="173">
        <f>MIN(H31,MAX(0,H37-(H38+H39+H40+H41+H42+H43+H44+H45+H46)))</f>
        <v>0</v>
      </c>
      <c r="I47" s="173">
        <f>MIN(I31,MAX(0,I37-(I38+I39+I40+I41+I42+I43+I44+I45+I46)))</f>
        <v>0</v>
      </c>
      <c r="J47" s="173">
        <f>MIN(J31,MAX(0,J37-(J38+J39+J40+J41+J42+J43+J44+J45+J46)))</f>
        <v>0</v>
      </c>
      <c r="K47" s="173">
        <f>MIN(K31,MAX(0,K37-(K38+K39+K40+K41+K42+K43+K44+K45+K46)))</f>
        <v>0</v>
      </c>
      <c r="L47" s="173">
        <f>MIN(L31,MAX(0,L37-(L38+L39+L40+L41+L42+L43+L44+L45+L46)))</f>
        <v>0</v>
      </c>
      <c r="M47" s="173">
        <f>MIN(M31,MAX(0,M37-(M38+M39+M40+M41+M42+M43+M44+M45+M46)))</f>
        <v>0</v>
      </c>
      <c r="N47" s="173">
        <f>MIN(N31,MAX(0,N37-(N38+N39+N40+N41+N42+N43+N44+N45+N46)))</f>
        <v>0</v>
      </c>
      <c r="O47" s="173">
        <f>MIN(O31,MAX(0,O37-(O38+O39+O40+O41+O42+O43+O44+O45+O46)))</f>
        <v>0</v>
      </c>
      <c r="P47" s="173">
        <f>MIN(P31,MAX(0,P37-(P38+P39+P40+P41+P42+P43+P44+P45+P46)))</f>
        <v>0</v>
      </c>
      <c r="Q47" s="173">
        <f>MIN(Q31,MAX(0,Q37-(Q38+Q39+Q40+Q41+Q42+Q43+Q44+Q45+Q46)))</f>
        <v>0</v>
      </c>
      <c r="R47" s="173">
        <f>MIN(R31,MAX(0,R37-(R38+R39+R40+R41+R42+R43+R44+R45+R46)))</f>
        <v>0</v>
      </c>
    </row>
    <row r="48">
      <c r="B48" s="36" t="inlineStr">
        <is>
          <t>Used from vintage O7</t>
        </is>
      </c>
      <c r="C48" s="117" t="inlineStr">
        <is>
          <t>ETB</t>
        </is>
      </c>
      <c r="D48" s="169">
        <f>SUM(E48:R48)</f>
        <v>0</v>
      </c>
      <c r="E48" s="173">
        <f>MIN(E32,MAX(0,E37-(E38+E39+E40+E41+E42+E43+E44+E45+E46+E47)))</f>
        <v>0</v>
      </c>
      <c r="F48" s="173">
        <f>MIN(F32,MAX(0,F37-(F38+F39+F40+F41+F42+F43+F44+F45+F46+F47)))</f>
        <v>0</v>
      </c>
      <c r="G48" s="173">
        <f>MIN(G32,MAX(0,G37-(G38+G39+G40+G41+G42+G43+G44+G45+G46+G47)))</f>
        <v>0</v>
      </c>
      <c r="H48" s="173">
        <f>MIN(H32,MAX(0,H37-(H38+H39+H40+H41+H42+H43+H44+H45+H46+H47)))</f>
        <v>0</v>
      </c>
      <c r="I48" s="173">
        <f>MIN(I32,MAX(0,I37-(I38+I39+I40+I41+I42+I43+I44+I45+I46+I47)))</f>
        <v>0</v>
      </c>
      <c r="J48" s="173">
        <f>MIN(J32,MAX(0,J37-(J38+J39+J40+J41+J42+J43+J44+J45+J46+J47)))</f>
        <v>0</v>
      </c>
      <c r="K48" s="173">
        <f>MIN(K32,MAX(0,K37-(K38+K39+K40+K41+K42+K43+K44+K45+K46+K47)))</f>
        <v>0</v>
      </c>
      <c r="L48" s="173">
        <f>MIN(L32,MAX(0,L37-(L38+L39+L40+L41+L42+L43+L44+L45+L46+L47)))</f>
        <v>0</v>
      </c>
      <c r="M48" s="173">
        <f>MIN(M32,MAX(0,M37-(M38+M39+M40+M41+M42+M43+M44+M45+M46+M47)))</f>
        <v>0</v>
      </c>
      <c r="N48" s="173">
        <f>MIN(N32,MAX(0,N37-(N38+N39+N40+N41+N42+N43+N44+N45+N46+N47)))</f>
        <v>0</v>
      </c>
      <c r="O48" s="173">
        <f>MIN(O32,MAX(0,O37-(O38+O39+O40+O41+O42+O43+O44+O45+O46+O47)))</f>
        <v>0</v>
      </c>
      <c r="P48" s="173">
        <f>MIN(P32,MAX(0,P37-(P38+P39+P40+P41+P42+P43+P44+P45+P46+P47)))</f>
        <v>0</v>
      </c>
      <c r="Q48" s="173">
        <f>MIN(Q32,MAX(0,Q37-(Q38+Q39+Q40+Q41+Q42+Q43+Q44+Q45+Q46+Q47)))</f>
        <v>0</v>
      </c>
      <c r="R48" s="173">
        <f>MIN(R32,MAX(0,R37-(R38+R39+R40+R41+R42+R43+R44+R45+R46+R47)))</f>
        <v>0</v>
      </c>
    </row>
    <row r="49">
      <c r="B49" s="36" t="inlineStr">
        <is>
          <t>Used from vintage O8</t>
        </is>
      </c>
      <c r="C49" s="117" t="inlineStr">
        <is>
          <t>ETB</t>
        </is>
      </c>
      <c r="D49" s="169">
        <f>SUM(E49:R49)</f>
        <v>0</v>
      </c>
      <c r="E49" s="173">
        <f>MIN(E33,MAX(0,E37-(E38+E39+E40+E41+E42+E43+E44+E45+E46+E47+E48)))</f>
        <v>0</v>
      </c>
      <c r="F49" s="173">
        <f>MIN(F33,MAX(0,F37-(F38+F39+F40+F41+F42+F43+F44+F45+F46+F47+F48)))</f>
        <v>0</v>
      </c>
      <c r="G49" s="173">
        <f>MIN(G33,MAX(0,G37-(G38+G39+G40+G41+G42+G43+G44+G45+G46+G47+G48)))</f>
        <v>0</v>
      </c>
      <c r="H49" s="173">
        <f>MIN(H33,MAX(0,H37-(H38+H39+H40+H41+H42+H43+H44+H45+H46+H47+H48)))</f>
        <v>0</v>
      </c>
      <c r="I49" s="173">
        <f>MIN(I33,MAX(0,I37-(I38+I39+I40+I41+I42+I43+I44+I45+I46+I47+I48)))</f>
        <v>0</v>
      </c>
      <c r="J49" s="173">
        <f>MIN(J33,MAX(0,J37-(J38+J39+J40+J41+J42+J43+J44+J45+J46+J47+J48)))</f>
        <v>0</v>
      </c>
      <c r="K49" s="173">
        <f>MIN(K33,MAX(0,K37-(K38+K39+K40+K41+K42+K43+K44+K45+K46+K47+K48)))</f>
        <v>0</v>
      </c>
      <c r="L49" s="173">
        <f>MIN(L33,MAX(0,L37-(L38+L39+L40+L41+L42+L43+L44+L45+L46+L47+L48)))</f>
        <v>0</v>
      </c>
      <c r="M49" s="173">
        <f>MIN(M33,MAX(0,M37-(M38+M39+M40+M41+M42+M43+M44+M45+M46+M47+M48)))</f>
        <v>0</v>
      </c>
      <c r="N49" s="173">
        <f>MIN(N33,MAX(0,N37-(N38+N39+N40+N41+N42+N43+N44+N45+N46+N47+N48)))</f>
        <v>0</v>
      </c>
      <c r="O49" s="173">
        <f>MIN(O33,MAX(0,O37-(O38+O39+O40+O41+O42+O43+O44+O45+O46+O47+O48)))</f>
        <v>0</v>
      </c>
      <c r="P49" s="173">
        <f>MIN(P33,MAX(0,P37-(P38+P39+P40+P41+P42+P43+P44+P45+P46+P47+P48)))</f>
        <v>0</v>
      </c>
      <c r="Q49" s="173">
        <f>MIN(Q33,MAX(0,Q37-(Q38+Q39+Q40+Q41+Q42+Q43+Q44+Q45+Q46+Q47+Q48)))</f>
        <v>0</v>
      </c>
      <c r="R49" s="173">
        <f>MIN(R33,MAX(0,R37-(R38+R39+R40+R41+R42+R43+R44+R45+R46+R47+R48)))</f>
        <v>0</v>
      </c>
    </row>
    <row r="50">
      <c r="B50" s="36" t="inlineStr">
        <is>
          <t>Used from vintage O9</t>
        </is>
      </c>
      <c r="C50" s="117" t="inlineStr">
        <is>
          <t>ETB</t>
        </is>
      </c>
      <c r="D50" s="169">
        <f>SUM(E50:R50)</f>
        <v>0</v>
      </c>
      <c r="E50" s="173">
        <f>MIN(E34,MAX(0,E37-(E38+E39+E40+E41+E42+E43+E44+E45+E46+E47+E48+E49)))</f>
        <v>0</v>
      </c>
      <c r="F50" s="173">
        <f>MIN(F34,MAX(0,F37-(F38+F39+F40+F41+F42+F43+F44+F45+F46+F47+F48+F49)))</f>
        <v>0</v>
      </c>
      <c r="G50" s="173">
        <f>MIN(G34,MAX(0,G37-(G38+G39+G40+G41+G42+G43+G44+G45+G46+G47+G48+G49)))</f>
        <v>0</v>
      </c>
      <c r="H50" s="173">
        <f>MIN(H34,MAX(0,H37-(H38+H39+H40+H41+H42+H43+H44+H45+H46+H47+H48+H49)))</f>
        <v>0</v>
      </c>
      <c r="I50" s="173">
        <f>MIN(I34,MAX(0,I37-(I38+I39+I40+I41+I42+I43+I44+I45+I46+I47+I48+I49)))</f>
        <v>0</v>
      </c>
      <c r="J50" s="173">
        <f>MIN(J34,MAX(0,J37-(J38+J39+J40+J41+J42+J43+J44+J45+J46+J47+J48+J49)))</f>
        <v>0</v>
      </c>
      <c r="K50" s="173">
        <f>MIN(K34,MAX(0,K37-(K38+K39+K40+K41+K42+K43+K44+K45+K46+K47+K48+K49)))</f>
        <v>0</v>
      </c>
      <c r="L50" s="173">
        <f>MIN(L34,MAX(0,L37-(L38+L39+L40+L41+L42+L43+L44+L45+L46+L47+L48+L49)))</f>
        <v>0</v>
      </c>
      <c r="M50" s="173">
        <f>MIN(M34,MAX(0,M37-(M38+M39+M40+M41+M42+M43+M44+M45+M46+M47+M48+M49)))</f>
        <v>0</v>
      </c>
      <c r="N50" s="173">
        <f>MIN(N34,MAX(0,N37-(N38+N39+N40+N41+N42+N43+N44+N45+N46+N47+N48+N49)))</f>
        <v>0</v>
      </c>
      <c r="O50" s="173">
        <f>MIN(O34,MAX(0,O37-(O38+O39+O40+O41+O42+O43+O44+O45+O46+O47+O48+O49)))</f>
        <v>0</v>
      </c>
      <c r="P50" s="173">
        <f>MIN(P34,MAX(0,P37-(P38+P39+P40+P41+P42+P43+P44+P45+P46+P47+P48+P49)))</f>
        <v>0</v>
      </c>
      <c r="Q50" s="173">
        <f>MIN(Q34,MAX(0,Q37-(Q38+Q39+Q40+Q41+Q42+Q43+Q44+Q45+Q46+Q47+Q48+Q49)))</f>
        <v>0</v>
      </c>
      <c r="R50" s="173">
        <f>MIN(R34,MAX(0,R37-(R38+R39+R40+R41+R42+R43+R44+R45+R46+R47+R48+R49)))</f>
        <v>0</v>
      </c>
    </row>
    <row r="51">
      <c r="B51" s="36" t="inlineStr">
        <is>
          <t>Used from vintage O10</t>
        </is>
      </c>
      <c r="C51" s="117" t="inlineStr">
        <is>
          <t>ETB</t>
        </is>
      </c>
      <c r="D51" s="169">
        <f>SUM(E51:R51)</f>
        <v>0</v>
      </c>
      <c r="E51" s="173">
        <f>MIN(E35,MAX(0,E37-(E38+E39+E40+E41+E42+E43+E44+E45+E46+E47+E48+E49+E50)))</f>
        <v>0</v>
      </c>
      <c r="F51" s="173">
        <f>MIN(F35,MAX(0,F37-(F38+F39+F40+F41+F42+F43+F44+F45+F46+F47+F48+F49+F50)))</f>
        <v>0</v>
      </c>
      <c r="G51" s="173">
        <f>MIN(G35,MAX(0,G37-(G38+G39+G40+G41+G42+G43+G44+G45+G46+G47+G48+G49+G50)))</f>
        <v>0</v>
      </c>
      <c r="H51" s="173">
        <f>MIN(H35,MAX(0,H37-(H38+H39+H40+H41+H42+H43+H44+H45+H46+H47+H48+H49+H50)))</f>
        <v>0</v>
      </c>
      <c r="I51" s="173">
        <f>MIN(I35,MAX(0,I37-(I38+I39+I40+I41+I42+I43+I44+I45+I46+I47+I48+I49+I50)))</f>
        <v>0</v>
      </c>
      <c r="J51" s="173">
        <f>MIN(J35,MAX(0,J37-(J38+J39+J40+J41+J42+J43+J44+J45+J46+J47+J48+J49+J50)))</f>
        <v>0</v>
      </c>
      <c r="K51" s="173">
        <f>MIN(K35,MAX(0,K37-(K38+K39+K40+K41+K42+K43+K44+K45+K46+K47+K48+K49+K50)))</f>
        <v>0</v>
      </c>
      <c r="L51" s="173">
        <f>MIN(L35,MAX(0,L37-(L38+L39+L40+L41+L42+L43+L44+L45+L46+L47+L48+L49+L50)))</f>
        <v>0</v>
      </c>
      <c r="M51" s="173">
        <f>MIN(M35,MAX(0,M37-(M38+M39+M40+M41+M42+M43+M44+M45+M46+M47+M48+M49+M50)))</f>
        <v>0</v>
      </c>
      <c r="N51" s="173">
        <f>MIN(N35,MAX(0,N37-(N38+N39+N40+N41+N42+N43+N44+N45+N46+N47+N48+N49+N50)))</f>
        <v>0</v>
      </c>
      <c r="O51" s="173">
        <f>MIN(O35,MAX(0,O37-(O38+O39+O40+O41+O42+O43+O44+O45+O46+O47+O48+O49+O50)))</f>
        <v>0</v>
      </c>
      <c r="P51" s="173">
        <f>MIN(P35,MAX(0,P37-(P38+P39+P40+P41+P42+P43+P44+P45+P46+P47+P48+P49+P50)))</f>
        <v>0</v>
      </c>
      <c r="Q51" s="173">
        <f>MIN(Q35,MAX(0,Q37-(Q38+Q39+Q40+Q41+Q42+Q43+Q44+Q45+Q46+Q47+Q48+Q49+Q50)))</f>
        <v>0</v>
      </c>
      <c r="R51" s="173">
        <f>MIN(R35,MAX(0,R37-(R38+R39+R40+R41+R42+R43+R44+R45+R46+R47+R48+R49+R50)))</f>
        <v>0</v>
      </c>
    </row>
    <row r="52">
      <c r="B52" s="36" t="inlineStr">
        <is>
          <t>Losses carried forward (end)</t>
        </is>
      </c>
      <c r="C52" s="117" t="inlineStr">
        <is>
          <t>ETB</t>
        </is>
      </c>
      <c r="D52" s="169">
        <f>R52</f>
        <v>0</v>
      </c>
      <c r="E52" s="173">
        <f>E36-E37+E20</f>
        <v>1075351.01450162</v>
      </c>
      <c r="F52" s="173">
        <f>F36-F37+F20</f>
        <v>11708237.1304534</v>
      </c>
      <c r="G52" s="173">
        <f>G36-G37+G20</f>
        <v>0</v>
      </c>
      <c r="H52" s="173">
        <f>H36-H37+H20</f>
        <v>0</v>
      </c>
      <c r="I52" s="173">
        <f>I36-I37+I20</f>
        <v>0</v>
      </c>
      <c r="J52" s="173">
        <f>J36-J37+J20</f>
        <v>0</v>
      </c>
      <c r="K52" s="173">
        <f>K36-K37+K20</f>
        <v>0</v>
      </c>
      <c r="L52" s="173">
        <f>L36-L37+L20</f>
        <v>0</v>
      </c>
      <c r="M52" s="173">
        <f>M36-M37+M20</f>
        <v>0</v>
      </c>
      <c r="N52" s="173">
        <f>N36-N37+N20</f>
        <v>0</v>
      </c>
      <c r="O52" s="173">
        <f>O36-O37+O20</f>
        <v>0</v>
      </c>
      <c r="P52" s="173">
        <f>P36-P37+P20</f>
        <v>0</v>
      </c>
      <c r="Q52" s="173">
        <f>Q36-Q37+Q20</f>
        <v>0</v>
      </c>
      <c r="R52" s="173">
        <f>R36-R37+R20</f>
        <v>0</v>
      </c>
    </row>
    <row r="53">
      <c r="B53" s="36" t="inlineStr">
        <is>
          <t>Losses expired</t>
        </is>
      </c>
      <c r="C53" s="117" t="inlineStr">
        <is>
          <t>ETB</t>
        </is>
      </c>
      <c r="D53" s="169">
        <f>SUM(E53:R53)</f>
        <v>0</v>
      </c>
      <c r="E53" s="173" t="n">
        <v>0</v>
      </c>
      <c r="F53" s="173">
        <f>MAX(0,E52-F36)</f>
        <v>0</v>
      </c>
      <c r="G53" s="173">
        <f>MAX(0,F52-G36)</f>
        <v>0</v>
      </c>
      <c r="H53" s="173">
        <f>MAX(0,G52-H36)</f>
        <v>0</v>
      </c>
      <c r="I53" s="173">
        <f>MAX(0,H52-I36)</f>
        <v>0</v>
      </c>
      <c r="J53" s="173">
        <f>MAX(0,I52-J36)</f>
        <v>0</v>
      </c>
      <c r="K53" s="173">
        <f>MAX(0,J52-K36)</f>
        <v>0</v>
      </c>
      <c r="L53" s="173">
        <f>MAX(0,K52-L36)</f>
        <v>0</v>
      </c>
      <c r="M53" s="173">
        <f>MAX(0,L52-M36)</f>
        <v>0</v>
      </c>
      <c r="N53" s="173">
        <f>MAX(0,M52-N36)</f>
        <v>0</v>
      </c>
      <c r="O53" s="173">
        <f>MAX(0,N52-O36)</f>
        <v>0</v>
      </c>
      <c r="P53" s="173">
        <f>MAX(0,O52-P36)</f>
        <v>0</v>
      </c>
      <c r="Q53" s="173">
        <f>MAX(0,P52-Q36)</f>
        <v>0</v>
      </c>
      <c r="R53" s="173">
        <f>MAX(0,Q52-R36)</f>
        <v>0</v>
      </c>
    </row>
    <row r="54" ht="20" customHeight="1">
      <c r="B54" s="113" t="inlineStr">
        <is>
          <t>Current tax</t>
        </is>
      </c>
      <c r="C54" s="37" t="inlineStr">
        <is>
          <t>የዘመኑ ግብር</t>
        </is>
      </c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</row>
    <row r="55">
      <c r="B55" s="36" t="inlineStr">
        <is>
          <t>Taxable profit after losses</t>
        </is>
      </c>
      <c r="C55" s="117" t="inlineStr">
        <is>
          <t>ETB</t>
        </is>
      </c>
      <c r="D55" s="169">
        <f>SUM(E55:R55)</f>
        <v>227444512.351713</v>
      </c>
      <c r="E55" s="173">
        <f>MAX(0,E19)-E37</f>
        <v>0</v>
      </c>
      <c r="F55" s="173">
        <f>MAX(0,F19)-F37</f>
        <v>0</v>
      </c>
      <c r="G55" s="173">
        <f>MAX(0,G19)-G37</f>
        <v>8961784.8437948</v>
      </c>
      <c r="H55" s="173">
        <f>MAX(0,H19)-H37</f>
        <v>0</v>
      </c>
      <c r="I55" s="173">
        <f>MAX(0,I19)-I37</f>
        <v>5860445.80828823</v>
      </c>
      <c r="J55" s="173">
        <f>MAX(0,J19)-J37</f>
        <v>20617741.0877232</v>
      </c>
      <c r="K55" s="173">
        <f>MAX(0,K19)-K37</f>
        <v>11931271.9869636</v>
      </c>
      <c r="L55" s="173">
        <f>MAX(0,L19)-L37</f>
        <v>15466098.153734</v>
      </c>
      <c r="M55" s="173">
        <f>MAX(0,M19)-M37</f>
        <v>19071957.8693512</v>
      </c>
      <c r="N55" s="173">
        <f>MAX(0,N19)-N37</f>
        <v>20868870.4444309</v>
      </c>
      <c r="O55" s="173">
        <f>MAX(0,O19)-O37</f>
        <v>24759490.0484984</v>
      </c>
      <c r="P55" s="173">
        <f>MAX(0,P19)-P37</f>
        <v>28857779.8006224</v>
      </c>
      <c r="Q55" s="173">
        <f>MAX(0,Q19)-Q37</f>
        <v>33205351.0966032</v>
      </c>
      <c r="R55" s="173">
        <f>MAX(0,R19)-R37</f>
        <v>37843721.2117031</v>
      </c>
    </row>
    <row r="56">
      <c r="B56" s="97" t="inlineStr">
        <is>
          <t>Corporate income tax</t>
        </is>
      </c>
      <c r="C56" s="180" t="inlineStr">
        <is>
          <t>ETB</t>
        </is>
      </c>
      <c r="D56" s="181">
        <f>SUM(E56:R56)</f>
        <v>68233353.7055139</v>
      </c>
      <c r="E56" s="182">
        <f>CIT*E55</f>
        <v>0</v>
      </c>
      <c r="F56" s="182">
        <f>CIT*F55</f>
        <v>0</v>
      </c>
      <c r="G56" s="182">
        <f>CIT*G55</f>
        <v>2688535.45313844</v>
      </c>
      <c r="H56" s="182">
        <f>CIT*H55</f>
        <v>0</v>
      </c>
      <c r="I56" s="182">
        <f>CIT*I55</f>
        <v>1758133.74248647</v>
      </c>
      <c r="J56" s="182">
        <f>CIT*J55</f>
        <v>6185322.32631697</v>
      </c>
      <c r="K56" s="182">
        <f>CIT*K55</f>
        <v>3579381.59608909</v>
      </c>
      <c r="L56" s="182">
        <f>CIT*L55</f>
        <v>4639829.4461202</v>
      </c>
      <c r="M56" s="182">
        <f>CIT*M55</f>
        <v>5721587.36080536</v>
      </c>
      <c r="N56" s="182">
        <f>CIT*N55</f>
        <v>6260661.13332928</v>
      </c>
      <c r="O56" s="182">
        <f>CIT*O55</f>
        <v>7427847.01454951</v>
      </c>
      <c r="P56" s="182">
        <f>CIT*P55</f>
        <v>8657333.94018671</v>
      </c>
      <c r="Q56" s="182">
        <f>CIT*Q55</f>
        <v>9961605.32898095</v>
      </c>
      <c r="R56" s="182">
        <f>CIT*R55</f>
        <v>11353116.3635109</v>
      </c>
    </row>
    <row r="57" ht="20" customHeight="1">
      <c r="B57" s="113" t="inlineStr">
        <is>
          <t>Deferred tax (IAS 12)</t>
        </is>
      </c>
      <c r="C57" s="37" t="inlineStr">
        <is>
          <t>የዘገየ ግብር</t>
        </is>
      </c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</row>
    <row r="58">
      <c r="B58" s="36" t="inlineStr">
        <is>
          <t>Temporary difference (tax allowances − book depreciation)</t>
        </is>
      </c>
      <c r="C58" s="117" t="inlineStr">
        <is>
          <t>ETB</t>
        </is>
      </c>
      <c r="D58" s="169">
        <f>R58</f>
        <v>31615517.5219693</v>
      </c>
      <c r="E58" s="173">
        <f>E14+E18-'26_Assets'!E25</f>
        <v>0</v>
      </c>
      <c r="F58" s="173">
        <f>F14+F18-'26_Assets'!F25</f>
        <v>0</v>
      </c>
      <c r="G58" s="173">
        <f>G14+G18-'26_Assets'!G25</f>
        <v>0</v>
      </c>
      <c r="H58" s="173">
        <f>H14+H18-'26_Assets'!H25</f>
        <v>0</v>
      </c>
      <c r="I58" s="173">
        <f>I14+I18-'26_Assets'!I25</f>
        <v>6219787.55672948</v>
      </c>
      <c r="J58" s="173">
        <f>J14+J18-'26_Assets'!J25</f>
        <v>11311907.9989103</v>
      </c>
      <c r="K58" s="173">
        <f>K14+K18-'26_Assets'!K25</f>
        <v>15501894.7494522</v>
      </c>
      <c r="L58" s="173">
        <f>L14+L18-'26_Assets'!L25</f>
        <v>18970174.546683</v>
      </c>
      <c r="M58" s="173">
        <f>M14+M18-'26_Assets'!M25</f>
        <v>21861088.7812649</v>
      </c>
      <c r="N58" s="173">
        <f>N14+N18-'26_Assets'!N25</f>
        <v>24290110.5657277</v>
      </c>
      <c r="O58" s="173">
        <f>O14+O18-'26_Assets'!O25</f>
        <v>26349618.3900951</v>
      </c>
      <c r="P58" s="173">
        <f>P14+P18-'26_Assets'!P25</f>
        <v>28325641.1062168</v>
      </c>
      <c r="Q58" s="173">
        <f>Q14+Q18-'26_Assets'!Q25</f>
        <v>30065174.8878774</v>
      </c>
      <c r="R58" s="173">
        <f>R14+R18-'26_Assets'!R25</f>
        <v>31615517.5219693</v>
      </c>
    </row>
    <row r="59">
      <c r="B59" s="36" t="inlineStr">
        <is>
          <t>Deferred tax liability on assets</t>
        </is>
      </c>
      <c r="C59" s="117" t="inlineStr">
        <is>
          <t>ETB</t>
        </is>
      </c>
      <c r="D59" s="169">
        <f>R59</f>
        <v>9484655.25659078</v>
      </c>
      <c r="E59" s="173">
        <f>CIT*E58</f>
        <v>0</v>
      </c>
      <c r="F59" s="173">
        <f>CIT*F58</f>
        <v>0</v>
      </c>
      <c r="G59" s="173">
        <f>CIT*G58</f>
        <v>0</v>
      </c>
      <c r="H59" s="173">
        <f>CIT*H58</f>
        <v>0</v>
      </c>
      <c r="I59" s="173">
        <f>CIT*I58</f>
        <v>1865936.26701884</v>
      </c>
      <c r="J59" s="173">
        <f>CIT*J58</f>
        <v>3393572.39967309</v>
      </c>
      <c r="K59" s="173">
        <f>CIT*K58</f>
        <v>4650568.42483567</v>
      </c>
      <c r="L59" s="173">
        <f>CIT*L58</f>
        <v>5691052.3640049</v>
      </c>
      <c r="M59" s="173">
        <f>CIT*M58</f>
        <v>6558326.63437947</v>
      </c>
      <c r="N59" s="173">
        <f>CIT*N58</f>
        <v>7287033.1697183</v>
      </c>
      <c r="O59" s="173">
        <f>CIT*O58</f>
        <v>7904885.51702853</v>
      </c>
      <c r="P59" s="173">
        <f>CIT*P58</f>
        <v>8497692.33186503</v>
      </c>
      <c r="Q59" s="173">
        <f>CIT*Q58</f>
        <v>9019552.46636323</v>
      </c>
      <c r="R59" s="173">
        <f>CIT*R58</f>
        <v>9484655.25659078</v>
      </c>
    </row>
    <row r="60">
      <c r="B60" s="36" t="inlineStr">
        <is>
          <t>Deferred tax asset on losses</t>
        </is>
      </c>
      <c r="C60" s="117" t="inlineStr">
        <is>
          <t>ETB</t>
        </is>
      </c>
      <c r="D60" s="169">
        <f>R60</f>
        <v>0</v>
      </c>
      <c r="E60" s="173">
        <f>CIT*E52</f>
        <v>322605.304350485</v>
      </c>
      <c r="F60" s="173">
        <f>CIT*F52</f>
        <v>3512471.13913602</v>
      </c>
      <c r="G60" s="173">
        <f>CIT*G52</f>
        <v>0</v>
      </c>
      <c r="H60" s="173">
        <f>CIT*H52</f>
        <v>0</v>
      </c>
      <c r="I60" s="173">
        <f>CIT*I52</f>
        <v>0</v>
      </c>
      <c r="J60" s="173">
        <f>CIT*J52</f>
        <v>0</v>
      </c>
      <c r="K60" s="173">
        <f>CIT*K52</f>
        <v>0</v>
      </c>
      <c r="L60" s="173">
        <f>CIT*L52</f>
        <v>0</v>
      </c>
      <c r="M60" s="173">
        <f>CIT*M52</f>
        <v>0</v>
      </c>
      <c r="N60" s="173">
        <f>CIT*N52</f>
        <v>0</v>
      </c>
      <c r="O60" s="173">
        <f>CIT*O52</f>
        <v>0</v>
      </c>
      <c r="P60" s="173">
        <f>CIT*P52</f>
        <v>0</v>
      </c>
      <c r="Q60" s="173">
        <f>CIT*Q52</f>
        <v>0</v>
      </c>
      <c r="R60" s="173">
        <f>CIT*R52</f>
        <v>0</v>
      </c>
    </row>
    <row r="61">
      <c r="B61" s="36" t="inlineStr">
        <is>
          <t>Net deferred tax liability / (asset)</t>
        </is>
      </c>
      <c r="C61" s="117" t="inlineStr">
        <is>
          <t>ETB</t>
        </is>
      </c>
      <c r="D61" s="169">
        <f>R61</f>
        <v>9484655.25659078</v>
      </c>
      <c r="E61" s="173">
        <f>E59-E60</f>
        <v>-322605.304350485</v>
      </c>
      <c r="F61" s="173">
        <f>F59-F60</f>
        <v>-3512471.13913602</v>
      </c>
      <c r="G61" s="173">
        <f>G59-G60</f>
        <v>0</v>
      </c>
      <c r="H61" s="173">
        <f>H59-H60</f>
        <v>0</v>
      </c>
      <c r="I61" s="173">
        <f>I59-I60</f>
        <v>1865936.26701884</v>
      </c>
      <c r="J61" s="173">
        <f>J59-J60</f>
        <v>3393572.39967309</v>
      </c>
      <c r="K61" s="173">
        <f>K59-K60</f>
        <v>4650568.42483567</v>
      </c>
      <c r="L61" s="173">
        <f>L59-L60</f>
        <v>5691052.3640049</v>
      </c>
      <c r="M61" s="173">
        <f>M59-M60</f>
        <v>6558326.63437947</v>
      </c>
      <c r="N61" s="173">
        <f>N59-N60</f>
        <v>7287033.1697183</v>
      </c>
      <c r="O61" s="173">
        <f>O59-O60</f>
        <v>7904885.51702853</v>
      </c>
      <c r="P61" s="173">
        <f>P59-P60</f>
        <v>8497692.33186503</v>
      </c>
      <c r="Q61" s="173">
        <f>Q59-Q60</f>
        <v>9019552.46636323</v>
      </c>
      <c r="R61" s="173">
        <f>R59-R60</f>
        <v>9484655.25659078</v>
      </c>
    </row>
    <row r="62">
      <c r="B62" s="36" t="inlineStr">
        <is>
          <t>Deferred tax expense / (credit)</t>
        </is>
      </c>
      <c r="C62" s="117" t="inlineStr">
        <is>
          <t>ETB</t>
        </is>
      </c>
      <c r="D62" s="169">
        <f>SUM(E62:R62)</f>
        <v>9484655.25659078</v>
      </c>
      <c r="E62" s="173">
        <f>E61-0</f>
        <v>-322605.304350485</v>
      </c>
      <c r="F62" s="173">
        <f>F61-E61</f>
        <v>-3189865.83478553</v>
      </c>
      <c r="G62" s="173">
        <f>G61-F61</f>
        <v>3512471.13913602</v>
      </c>
      <c r="H62" s="173">
        <f>H61-G61</f>
        <v>0</v>
      </c>
      <c r="I62" s="173">
        <f>I61-H61</f>
        <v>1865936.26701884</v>
      </c>
      <c r="J62" s="173">
        <f>J61-I61</f>
        <v>1527636.13265425</v>
      </c>
      <c r="K62" s="173">
        <f>K61-J61</f>
        <v>1256996.02516258</v>
      </c>
      <c r="L62" s="173">
        <f>L61-K61</f>
        <v>1040483.93916924</v>
      </c>
      <c r="M62" s="173">
        <f>M61-L61</f>
        <v>867274.270374565</v>
      </c>
      <c r="N62" s="173">
        <f>N61-M61</f>
        <v>728706.535338828</v>
      </c>
      <c r="O62" s="173">
        <f>O61-N61</f>
        <v>617852.347310238</v>
      </c>
      <c r="P62" s="173">
        <f>P61-O61</f>
        <v>592806.814836494</v>
      </c>
      <c r="Q62" s="173">
        <f>Q61-P61</f>
        <v>521860.134498198</v>
      </c>
      <c r="R62" s="173">
        <f>R61-Q61</f>
        <v>465102.790227558</v>
      </c>
    </row>
    <row r="63" ht="20" customHeight="1">
      <c r="B63" s="113" t="inlineStr">
        <is>
          <t>Undistributed profits tax (closed form – no circularity)</t>
        </is>
      </c>
      <c r="C63" s="37" t="inlineStr">
        <is>
          <t>ያልተከፋፈለ ትርፍ ግብር</t>
        </is>
      </c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</row>
    <row r="64">
      <c r="B64" s="36" t="inlineStr">
        <is>
          <t>Profit after CIT &amp; deferred tax</t>
        </is>
      </c>
      <c r="C64" s="117" t="inlineStr">
        <is>
          <t>ETB</t>
        </is>
      </c>
      <c r="D64" s="169">
        <f>SUM(E64:R64)</f>
        <v>181342020.911578</v>
      </c>
      <c r="E64" s="173">
        <f>E11-E56-E62</f>
        <v>-752745.710151132</v>
      </c>
      <c r="F64" s="173">
        <f>F11-F56-F62</f>
        <v>-7443020.28116625</v>
      </c>
      <c r="G64" s="173">
        <f>G11-G56-G62</f>
        <v>14469015.3819737</v>
      </c>
      <c r="H64" s="173">
        <f>H11-H56-H62</f>
        <v>0</v>
      </c>
      <c r="I64" s="173">
        <f>I11-I56-I62</f>
        <v>8456163.3555124</v>
      </c>
      <c r="J64" s="173">
        <f>J11-J56-J62</f>
        <v>17996903.0709329</v>
      </c>
      <c r="K64" s="173">
        <f>K11-K56-K62</f>
        <v>11284881.1162539</v>
      </c>
      <c r="L64" s="173">
        <f>L11-L56-L62</f>
        <v>13254064.5656754</v>
      </c>
      <c r="M64" s="173">
        <f>M11-M56-M62</f>
        <v>15374010.4727531</v>
      </c>
      <c r="N64" s="173">
        <f>N11-N56-N62</f>
        <v>16308524.5602256</v>
      </c>
      <c r="O64" s="173">
        <f>O11-O56-O62</f>
        <v>18773298.5110061</v>
      </c>
      <c r="P64" s="173">
        <f>P11-P56-P62</f>
        <v>21583661.7617208</v>
      </c>
      <c r="Q64" s="173">
        <f>Q11-Q56-Q62</f>
        <v>24461419.4147847</v>
      </c>
      <c r="R64" s="173">
        <f>R11-R56-R62</f>
        <v>27575844.6920564</v>
      </c>
    </row>
    <row r="65">
      <c r="B65" s="36" t="inlineStr">
        <is>
          <t>Undistributed share k = (1 − reserve %)(1 − payout)</t>
        </is>
      </c>
      <c r="C65" s="117" t="inlineStr">
        <is>
          <t>%</t>
        </is>
      </c>
      <c r="E65" s="154">
        <f>(1-LR_PCT)*(1-DIV_PAYOUT)</f>
        <v>0.475</v>
      </c>
      <c r="F65" s="154">
        <f>(1-LR_PCT)*(1-DIV_PAYOUT)</f>
        <v>0.475</v>
      </c>
      <c r="G65" s="154">
        <f>(1-LR_PCT)*(1-DIV_PAYOUT)</f>
        <v>0.475</v>
      </c>
      <c r="H65" s="154">
        <f>(1-LR_PCT)*(1-DIV_PAYOUT)</f>
        <v>0.475</v>
      </c>
      <c r="I65" s="154">
        <f>(1-LR_PCT)*(1-DIV_PAYOUT)</f>
        <v>0.475</v>
      </c>
      <c r="J65" s="154">
        <f>(1-LR_PCT)*(1-DIV_PAYOUT)</f>
        <v>0.475</v>
      </c>
      <c r="K65" s="154">
        <f>(1-LR_PCT)*(1-DIV_PAYOUT)</f>
        <v>0.475</v>
      </c>
      <c r="L65" s="154">
        <f>(1-LR_PCT)*(1-DIV_PAYOUT)</f>
        <v>0.475</v>
      </c>
      <c r="M65" s="154">
        <f>(1-LR_PCT)*(1-DIV_PAYOUT)</f>
        <v>0.475</v>
      </c>
      <c r="N65" s="154">
        <f>(1-LR_PCT)*(1-DIV_PAYOUT)</f>
        <v>0.475</v>
      </c>
      <c r="O65" s="154">
        <f>(1-LR_PCT)*(1-DIV_PAYOUT)</f>
        <v>0.475</v>
      </c>
      <c r="P65" s="154">
        <f>(1-LR_PCT)*(1-DIV_PAYOUT)</f>
        <v>0.475</v>
      </c>
      <c r="Q65" s="154">
        <f>(1-LR_PCT)*(1-DIV_PAYOUT)</f>
        <v>0.475</v>
      </c>
      <c r="R65" s="154">
        <f>(1-LR_PCT)*(1-DIV_PAYOUT)</f>
        <v>0.475</v>
      </c>
    </row>
    <row r="66">
      <c r="B66" s="36" t="inlineStr">
        <is>
          <t>UPT = r·k·PAT / (1 + r·k)</t>
        </is>
      </c>
      <c r="C66" s="117" t="inlineStr">
        <is>
          <t>ETB</t>
        </is>
      </c>
      <c r="D66" s="169">
        <f>SUM(E66:R66)</f>
        <v>8594792.24619333</v>
      </c>
      <c r="E66" s="173">
        <f>IF(AND(PROJECT_MODE&lt;&gt;0,E64&gt;0),UPT_R*E65*E64/(1+UPT_R*E65),0)</f>
        <v>0</v>
      </c>
      <c r="F66" s="173">
        <f>IF(AND(PROJECT_MODE&lt;&gt;0,F64&gt;0),UPT_R*F65*F64/(1+UPT_R*F65),0)</f>
        <v>0</v>
      </c>
      <c r="G66" s="173">
        <f>IF(AND(PROJECT_MODE&lt;&gt;0,G64&gt;0),UPT_R*G65*G64/(1+UPT_R*G65),0)</f>
        <v>656112.869349644</v>
      </c>
      <c r="H66" s="173">
        <f>IF(AND(PROJECT_MODE&lt;&gt;0,H64&gt;0),UPT_R*H65*H64/(1+UPT_R*H65),0)</f>
        <v>0</v>
      </c>
      <c r="I66" s="173">
        <f>IF(AND(PROJECT_MODE&lt;&gt;0,I64&gt;0),UPT_R*I65*I64/(1+UPT_R*I65),0)</f>
        <v>383453.708245192</v>
      </c>
      <c r="J66" s="173">
        <f>IF(AND(PROJECT_MODE&lt;&gt;0,J64&gt;0),UPT_R*J65*J64/(1+UPT_R*J65),0)</f>
        <v>816088.683407456</v>
      </c>
      <c r="K66" s="173">
        <f>IF(AND(PROJECT_MODE&lt;&gt;0,K64&gt;0),UPT_R*K65*K64/(1+UPT_R*K65),0)</f>
        <v>511724.919352801</v>
      </c>
      <c r="L66" s="173">
        <f>IF(AND(PROJECT_MODE&lt;&gt;0,L64&gt;0),UPT_R*L65*L64/(1+UPT_R*L65),0)</f>
        <v>601019.634243036</v>
      </c>
      <c r="M66" s="173">
        <f>IF(AND(PROJECT_MODE&lt;&gt;0,M64&gt;0),UPT_R*M65*M64/(1+UPT_R*M65),0)</f>
        <v>697150.832893341</v>
      </c>
      <c r="N66" s="173">
        <f>IF(AND(PROJECT_MODE&lt;&gt;0,N64&gt;0),UPT_R*N65*N64/(1+UPT_R*N65),0)</f>
        <v>739527.366692807</v>
      </c>
      <c r="O66" s="173">
        <f>IF(AND(PROJECT_MODE&lt;&gt;0,O64&gt;0),UPT_R*O65*O64/(1+UPT_R*O65),0)</f>
        <v>851295.159210299</v>
      </c>
      <c r="P66" s="173">
        <f>IF(AND(PROJECT_MODE&lt;&gt;0,P64&gt;0),UPT_R*P65*P64/(1+UPT_R*P65),0)</f>
        <v>978734.065567292</v>
      </c>
      <c r="Q66" s="173">
        <f>IF(AND(PROJECT_MODE&lt;&gt;0,Q64&gt;0),UPT_R*Q65*Q64/(1+UPT_R*Q65),0)</f>
        <v>1109229.0426752</v>
      </c>
      <c r="R66" s="173">
        <f>IF(AND(PROJECT_MODE&lt;&gt;0,R64&gt;0),UPT_R*R65*R64/(1+UPT_R*R65),0)</f>
        <v>1250455.96455626</v>
      </c>
    </row>
    <row r="67" ht="20" customHeight="1">
      <c r="B67" s="113" t="inlineStr">
        <is>
          <t>Tax payable and cash</t>
        </is>
      </c>
      <c r="C67" s="37" t="inlineStr">
        <is>
          <t>የሚከፈል ግብር</t>
        </is>
      </c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</row>
    <row r="68">
      <c r="B68" s="36" t="inlineStr">
        <is>
          <t>Current tax charge (CIT + UPT)</t>
        </is>
      </c>
      <c r="C68" s="117" t="inlineStr">
        <is>
          <t>ETB</t>
        </is>
      </c>
      <c r="D68" s="169">
        <f>SUM(E68:R68)</f>
        <v>76828145.9517072</v>
      </c>
      <c r="E68" s="173">
        <f>E56+E66</f>
        <v>0</v>
      </c>
      <c r="F68" s="173">
        <f>F56+F66</f>
        <v>0</v>
      </c>
      <c r="G68" s="173">
        <f>G56+G66</f>
        <v>3344648.32248809</v>
      </c>
      <c r="H68" s="173">
        <f>H56+H66</f>
        <v>0</v>
      </c>
      <c r="I68" s="173">
        <f>I56+I66</f>
        <v>2141587.45073166</v>
      </c>
      <c r="J68" s="173">
        <f>J56+J66</f>
        <v>7001411.00972443</v>
      </c>
      <c r="K68" s="173">
        <f>K56+K66</f>
        <v>4091106.51544189</v>
      </c>
      <c r="L68" s="173">
        <f>L56+L66</f>
        <v>5240849.08036324</v>
      </c>
      <c r="M68" s="173">
        <f>M56+M66</f>
        <v>6418738.1936987</v>
      </c>
      <c r="N68" s="173">
        <f>N56+N66</f>
        <v>7000188.50002209</v>
      </c>
      <c r="O68" s="173">
        <f>O56+O66</f>
        <v>8279142.17375981</v>
      </c>
      <c r="P68" s="173">
        <f>P56+P66</f>
        <v>9636068.005754</v>
      </c>
      <c r="Q68" s="173">
        <f>Q56+Q66</f>
        <v>11070834.3716562</v>
      </c>
      <c r="R68" s="173">
        <f>R56+R66</f>
        <v>12603572.3280672</v>
      </c>
    </row>
    <row r="69">
      <c r="B69" s="36" t="inlineStr">
        <is>
          <t>Tax paid (following period)</t>
        </is>
      </c>
      <c r="C69" s="117" t="inlineStr">
        <is>
          <t>ETB</t>
        </is>
      </c>
      <c r="D69" s="169">
        <f>SUM(E69:R69)</f>
        <v>64224573.6236401</v>
      </c>
      <c r="E69" s="173">
        <f>0</f>
        <v>0</v>
      </c>
      <c r="F69" s="170">
        <f>E68</f>
        <v>0</v>
      </c>
      <c r="G69" s="170">
        <f>F68</f>
        <v>0</v>
      </c>
      <c r="H69" s="170">
        <f>G68</f>
        <v>3344648.32248809</v>
      </c>
      <c r="I69" s="170">
        <f>H68</f>
        <v>0</v>
      </c>
      <c r="J69" s="170">
        <f>I68</f>
        <v>2141587.45073166</v>
      </c>
      <c r="K69" s="170">
        <f>J68</f>
        <v>7001411.00972443</v>
      </c>
      <c r="L69" s="170">
        <f>K68</f>
        <v>4091106.51544189</v>
      </c>
      <c r="M69" s="170">
        <f>L68</f>
        <v>5240849.08036324</v>
      </c>
      <c r="N69" s="170">
        <f>M68</f>
        <v>6418738.1936987</v>
      </c>
      <c r="O69" s="170">
        <f>N68</f>
        <v>7000188.50002209</v>
      </c>
      <c r="P69" s="170">
        <f>O68</f>
        <v>8279142.17375981</v>
      </c>
      <c r="Q69" s="170">
        <f>P68</f>
        <v>9636068.005754</v>
      </c>
      <c r="R69" s="170">
        <f>Q68</f>
        <v>11070834.3716562</v>
      </c>
    </row>
    <row r="70">
      <c r="B70" s="36" t="inlineStr">
        <is>
          <t>Tax payable (end)</t>
        </is>
      </c>
      <c r="C70" s="117" t="inlineStr">
        <is>
          <t>ETB</t>
        </is>
      </c>
      <c r="D70" s="169">
        <f>R70</f>
        <v>12603572.3280672</v>
      </c>
      <c r="E70" s="173">
        <f>0+E68-E69</f>
        <v>0</v>
      </c>
      <c r="F70" s="173">
        <f>E70+F68-F69</f>
        <v>0</v>
      </c>
      <c r="G70" s="173">
        <f>F70+G68-G69</f>
        <v>3344648.32248809</v>
      </c>
      <c r="H70" s="173">
        <f>G70+H68-H69</f>
        <v>0</v>
      </c>
      <c r="I70" s="173">
        <f>H70+I68-I69</f>
        <v>2141587.45073166</v>
      </c>
      <c r="J70" s="173">
        <f>I70+J68-J69</f>
        <v>7001411.00972443</v>
      </c>
      <c r="K70" s="173">
        <f>J70+K68-K69</f>
        <v>4091106.51544189</v>
      </c>
      <c r="L70" s="173">
        <f>K70+L68-L69</f>
        <v>5240849.08036324</v>
      </c>
      <c r="M70" s="173">
        <f>L70+M68-M69</f>
        <v>6418738.1936987</v>
      </c>
      <c r="N70" s="173">
        <f>M70+N68-N69</f>
        <v>7000188.50002209</v>
      </c>
      <c r="O70" s="173">
        <f>N70+O68-O69</f>
        <v>8279142.1737598</v>
      </c>
      <c r="P70" s="173">
        <f>O70+P68-P69</f>
        <v>9636068.005754</v>
      </c>
      <c r="Q70" s="173">
        <f>P70+Q68-Q69</f>
        <v>11070834.3716562</v>
      </c>
      <c r="R70" s="173">
        <f>Q70+R68-R69</f>
        <v>12603572.3280672</v>
      </c>
    </row>
    <row r="71">
      <c r="B71" s="36" t="inlineStr">
        <is>
          <t>Memo: dividend WHT (borne by shareholders)</t>
        </is>
      </c>
      <c r="C71" s="117" t="inlineStr">
        <is>
          <t>ETB</t>
        </is>
      </c>
      <c r="D71" s="169">
        <f>SUM(E71:R71)</f>
        <v>-16315155.3746626</v>
      </c>
      <c r="E71" s="173">
        <f>DIV_WHT*'42_CF'!E40</f>
        <v>0</v>
      </c>
      <c r="F71" s="173">
        <f>DIV_WHT*'42_CF'!F40</f>
        <v>0</v>
      </c>
      <c r="G71" s="173">
        <f>DIV_WHT*'42_CF'!G40</f>
        <v>0</v>
      </c>
      <c r="H71" s="173">
        <f>DIV_WHT*'42_CF'!H40</f>
        <v>0</v>
      </c>
      <c r="I71" s="173">
        <f>DIV_WHT*'42_CF'!I40</f>
        <v>-973443.184555842</v>
      </c>
      <c r="J71" s="173">
        <f>DIV_WHT*'42_CF'!J40</f>
        <v>-2004194.81025463</v>
      </c>
      <c r="K71" s="173">
        <f>DIV_WHT*'42_CF'!K40</f>
        <v>-1077315.61969011</v>
      </c>
      <c r="L71" s="173">
        <f>DIV_WHT*'42_CF'!L40</f>
        <v>-1265304.49314323</v>
      </c>
      <c r="M71" s="173">
        <f>DIV_WHT*'42_CF'!M40</f>
        <v>-1467685.96398598</v>
      </c>
      <c r="N71" s="173">
        <f>DIV_WHT*'42_CF'!N40</f>
        <v>-1556899.71935328</v>
      </c>
      <c r="O71" s="173">
        <f>DIV_WHT*'42_CF'!O40</f>
        <v>-1792200.33517958</v>
      </c>
      <c r="P71" s="173">
        <f>DIV_WHT*'42_CF'!P40</f>
        <v>-1793562.71517528</v>
      </c>
      <c r="Q71" s="173">
        <f>DIV_WHT*'42_CF'!Q40</f>
        <v>-1951558.38319205</v>
      </c>
      <c r="R71" s="173">
        <f>DIV_WHT*'42_CF'!R40</f>
        <v>-2432990.15013262</v>
      </c>
    </row>
    <row r="72">
      <c r="B72" s="36" t="inlineStr">
        <is>
          <t>Check: negative loss balances</t>
        </is>
      </c>
      <c r="C72" s="117" t="inlineStr">
        <is>
          <t>flag</t>
        </is>
      </c>
      <c r="D72" s="147">
        <f>SUM(E72:R72)</f>
        <v>0</v>
      </c>
      <c r="E72" s="148">
        <f>IF(MIN(E52,E36)&lt;-0.5,1,0)</f>
        <v>0</v>
      </c>
      <c r="F72" s="148">
        <f>IF(MIN(F52,F36)&lt;-0.5,1,0)</f>
        <v>0</v>
      </c>
      <c r="G72" s="148">
        <f>IF(MIN(G52,G36)&lt;-0.5,1,0)</f>
        <v>0</v>
      </c>
      <c r="H72" s="148">
        <f>IF(MIN(H52,H36)&lt;-0.5,1,0)</f>
        <v>0</v>
      </c>
      <c r="I72" s="148">
        <f>IF(MIN(I52,I36)&lt;-0.5,1,0)</f>
        <v>0</v>
      </c>
      <c r="J72" s="148">
        <f>IF(MIN(J52,J36)&lt;-0.5,1,0)</f>
        <v>0</v>
      </c>
      <c r="K72" s="148">
        <f>IF(MIN(K52,K36)&lt;-0.5,1,0)</f>
        <v>0</v>
      </c>
      <c r="L72" s="148">
        <f>IF(MIN(L52,L36)&lt;-0.5,1,0)</f>
        <v>0</v>
      </c>
      <c r="M72" s="148">
        <f>IF(MIN(M52,M36)&lt;-0.5,1,0)</f>
        <v>0</v>
      </c>
      <c r="N72" s="148">
        <f>IF(MIN(N52,N36)&lt;-0.5,1,0)</f>
        <v>0</v>
      </c>
      <c r="O72" s="148">
        <f>IF(MIN(O52,O36)&lt;-0.5,1,0)</f>
        <v>0</v>
      </c>
      <c r="P72" s="148">
        <f>IF(MIN(P52,P36)&lt;-0.5,1,0)</f>
        <v>0</v>
      </c>
      <c r="Q72" s="148">
        <f>IF(MIN(Q52,Q36)&lt;-0.5,1,0)</f>
        <v>0</v>
      </c>
      <c r="R72" s="148">
        <f>IF(MIN(R52,R36)&lt;-0.5,1,0)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29 · VAT – output, input, refunds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የተጨማሪ እሴት ታክስ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>
      <c r="B10" s="36" t="inlineStr">
        <is>
          <t>Output VAT – rent &amp; recoveries</t>
        </is>
      </c>
      <c r="C10" s="117" t="inlineStr">
        <is>
          <t>ETB</t>
        </is>
      </c>
      <c r="D10" s="169">
        <f>SUM(E10:R10)</f>
        <v>67686233.8069037</v>
      </c>
      <c r="E10" s="173">
        <f>VAT_R*RENT_VAT_PCT*('24_Revenue'!E55+'24_Revenue'!E59)</f>
        <v>0</v>
      </c>
      <c r="F10" s="173">
        <f>VAT_R*RENT_VAT_PCT*('24_Revenue'!F55+'24_Revenue'!F59)</f>
        <v>0</v>
      </c>
      <c r="G10" s="173">
        <f>VAT_R*RENT_VAT_PCT*('24_Revenue'!G55+'24_Revenue'!G59)</f>
        <v>0</v>
      </c>
      <c r="H10" s="173">
        <f>VAT_R*RENT_VAT_PCT*('24_Revenue'!H55+'24_Revenue'!H59)</f>
        <v>0</v>
      </c>
      <c r="I10" s="173">
        <f>VAT_R*RENT_VAT_PCT*('24_Revenue'!I55+'24_Revenue'!I59)</f>
        <v>3153565.93604012</v>
      </c>
      <c r="J10" s="173">
        <f>VAT_R*RENT_VAT_PCT*('24_Revenue'!J55+'24_Revenue'!J59)</f>
        <v>4541134.94789778</v>
      </c>
      <c r="K10" s="173">
        <f>VAT_R*RENT_VAT_PCT*('24_Revenue'!K55+'24_Revenue'!K59)</f>
        <v>5640089.60528904</v>
      </c>
      <c r="L10" s="173">
        <f>VAT_R*RENT_VAT_PCT*('24_Revenue'!L55+'24_Revenue'!L59)</f>
        <v>6091296.77371217</v>
      </c>
      <c r="M10" s="173">
        <f>VAT_R*RENT_VAT_PCT*('24_Revenue'!M55+'24_Revenue'!M59)</f>
        <v>6578600.51560914</v>
      </c>
      <c r="N10" s="173">
        <f>VAT_R*RENT_VAT_PCT*('24_Revenue'!N55+'24_Revenue'!N59)</f>
        <v>7104888.55685787</v>
      </c>
      <c r="O10" s="173">
        <f>VAT_R*RENT_VAT_PCT*('24_Revenue'!O55+'24_Revenue'!O59)</f>
        <v>7673279.6414065</v>
      </c>
      <c r="P10" s="173">
        <f>VAT_R*RENT_VAT_PCT*('24_Revenue'!P55+'24_Revenue'!P59)</f>
        <v>8287142.01271902</v>
      </c>
      <c r="Q10" s="173">
        <f>VAT_R*RENT_VAT_PCT*('24_Revenue'!Q55+'24_Revenue'!Q59)</f>
        <v>8950113.37373655</v>
      </c>
      <c r="R10" s="173">
        <f>VAT_R*RENT_VAT_PCT*('24_Revenue'!R55+'24_Revenue'!R59)</f>
        <v>9666122.44363547</v>
      </c>
    </row>
    <row r="11">
      <c r="B11" s="36" t="inlineStr">
        <is>
          <t>Output VAT – sales</t>
        </is>
      </c>
      <c r="C11" s="117" t="inlineStr">
        <is>
          <t>ETB</t>
        </is>
      </c>
      <c r="D11" s="169">
        <f>SUM(E11:R11)</f>
        <v>0</v>
      </c>
      <c r="E11" s="173">
        <f>VAT_R*VAT_SALES_PCT*'24_Revenue'!E41</f>
        <v>0</v>
      </c>
      <c r="F11" s="173">
        <f>VAT_R*VAT_SALES_PCT*'24_Revenue'!F41</f>
        <v>0</v>
      </c>
      <c r="G11" s="173">
        <f>VAT_R*VAT_SALES_PCT*'24_Revenue'!G41</f>
        <v>0</v>
      </c>
      <c r="H11" s="173">
        <f>VAT_R*VAT_SALES_PCT*'24_Revenue'!H41</f>
        <v>0</v>
      </c>
      <c r="I11" s="173">
        <f>VAT_R*VAT_SALES_PCT*'24_Revenue'!I41</f>
        <v>0</v>
      </c>
      <c r="J11" s="173">
        <f>VAT_R*VAT_SALES_PCT*'24_Revenue'!J41</f>
        <v>0</v>
      </c>
      <c r="K11" s="173">
        <f>VAT_R*VAT_SALES_PCT*'24_Revenue'!K41</f>
        <v>0</v>
      </c>
      <c r="L11" s="173">
        <f>VAT_R*VAT_SALES_PCT*'24_Revenue'!L41</f>
        <v>0</v>
      </c>
      <c r="M11" s="173">
        <f>VAT_R*VAT_SALES_PCT*'24_Revenue'!M41</f>
        <v>0</v>
      </c>
      <c r="N11" s="173">
        <f>VAT_R*VAT_SALES_PCT*'24_Revenue'!N41</f>
        <v>0</v>
      </c>
      <c r="O11" s="173">
        <f>VAT_R*VAT_SALES_PCT*'24_Revenue'!O41</f>
        <v>0</v>
      </c>
      <c r="P11" s="173">
        <f>VAT_R*VAT_SALES_PCT*'24_Revenue'!P41</f>
        <v>0</v>
      </c>
      <c r="Q11" s="173">
        <f>VAT_R*VAT_SALES_PCT*'24_Revenue'!Q41</f>
        <v>0</v>
      </c>
      <c r="R11" s="173">
        <f>VAT_R*VAT_SALES_PCT*'24_Revenue'!R41</f>
        <v>0</v>
      </c>
    </row>
    <row r="12">
      <c r="B12" s="97" t="inlineStr">
        <is>
          <t>Total output VAT</t>
        </is>
      </c>
      <c r="C12" s="180" t="inlineStr">
        <is>
          <t>ETB</t>
        </is>
      </c>
      <c r="D12" s="181">
        <f>SUM(E12:R12)</f>
        <v>67686233.8069037</v>
      </c>
      <c r="E12" s="182">
        <f>E10+E11</f>
        <v>0</v>
      </c>
      <c r="F12" s="182">
        <f>F10+F11</f>
        <v>0</v>
      </c>
      <c r="G12" s="182">
        <f>G10+G11</f>
        <v>0</v>
      </c>
      <c r="H12" s="182">
        <f>H10+H11</f>
        <v>0</v>
      </c>
      <c r="I12" s="182">
        <f>I10+I11</f>
        <v>3153565.93604012</v>
      </c>
      <c r="J12" s="182">
        <f>J10+J11</f>
        <v>4541134.94789778</v>
      </c>
      <c r="K12" s="182">
        <f>K10+K11</f>
        <v>5640089.60528904</v>
      </c>
      <c r="L12" s="182">
        <f>L10+L11</f>
        <v>6091296.77371217</v>
      </c>
      <c r="M12" s="182">
        <f>M10+M11</f>
        <v>6578600.51560914</v>
      </c>
      <c r="N12" s="182">
        <f>N10+N11</f>
        <v>7104888.55685787</v>
      </c>
      <c r="O12" s="182">
        <f>O10+O11</f>
        <v>7673279.6414065</v>
      </c>
      <c r="P12" s="182">
        <f>P10+P11</f>
        <v>8287142.01271902</v>
      </c>
      <c r="Q12" s="182">
        <f>Q10+Q11</f>
        <v>8950113.37373655</v>
      </c>
      <c r="R12" s="182">
        <f>R10+R11</f>
        <v>9666122.44363547</v>
      </c>
    </row>
    <row r="13">
      <c r="B13" s="36" t="inlineStr">
        <is>
          <t>Input VAT – capex</t>
        </is>
      </c>
      <c r="C13" s="117" t="inlineStr">
        <is>
          <t>ETB</t>
        </is>
      </c>
      <c r="D13" s="169">
        <f>SUM(E13:R13)</f>
        <v>39251693.9935956</v>
      </c>
      <c r="E13" s="173">
        <f>SUMIFS('23_Construction'!$E$36:$AZ$36,'23_Construction'!$E$12:$AZ$12,'20_Timeline'!E11)</f>
        <v>11507402.6629568</v>
      </c>
      <c r="F13" s="173">
        <f>SUMIFS('23_Construction'!$E$36:$AZ$36,'23_Construction'!$E$12:$AZ$12,'20_Timeline'!F11)</f>
        <v>24593612.3769187</v>
      </c>
      <c r="G13" s="173">
        <f>SUMIFS('23_Construction'!$E$36:$AZ$36,'23_Construction'!$E$12:$AZ$12,'20_Timeline'!G11)</f>
        <v>3150678.95372008</v>
      </c>
      <c r="H13" s="173">
        <f>SUMIFS('23_Construction'!$E$36:$AZ$36,'23_Construction'!$E$12:$AZ$12,'20_Timeline'!H11)</f>
        <v>0</v>
      </c>
      <c r="I13" s="173">
        <f>SUMIFS('23_Construction'!$E$36:$AZ$36,'23_Construction'!$E$12:$AZ$12,'20_Timeline'!I11)</f>
        <v>0</v>
      </c>
      <c r="J13" s="173">
        <f>SUMIFS('23_Construction'!$E$36:$AZ$36,'23_Construction'!$E$12:$AZ$12,'20_Timeline'!J11)</f>
        <v>0</v>
      </c>
      <c r="K13" s="173">
        <f>SUMIFS('23_Construction'!$E$36:$AZ$36,'23_Construction'!$E$12:$AZ$12,'20_Timeline'!K11)</f>
        <v>0</v>
      </c>
      <c r="L13" s="173">
        <f>SUMIFS('23_Construction'!$E$36:$AZ$36,'23_Construction'!$E$12:$AZ$12,'20_Timeline'!L11)</f>
        <v>0</v>
      </c>
      <c r="M13" s="173">
        <f>SUMIFS('23_Construction'!$E$36:$AZ$36,'23_Construction'!$E$12:$AZ$12,'20_Timeline'!M11)</f>
        <v>0</v>
      </c>
      <c r="N13" s="173">
        <f>SUMIFS('23_Construction'!$E$36:$AZ$36,'23_Construction'!$E$12:$AZ$12,'20_Timeline'!N11)</f>
        <v>0</v>
      </c>
      <c r="O13" s="173">
        <f>SUMIFS('23_Construction'!$E$36:$AZ$36,'23_Construction'!$E$12:$AZ$12,'20_Timeline'!O11)</f>
        <v>0</v>
      </c>
      <c r="P13" s="173">
        <f>SUMIFS('23_Construction'!$E$36:$AZ$36,'23_Construction'!$E$12:$AZ$12,'20_Timeline'!P11)</f>
        <v>0</v>
      </c>
      <c r="Q13" s="173">
        <f>SUMIFS('23_Construction'!$E$36:$AZ$36,'23_Construction'!$E$12:$AZ$12,'20_Timeline'!Q11)</f>
        <v>0</v>
      </c>
      <c r="R13" s="173">
        <f>SUMIFS('23_Construction'!$E$36:$AZ$36,'23_Construction'!$E$12:$AZ$12,'20_Timeline'!R11)</f>
        <v>0</v>
      </c>
    </row>
    <row r="14">
      <c r="B14" s="36" t="inlineStr">
        <is>
          <t>Input VAT – opex</t>
        </is>
      </c>
      <c r="C14" s="117" t="inlineStr">
        <is>
          <t>ETB</t>
        </is>
      </c>
      <c r="D14" s="169">
        <f>SUM(E14:R14)</f>
        <v>6561923.08598866</v>
      </c>
      <c r="E14" s="173">
        <f>VAT_R*'25_Opex'!E21</f>
        <v>80651.3260876213</v>
      </c>
      <c r="F14" s="173">
        <f>VAT_R*'25_Opex'!F21</f>
        <v>88716.4586963834</v>
      </c>
      <c r="G14" s="173">
        <f>VAT_R*'25_Opex'!G21</f>
        <v>76210.6076636133</v>
      </c>
      <c r="H14" s="173">
        <f>VAT_R*'25_Opex'!H21</f>
        <v>0</v>
      </c>
      <c r="I14" s="173">
        <f>VAT_R*'25_Opex'!I21</f>
        <v>371952.772928613</v>
      </c>
      <c r="J14" s="173">
        <f>VAT_R*'25_Opex'!J21</f>
        <v>470561.290611224</v>
      </c>
      <c r="K14" s="173">
        <f>VAT_R*'25_Opex'!K21</f>
        <v>511201.452951735</v>
      </c>
      <c r="L14" s="173">
        <f>VAT_R*'25_Opex'!L21</f>
        <v>553007.688806982</v>
      </c>
      <c r="M14" s="173">
        <f>VAT_R*'25_Opex'!M21</f>
        <v>598249.43549256</v>
      </c>
      <c r="N14" s="173">
        <f>VAT_R*'25_Opex'!N21</f>
        <v>647210.635071085</v>
      </c>
      <c r="O14" s="173">
        <f>VAT_R*'25_Opex'!O21</f>
        <v>700198.855089804</v>
      </c>
      <c r="P14" s="173">
        <f>VAT_R*'25_Opex'!P21</f>
        <v>757547.269631325</v>
      </c>
      <c r="Q14" s="173">
        <f>VAT_R*'25_Opex'!Q21</f>
        <v>819616.8079496</v>
      </c>
      <c r="R14" s="173">
        <f>VAT_R*'25_Opex'!R21</f>
        <v>886798.485008114</v>
      </c>
    </row>
    <row r="15">
      <c r="B15" s="97" t="inlineStr">
        <is>
          <t>Total input VAT</t>
        </is>
      </c>
      <c r="C15" s="180" t="inlineStr">
        <is>
          <t>ETB</t>
        </is>
      </c>
      <c r="D15" s="181">
        <f>SUM(E15:R15)</f>
        <v>45813617.0795842</v>
      </c>
      <c r="E15" s="182">
        <f>E13+E14</f>
        <v>11588053.9890444</v>
      </c>
      <c r="F15" s="182">
        <f>F13+F14</f>
        <v>24682328.8356151</v>
      </c>
      <c r="G15" s="182">
        <f>G13+G14</f>
        <v>3226889.5613837</v>
      </c>
      <c r="H15" s="182">
        <f>H13+H14</f>
        <v>0</v>
      </c>
      <c r="I15" s="182">
        <f>I13+I14</f>
        <v>371952.772928613</v>
      </c>
      <c r="J15" s="182">
        <f>J13+J14</f>
        <v>470561.290611224</v>
      </c>
      <c r="K15" s="182">
        <f>K13+K14</f>
        <v>511201.452951735</v>
      </c>
      <c r="L15" s="182">
        <f>L13+L14</f>
        <v>553007.688806982</v>
      </c>
      <c r="M15" s="182">
        <f>M13+M14</f>
        <v>598249.43549256</v>
      </c>
      <c r="N15" s="182">
        <f>N13+N14</f>
        <v>647210.635071085</v>
      </c>
      <c r="O15" s="182">
        <f>O13+O14</f>
        <v>700198.855089804</v>
      </c>
      <c r="P15" s="182">
        <f>P13+P14</f>
        <v>757547.269631325</v>
      </c>
      <c r="Q15" s="182">
        <f>Q13+Q14</f>
        <v>819616.8079496</v>
      </c>
      <c r="R15" s="182">
        <f>R13+R14</f>
        <v>886798.485008114</v>
      </c>
    </row>
    <row r="16">
      <c r="B16" s="36" t="inlineStr">
        <is>
          <t>Opening VAT credit (receivable)</t>
        </is>
      </c>
      <c r="C16" s="117" t="inlineStr">
        <is>
          <t>ETB</t>
        </is>
      </c>
      <c r="E16" s="173">
        <f>0</f>
        <v>0</v>
      </c>
      <c r="F16" s="170">
        <f>E19</f>
        <v>11588053.9890444</v>
      </c>
      <c r="G16" s="170">
        <f>F19</f>
        <v>24682328.8356151</v>
      </c>
      <c r="H16" s="170">
        <f>G19</f>
        <v>3226889.5613837</v>
      </c>
      <c r="I16" s="170">
        <f>H19</f>
        <v>0</v>
      </c>
      <c r="J16" s="170">
        <f>I19</f>
        <v>0</v>
      </c>
      <c r="K16" s="170">
        <f>J19</f>
        <v>0</v>
      </c>
      <c r="L16" s="170">
        <f>K19</f>
        <v>0</v>
      </c>
      <c r="M16" s="170">
        <f>L19</f>
        <v>0</v>
      </c>
      <c r="N16" s="170">
        <f>M19</f>
        <v>0</v>
      </c>
      <c r="O16" s="170">
        <f>N19</f>
        <v>0</v>
      </c>
      <c r="P16" s="170">
        <f>O19</f>
        <v>0</v>
      </c>
      <c r="Q16" s="170">
        <f>P19</f>
        <v>0</v>
      </c>
      <c r="R16" s="170">
        <f>Q19</f>
        <v>0</v>
      </c>
    </row>
    <row r="17">
      <c r="B17" s="36" t="inlineStr">
        <is>
          <t>Refund received (prior credit)</t>
        </is>
      </c>
      <c r="C17" s="117" t="inlineStr">
        <is>
          <t>ETB</t>
        </is>
      </c>
      <c r="D17" s="169">
        <f>SUM(E17:R17)</f>
        <v>39497272.3860432</v>
      </c>
      <c r="E17" s="173">
        <f>IF(VAT_REFUND_F=1,E16,0)</f>
        <v>0</v>
      </c>
      <c r="F17" s="173">
        <f>IF(VAT_REFUND_F=1,F16,0)</f>
        <v>11588053.9890444</v>
      </c>
      <c r="G17" s="173">
        <f>IF(VAT_REFUND_F=1,G16,0)</f>
        <v>24682328.8356151</v>
      </c>
      <c r="H17" s="173">
        <f>IF(VAT_REFUND_F=1,H16,0)</f>
        <v>3226889.5613837</v>
      </c>
      <c r="I17" s="173">
        <f>IF(VAT_REFUND_F=1,I16,0)</f>
        <v>0</v>
      </c>
      <c r="J17" s="173">
        <f>IF(VAT_REFUND_F=1,J16,0)</f>
        <v>0</v>
      </c>
      <c r="K17" s="173">
        <f>IF(VAT_REFUND_F=1,K16,0)</f>
        <v>0</v>
      </c>
      <c r="L17" s="173">
        <f>IF(VAT_REFUND_F=1,L16,0)</f>
        <v>0</v>
      </c>
      <c r="M17" s="173">
        <f>IF(VAT_REFUND_F=1,M16,0)</f>
        <v>0</v>
      </c>
      <c r="N17" s="173">
        <f>IF(VAT_REFUND_F=1,N16,0)</f>
        <v>0</v>
      </c>
      <c r="O17" s="173">
        <f>IF(VAT_REFUND_F=1,O16,0)</f>
        <v>0</v>
      </c>
      <c r="P17" s="173">
        <f>IF(VAT_REFUND_F=1,P16,0)</f>
        <v>0</v>
      </c>
      <c r="Q17" s="173">
        <f>IF(VAT_REFUND_F=1,Q16,0)</f>
        <v>0</v>
      </c>
      <c r="R17" s="173">
        <f>IF(VAT_REFUND_F=1,R16,0)</f>
        <v>0</v>
      </c>
    </row>
    <row r="18">
      <c r="B18" s="36" t="inlineStr">
        <is>
          <t>VAT paid to authority</t>
        </is>
      </c>
      <c r="C18" s="117" t="inlineStr">
        <is>
          <t>ETB</t>
        </is>
      </c>
      <c r="D18" s="169">
        <f>SUM(E18:R18)</f>
        <v>61369889.1133626</v>
      </c>
      <c r="E18" s="173">
        <f>MAX(0,E12-E15-(E16-E17))</f>
        <v>0</v>
      </c>
      <c r="F18" s="173">
        <f>MAX(0,F12-F15-(F16-F17))</f>
        <v>0</v>
      </c>
      <c r="G18" s="173">
        <f>MAX(0,G12-G15-(G16-G17))</f>
        <v>0</v>
      </c>
      <c r="H18" s="173">
        <f>MAX(0,H12-H15-(H16-H17))</f>
        <v>0</v>
      </c>
      <c r="I18" s="173">
        <f>MAX(0,I12-I15-(I16-I17))</f>
        <v>2781613.16311151</v>
      </c>
      <c r="J18" s="173">
        <f>MAX(0,J12-J15-(J16-J17))</f>
        <v>4070573.65728656</v>
      </c>
      <c r="K18" s="173">
        <f>MAX(0,K12-K15-(K16-K17))</f>
        <v>5128888.15233731</v>
      </c>
      <c r="L18" s="173">
        <f>MAX(0,L12-L15-(L16-L17))</f>
        <v>5538289.08490519</v>
      </c>
      <c r="M18" s="173">
        <f>MAX(0,M12-M15-(M16-M17))</f>
        <v>5980351.08011658</v>
      </c>
      <c r="N18" s="173">
        <f>MAX(0,N12-N15-(N16-N17))</f>
        <v>6457677.92178679</v>
      </c>
      <c r="O18" s="173">
        <f>MAX(0,O12-O15-(O16-O17))</f>
        <v>6973080.7863167</v>
      </c>
      <c r="P18" s="173">
        <f>MAX(0,P12-P15-(P16-P17))</f>
        <v>7529594.7430877</v>
      </c>
      <c r="Q18" s="173">
        <f>MAX(0,Q12-Q15-(Q16-Q17))</f>
        <v>8130496.56578695</v>
      </c>
      <c r="R18" s="173">
        <f>MAX(0,R12-R15-(R16-R17))</f>
        <v>8779323.95862736</v>
      </c>
    </row>
    <row r="19">
      <c r="B19" s="97" t="inlineStr">
        <is>
          <t>Closing VAT credit (receivable)</t>
        </is>
      </c>
      <c r="C19" s="180" t="inlineStr">
        <is>
          <t>ETB</t>
        </is>
      </c>
      <c r="D19" s="181">
        <f>R19</f>
        <v>0</v>
      </c>
      <c r="E19" s="182">
        <f>MAX(0,E16-E17+E15-E12)</f>
        <v>11588053.9890444</v>
      </c>
      <c r="F19" s="182">
        <f>MAX(0,F16-F17+F15-F12)</f>
        <v>24682328.8356151</v>
      </c>
      <c r="G19" s="182">
        <f>MAX(0,G16-G17+G15-G12)</f>
        <v>3226889.5613837</v>
      </c>
      <c r="H19" s="182">
        <f>MAX(0,H16-H17+H15-H12)</f>
        <v>0</v>
      </c>
      <c r="I19" s="182">
        <f>MAX(0,I16-I17+I15-I12)</f>
        <v>0</v>
      </c>
      <c r="J19" s="182">
        <f>MAX(0,J16-J17+J15-J12)</f>
        <v>0</v>
      </c>
      <c r="K19" s="182">
        <f>MAX(0,K16-K17+K15-K12)</f>
        <v>0</v>
      </c>
      <c r="L19" s="182">
        <f>MAX(0,L16-L17+L15-L12)</f>
        <v>0</v>
      </c>
      <c r="M19" s="182">
        <f>MAX(0,M16-M17+M15-M12)</f>
        <v>0</v>
      </c>
      <c r="N19" s="182">
        <f>MAX(0,N16-N17+N15-N12)</f>
        <v>0</v>
      </c>
      <c r="O19" s="182">
        <f>MAX(0,O16-O17+O15-O12)</f>
        <v>0</v>
      </c>
      <c r="P19" s="182">
        <f>MAX(0,P16-P17+P15-P12)</f>
        <v>0</v>
      </c>
      <c r="Q19" s="182">
        <f>MAX(0,Q16-Q17+Q15-Q12)</f>
        <v>0</v>
      </c>
      <c r="R19" s="182">
        <f>MAX(0,R16-R17+R15-R12)</f>
        <v>0</v>
      </c>
    </row>
    <row r="20">
      <c r="B20" s="36" t="inlineStr">
        <is>
          <t>Check: roll-forward difference</t>
        </is>
      </c>
      <c r="C20" s="117" t="inlineStr">
        <is>
          <t>ETB</t>
        </is>
      </c>
      <c r="D20" s="169">
        <f>SUM(E20:R20)</f>
        <v>0</v>
      </c>
      <c r="E20" s="173">
        <f>E16-E17+E15-E12+E18-E19</f>
        <v>0</v>
      </c>
      <c r="F20" s="173">
        <f>F16-F17+F15-F12+F18-F19</f>
        <v>0</v>
      </c>
      <c r="G20" s="173">
        <f>G16-G17+G15-G12+G18-G19</f>
        <v>0</v>
      </c>
      <c r="H20" s="173">
        <f>H16-H17+H15-H12+H18-H19</f>
        <v>0</v>
      </c>
      <c r="I20" s="173">
        <f>I16-I17+I15-I12+I18-I19</f>
        <v>0</v>
      </c>
      <c r="J20" s="173">
        <f>J16-J17+J15-J12+J18-J19</f>
        <v>0</v>
      </c>
      <c r="K20" s="173">
        <f>K16-K17+K15-K12+K18-K19</f>
        <v>0</v>
      </c>
      <c r="L20" s="173">
        <f>L16-L17+L15-L12+L18-L19</f>
        <v>0</v>
      </c>
      <c r="M20" s="173">
        <f>M16-M17+M15-M12+M18-M19</f>
        <v>0</v>
      </c>
      <c r="N20" s="173">
        <f>N16-N17+N15-N12+N18-N19</f>
        <v>0</v>
      </c>
      <c r="O20" s="173">
        <f>O16-O17+O15-O12+O18-O19</f>
        <v>0</v>
      </c>
      <c r="P20" s="173">
        <f>P16-P17+P15-P12+P18-P19</f>
        <v>0</v>
      </c>
      <c r="Q20" s="173">
        <f>Q16-Q17+Q15-Q12+Q18-Q19</f>
        <v>0</v>
      </c>
      <c r="R20" s="173">
        <f>R16-R17+R15-R12+R18-R19</f>
        <v>0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2E7D4F"/>
    <outlinePr summaryBelow="1" summaryRight="1"/>
    <pageSetUpPr fitToPage="1"/>
  </sheetPr>
  <dimension ref="A1:R20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30 · Working capital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የሥራ ማስኬጃ ካፒታል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>
      <c r="B10" s="36" t="inlineStr">
        <is>
          <t>Retention release period index</t>
        </is>
      </c>
      <c r="C10" s="117" t="inlineStr">
        <is>
          <t>no.</t>
        </is>
      </c>
      <c r="D10" s="148">
        <f>IF(RET_REL_M=0,ROUNDUP(CONSTR_EFF/12,0),4+MIN(OPS_YEARS,ROUNDUP(RET_REL_M/12,0)))</f>
        <v>5</v>
      </c>
    </row>
    <row r="11">
      <c r="B11" s="36" t="inlineStr">
        <is>
          <t>Rent receivables</t>
        </is>
      </c>
      <c r="C11" s="117" t="inlineStr">
        <is>
          <t>ETB</t>
        </is>
      </c>
      <c r="D11" s="169">
        <f>R11</f>
        <v>4761995.72440003</v>
      </c>
      <c r="E11" s="173">
        <f>RECV_DAYS/365*('24_Revenue'!E55-'25_Opex'!E19)</f>
        <v>0</v>
      </c>
      <c r="F11" s="173">
        <f>RECV_DAYS/365*('24_Revenue'!F55-'25_Opex'!F19)</f>
        <v>0</v>
      </c>
      <c r="G11" s="173">
        <f>RECV_DAYS/365*('24_Revenue'!G55-'25_Opex'!G19)</f>
        <v>0</v>
      </c>
      <c r="H11" s="173">
        <f>RECV_DAYS/365*('24_Revenue'!H55-'25_Opex'!H19)</f>
        <v>0</v>
      </c>
      <c r="I11" s="173">
        <f>RECV_DAYS/365*('24_Revenue'!I55-'25_Opex'!I19)</f>
        <v>1553597.89735796</v>
      </c>
      <c r="J11" s="173">
        <f>RECV_DAYS/365*('24_Revenue'!J55-'25_Opex'!J19)</f>
        <v>2237180.97219546</v>
      </c>
      <c r="K11" s="173">
        <f>RECV_DAYS/365*('24_Revenue'!K55-'25_Opex'!K19)</f>
        <v>2778578.76746677</v>
      </c>
      <c r="L11" s="173">
        <f>RECV_DAYS/365*('24_Revenue'!L55-'25_Opex'!L19)</f>
        <v>3000865.06886411</v>
      </c>
      <c r="M11" s="173">
        <f>RECV_DAYS/365*('24_Revenue'!M55-'25_Opex'!M19)</f>
        <v>3240934.27437324</v>
      </c>
      <c r="N11" s="173">
        <f>RECV_DAYS/365*('24_Revenue'!N55-'25_Opex'!N19)</f>
        <v>3500209.01632309</v>
      </c>
      <c r="O11" s="173">
        <f>RECV_DAYS/365*('24_Revenue'!O55-'25_Opex'!O19)</f>
        <v>3780225.73762894</v>
      </c>
      <c r="P11" s="173">
        <f>RECV_DAYS/365*('24_Revenue'!P55-'25_Opex'!P19)</f>
        <v>4082643.79663926</v>
      </c>
      <c r="Q11" s="173">
        <f>RECV_DAYS/365*('24_Revenue'!Q55-'25_Opex'!Q19)</f>
        <v>4409255.3003704</v>
      </c>
      <c r="R11" s="173">
        <f>RECV_DAYS/365*('24_Revenue'!R55-'25_Opex'!R19)</f>
        <v>4761995.72440003</v>
      </c>
    </row>
    <row r="12">
      <c r="B12" s="36" t="inlineStr">
        <is>
          <t>Opex payables</t>
        </is>
      </c>
      <c r="C12" s="117" t="inlineStr">
        <is>
          <t>ETB</t>
        </is>
      </c>
      <c r="D12" s="169">
        <f>R12</f>
        <v>1324693.17540922</v>
      </c>
      <c r="E12" s="173">
        <f>PAY_DAYS/365*('25_Opex'!E20-'25_Opex'!E19)</f>
        <v>88385.0148905439</v>
      </c>
      <c r="F12" s="173">
        <f>PAY_DAYS/365*('25_Opex'!F20-'25_Opex'!F19)</f>
        <v>97223.5163795983</v>
      </c>
      <c r="G12" s="173">
        <f>PAY_DAYS/365*('25_Opex'!G20-'25_Opex'!G19)</f>
        <v>83518.474151905</v>
      </c>
      <c r="H12" s="173">
        <f>PAY_DAYS/365*('25_Opex'!H20-'25_Opex'!H19)</f>
        <v>0</v>
      </c>
      <c r="I12" s="173">
        <f>PAY_DAYS/365*('25_Opex'!I20-'25_Opex'!I19)</f>
        <v>557266.231680778</v>
      </c>
      <c r="J12" s="173">
        <f>PAY_DAYS/365*('25_Opex'!J20-'25_Opex'!J19)</f>
        <v>680295.036097897</v>
      </c>
      <c r="K12" s="173">
        <f>PAY_DAYS/365*('25_Opex'!K20-'25_Opex'!K19)</f>
        <v>741293.343301538</v>
      </c>
      <c r="L12" s="173">
        <f>PAY_DAYS/365*('25_Opex'!L20-'25_Opex'!L19)</f>
        <v>805215.653587936</v>
      </c>
      <c r="M12" s="173">
        <f>PAY_DAYS/365*('25_Opex'!M20-'25_Opex'!M19)</f>
        <v>874713.632979474</v>
      </c>
      <c r="N12" s="173">
        <f>PAY_DAYS/365*('25_Opex'!N20-'25_Opex'!N19)</f>
        <v>950279.523432785</v>
      </c>
      <c r="O12" s="173">
        <f>PAY_DAYS/365*('25_Opex'!O20-'25_Opex'!O19)</f>
        <v>1032449.56510386</v>
      </c>
      <c r="P12" s="173">
        <f>PAY_DAYS/365*('25_Opex'!P20-'25_Opex'!P19)</f>
        <v>1121807.97808826</v>
      </c>
      <c r="Q12" s="173">
        <f>PAY_DAYS/365*('25_Opex'!Q20-'25_Opex'!Q19)</f>
        <v>1218991.30888902</v>
      </c>
      <c r="R12" s="173">
        <f>PAY_DAYS/365*('25_Opex'!R20-'25_Opex'!R19)</f>
        <v>1324693.17540922</v>
      </c>
    </row>
    <row r="13">
      <c r="B13" s="36" t="inlineStr">
        <is>
          <t>Retention withheld</t>
        </is>
      </c>
      <c r="C13" s="117" t="inlineStr">
        <is>
          <t>ETB</t>
        </is>
      </c>
      <c r="D13" s="169">
        <f>SUM(E13:R13)</f>
        <v>15966117.4361199</v>
      </c>
      <c r="E13" s="173">
        <f>SUMIFS('23_Construction'!$E$33:$AZ$33,'23_Construction'!$E$12:$AZ$12,'20_Timeline'!E11)</f>
        <v>4542669.15795262</v>
      </c>
      <c r="F13" s="173">
        <f>SUMIFS('23_Construction'!$E$33:$AZ$33,'23_Construction'!$E$12:$AZ$12,'20_Timeline'!F11)</f>
        <v>10359799.6272919</v>
      </c>
      <c r="G13" s="173">
        <f>SUMIFS('23_Construction'!$E$33:$AZ$33,'23_Construction'!$E$12:$AZ$12,'20_Timeline'!G11)</f>
        <v>1063648.65087545</v>
      </c>
      <c r="H13" s="173">
        <f>SUMIFS('23_Construction'!$E$33:$AZ$33,'23_Construction'!$E$12:$AZ$12,'20_Timeline'!H11)</f>
        <v>0</v>
      </c>
      <c r="I13" s="173">
        <f>SUMIFS('23_Construction'!$E$33:$AZ$33,'23_Construction'!$E$12:$AZ$12,'20_Timeline'!I11)</f>
        <v>0</v>
      </c>
      <c r="J13" s="173">
        <f>SUMIFS('23_Construction'!$E$33:$AZ$33,'23_Construction'!$E$12:$AZ$12,'20_Timeline'!J11)</f>
        <v>0</v>
      </c>
      <c r="K13" s="173">
        <f>SUMIFS('23_Construction'!$E$33:$AZ$33,'23_Construction'!$E$12:$AZ$12,'20_Timeline'!K11)</f>
        <v>0</v>
      </c>
      <c r="L13" s="173">
        <f>SUMIFS('23_Construction'!$E$33:$AZ$33,'23_Construction'!$E$12:$AZ$12,'20_Timeline'!L11)</f>
        <v>0</v>
      </c>
      <c r="M13" s="173">
        <f>SUMIFS('23_Construction'!$E$33:$AZ$33,'23_Construction'!$E$12:$AZ$12,'20_Timeline'!M11)</f>
        <v>0</v>
      </c>
      <c r="N13" s="173">
        <f>SUMIFS('23_Construction'!$E$33:$AZ$33,'23_Construction'!$E$12:$AZ$12,'20_Timeline'!N11)</f>
        <v>0</v>
      </c>
      <c r="O13" s="173">
        <f>SUMIFS('23_Construction'!$E$33:$AZ$33,'23_Construction'!$E$12:$AZ$12,'20_Timeline'!O11)</f>
        <v>0</v>
      </c>
      <c r="P13" s="173">
        <f>SUMIFS('23_Construction'!$E$33:$AZ$33,'23_Construction'!$E$12:$AZ$12,'20_Timeline'!P11)</f>
        <v>0</v>
      </c>
      <c r="Q13" s="173">
        <f>SUMIFS('23_Construction'!$E$33:$AZ$33,'23_Construction'!$E$12:$AZ$12,'20_Timeline'!Q11)</f>
        <v>0</v>
      </c>
      <c r="R13" s="173">
        <f>SUMIFS('23_Construction'!$E$33:$AZ$33,'23_Construction'!$E$12:$AZ$12,'20_Timeline'!R11)</f>
        <v>0</v>
      </c>
    </row>
    <row r="14">
      <c r="B14" s="36" t="inlineStr">
        <is>
          <t>Retention released</t>
        </is>
      </c>
      <c r="C14" s="117" t="inlineStr">
        <is>
          <t>ETB</t>
        </is>
      </c>
      <c r="D14" s="169">
        <f>SUM(E14:R14)</f>
        <v>15966117.4361199</v>
      </c>
      <c r="E14" s="173">
        <f>IF('20_Timeline'!E11=RET_REL_P,RET_TOT,0)</f>
        <v>0</v>
      </c>
      <c r="F14" s="173">
        <f>IF('20_Timeline'!F11=RET_REL_P,RET_TOT,0)</f>
        <v>0</v>
      </c>
      <c r="G14" s="173">
        <f>IF('20_Timeline'!G11=RET_REL_P,RET_TOT,0)</f>
        <v>0</v>
      </c>
      <c r="H14" s="173">
        <f>IF('20_Timeline'!H11=RET_REL_P,RET_TOT,0)</f>
        <v>0</v>
      </c>
      <c r="I14" s="173">
        <f>IF('20_Timeline'!I11=RET_REL_P,RET_TOT,0)</f>
        <v>15966117.4361199</v>
      </c>
      <c r="J14" s="173">
        <f>IF('20_Timeline'!J11=RET_REL_P,RET_TOT,0)</f>
        <v>0</v>
      </c>
      <c r="K14" s="173">
        <f>IF('20_Timeline'!K11=RET_REL_P,RET_TOT,0)</f>
        <v>0</v>
      </c>
      <c r="L14" s="173">
        <f>IF('20_Timeline'!L11=RET_REL_P,RET_TOT,0)</f>
        <v>0</v>
      </c>
      <c r="M14" s="173">
        <f>IF('20_Timeline'!M11=RET_REL_P,RET_TOT,0)</f>
        <v>0</v>
      </c>
      <c r="N14" s="173">
        <f>IF('20_Timeline'!N11=RET_REL_P,RET_TOT,0)</f>
        <v>0</v>
      </c>
      <c r="O14" s="173">
        <f>IF('20_Timeline'!O11=RET_REL_P,RET_TOT,0)</f>
        <v>0</v>
      </c>
      <c r="P14" s="173">
        <f>IF('20_Timeline'!P11=RET_REL_P,RET_TOT,0)</f>
        <v>0</v>
      </c>
      <c r="Q14" s="173">
        <f>IF('20_Timeline'!Q11=RET_REL_P,RET_TOT,0)</f>
        <v>0</v>
      </c>
      <c r="R14" s="173">
        <f>IF('20_Timeline'!R11=RET_REL_P,RET_TOT,0)</f>
        <v>0</v>
      </c>
    </row>
    <row r="15">
      <c r="B15" s="36" t="inlineStr">
        <is>
          <t>Retention payable</t>
        </is>
      </c>
      <c r="C15" s="117" t="inlineStr">
        <is>
          <t>ETB</t>
        </is>
      </c>
      <c r="D15" s="169">
        <f>R15</f>
        <v>0</v>
      </c>
      <c r="E15" s="173">
        <f>0+E13-E14</f>
        <v>4542669.15795262</v>
      </c>
      <c r="F15" s="173">
        <f>E15+F13-F14</f>
        <v>14902468.7852445</v>
      </c>
      <c r="G15" s="173">
        <f>F15+G13-G14</f>
        <v>15966117.4361199</v>
      </c>
      <c r="H15" s="173">
        <f>G15+H13-H14</f>
        <v>15966117.4361199</v>
      </c>
      <c r="I15" s="173">
        <f>H15+I13-I14</f>
        <v>0</v>
      </c>
      <c r="J15" s="173">
        <f>I15+J13-J14</f>
        <v>0</v>
      </c>
      <c r="K15" s="173">
        <f>J15+K13-K14</f>
        <v>0</v>
      </c>
      <c r="L15" s="173">
        <f>K15+L13-L14</f>
        <v>0</v>
      </c>
      <c r="M15" s="173">
        <f>L15+M13-M14</f>
        <v>0</v>
      </c>
      <c r="N15" s="173">
        <f>M15+N13-N14</f>
        <v>0</v>
      </c>
      <c r="O15" s="173">
        <f>N15+O13-O14</f>
        <v>0</v>
      </c>
      <c r="P15" s="173">
        <f>O15+P13-P14</f>
        <v>0</v>
      </c>
      <c r="Q15" s="173">
        <f>P15+Q13-Q14</f>
        <v>0</v>
      </c>
      <c r="R15" s="173">
        <f>Q15+R13-R14</f>
        <v>0</v>
      </c>
    </row>
    <row r="16">
      <c r="B16" s="36" t="inlineStr">
        <is>
          <t>VAT receivable</t>
        </is>
      </c>
      <c r="C16" s="117" t="inlineStr">
        <is>
          <t>ETB</t>
        </is>
      </c>
      <c r="D16" s="169">
        <f>R16</f>
        <v>0</v>
      </c>
      <c r="E16" s="170">
        <f>'29_VAT'!E19</f>
        <v>11588053.9890444</v>
      </c>
      <c r="F16" s="170">
        <f>'29_VAT'!F19</f>
        <v>24682328.8356151</v>
      </c>
      <c r="G16" s="170">
        <f>'29_VAT'!G19</f>
        <v>3226889.5613837</v>
      </c>
      <c r="H16" s="170">
        <f>'29_VAT'!H19</f>
        <v>0</v>
      </c>
      <c r="I16" s="170">
        <f>'29_VAT'!I19</f>
        <v>0</v>
      </c>
      <c r="J16" s="170">
        <f>'29_VAT'!J19</f>
        <v>0</v>
      </c>
      <c r="K16" s="170">
        <f>'29_VAT'!K19</f>
        <v>0</v>
      </c>
      <c r="L16" s="170">
        <f>'29_VAT'!L19</f>
        <v>0</v>
      </c>
      <c r="M16" s="170">
        <f>'29_VAT'!M19</f>
        <v>0</v>
      </c>
      <c r="N16" s="170">
        <f>'29_VAT'!N19</f>
        <v>0</v>
      </c>
      <c r="O16" s="170">
        <f>'29_VAT'!O19</f>
        <v>0</v>
      </c>
      <c r="P16" s="170">
        <f>'29_VAT'!P19</f>
        <v>0</v>
      </c>
      <c r="Q16" s="170">
        <f>'29_VAT'!Q19</f>
        <v>0</v>
      </c>
      <c r="R16" s="170">
        <f>'29_VAT'!R19</f>
        <v>0</v>
      </c>
    </row>
    <row r="17">
      <c r="B17" s="36" t="inlineStr">
        <is>
          <t>Contract liability</t>
        </is>
      </c>
      <c r="C17" s="117" t="inlineStr">
        <is>
          <t>ETB</t>
        </is>
      </c>
      <c r="D17" s="169">
        <f>R17</f>
        <v>0</v>
      </c>
      <c r="E17" s="170">
        <f>'24_Revenue'!E49</f>
        <v>45495619.8442992</v>
      </c>
      <c r="F17" s="170">
        <f>'24_Revenue'!F49</f>
        <v>152763100.001259</v>
      </c>
      <c r="G17" s="170">
        <f>'24_Revenue'!G49</f>
        <v>0</v>
      </c>
      <c r="H17" s="170">
        <f>'24_Revenue'!H49</f>
        <v>0</v>
      </c>
      <c r="I17" s="170">
        <f>'24_Revenue'!I49</f>
        <v>0</v>
      </c>
      <c r="J17" s="170">
        <f>'24_Revenue'!J49</f>
        <v>0</v>
      </c>
      <c r="K17" s="170">
        <f>'24_Revenue'!K49</f>
        <v>0</v>
      </c>
      <c r="L17" s="170">
        <f>'24_Revenue'!L49</f>
        <v>0</v>
      </c>
      <c r="M17" s="170">
        <f>'24_Revenue'!M49</f>
        <v>0</v>
      </c>
      <c r="N17" s="170">
        <f>'24_Revenue'!N49</f>
        <v>0</v>
      </c>
      <c r="O17" s="170">
        <f>'24_Revenue'!O49</f>
        <v>0</v>
      </c>
      <c r="P17" s="170">
        <f>'24_Revenue'!P49</f>
        <v>0</v>
      </c>
      <c r="Q17" s="170">
        <f>'24_Revenue'!Q49</f>
        <v>0</v>
      </c>
      <c r="R17" s="170">
        <f>'24_Revenue'!R49</f>
        <v>0</v>
      </c>
    </row>
    <row r="18">
      <c r="B18" s="36" t="inlineStr">
        <is>
          <t>Contract asset</t>
        </is>
      </c>
      <c r="C18" s="117" t="inlineStr">
        <is>
          <t>ETB</t>
        </is>
      </c>
      <c r="D18" s="169">
        <f>R18</f>
        <v>0</v>
      </c>
      <c r="E18" s="170">
        <f>'24_Revenue'!E50</f>
        <v>0</v>
      </c>
      <c r="F18" s="170">
        <f>'24_Revenue'!F50</f>
        <v>0</v>
      </c>
      <c r="G18" s="170">
        <f>'24_Revenue'!G50</f>
        <v>0</v>
      </c>
      <c r="H18" s="170">
        <f>'24_Revenue'!H50</f>
        <v>0</v>
      </c>
      <c r="I18" s="170">
        <f>'24_Revenue'!I50</f>
        <v>0</v>
      </c>
      <c r="J18" s="170">
        <f>'24_Revenue'!J50</f>
        <v>0</v>
      </c>
      <c r="K18" s="170">
        <f>'24_Revenue'!K50</f>
        <v>0</v>
      </c>
      <c r="L18" s="170">
        <f>'24_Revenue'!L50</f>
        <v>0</v>
      </c>
      <c r="M18" s="170">
        <f>'24_Revenue'!M50</f>
        <v>0</v>
      </c>
      <c r="N18" s="170">
        <f>'24_Revenue'!N50</f>
        <v>0</v>
      </c>
      <c r="O18" s="170">
        <f>'24_Revenue'!O50</f>
        <v>0</v>
      </c>
      <c r="P18" s="170">
        <f>'24_Revenue'!P50</f>
        <v>0</v>
      </c>
      <c r="Q18" s="170">
        <f>'24_Revenue'!Q50</f>
        <v>0</v>
      </c>
      <c r="R18" s="170">
        <f>'24_Revenue'!R50</f>
        <v>0</v>
      </c>
    </row>
    <row r="19">
      <c r="B19" s="36" t="inlineStr">
        <is>
          <t>Deferred key money</t>
        </is>
      </c>
      <c r="C19" s="117" t="inlineStr">
        <is>
          <t>ETB</t>
        </is>
      </c>
      <c r="D19" s="169">
        <f>R19</f>
        <v>0</v>
      </c>
      <c r="E19" s="170">
        <f>'24_Revenue'!E58</f>
        <v>0</v>
      </c>
      <c r="F19" s="170">
        <f>'24_Revenue'!F58</f>
        <v>0</v>
      </c>
      <c r="G19" s="170">
        <f>'24_Revenue'!G58</f>
        <v>0</v>
      </c>
      <c r="H19" s="170">
        <f>'24_Revenue'!H58</f>
        <v>0</v>
      </c>
      <c r="I19" s="170">
        <f>'24_Revenue'!I58</f>
        <v>7715146.02089327</v>
      </c>
      <c r="J19" s="170">
        <f>'24_Revenue'!J58</f>
        <v>5786359.51566995</v>
      </c>
      <c r="K19" s="170">
        <f>'24_Revenue'!K58</f>
        <v>3857573.01044664</v>
      </c>
      <c r="L19" s="170">
        <f>'24_Revenue'!L58</f>
        <v>1928786.50522332</v>
      </c>
      <c r="M19" s="170">
        <f>'24_Revenue'!M58</f>
        <v>0</v>
      </c>
      <c r="N19" s="170">
        <f>'24_Revenue'!N58</f>
        <v>0</v>
      </c>
      <c r="O19" s="170">
        <f>'24_Revenue'!O58</f>
        <v>0</v>
      </c>
      <c r="P19" s="170">
        <f>'24_Revenue'!P58</f>
        <v>0</v>
      </c>
      <c r="Q19" s="170">
        <f>'24_Revenue'!Q58</f>
        <v>0</v>
      </c>
      <c r="R19" s="170">
        <f>'24_Revenue'!R58</f>
        <v>0</v>
      </c>
    </row>
    <row r="20">
      <c r="B20" s="97" t="inlineStr">
        <is>
          <t>Net working capital (assets − liabilities)</t>
        </is>
      </c>
      <c r="C20" s="180" t="inlineStr">
        <is>
          <t>ETB</t>
        </is>
      </c>
      <c r="D20" s="181">
        <f>R20</f>
        <v>3437302.54899081</v>
      </c>
      <c r="E20" s="182">
        <f>E11+E16+E18-E12-E15-E17-E19</f>
        <v>-38538620.028098</v>
      </c>
      <c r="F20" s="182">
        <f>F11+F16+F18-F12-F15-F17-F19</f>
        <v>-143080463.467268</v>
      </c>
      <c r="G20" s="182">
        <f>G11+G16+G18-G12-G15-G17-G19</f>
        <v>-12822746.3488882</v>
      </c>
      <c r="H20" s="182">
        <f>H11+H16+H18-H12-H15-H17-H19</f>
        <v>-15966117.4361199</v>
      </c>
      <c r="I20" s="182">
        <f>I11+I16+I18-I12-I15-I17-I19</f>
        <v>-6718814.35521609</v>
      </c>
      <c r="J20" s="182">
        <f>J11+J16+J18-J12-J15-J17-J19</f>
        <v>-4229473.57957239</v>
      </c>
      <c r="K20" s="182">
        <f>K11+K16+K18-K12-K15-K17-K19</f>
        <v>-1820287.58628141</v>
      </c>
      <c r="L20" s="182">
        <f>L11+L16+L18-L12-L15-L17-L19</f>
        <v>266862.910052853</v>
      </c>
      <c r="M20" s="182">
        <f>M11+M16+M18-M12-M15-M17-M19</f>
        <v>2366220.64139376</v>
      </c>
      <c r="N20" s="182">
        <f>N11+N16+N18-N12-N15-N17-N19</f>
        <v>2549929.49289031</v>
      </c>
      <c r="O20" s="182">
        <f>O11+O16+O18-O12-O15-O17-O19</f>
        <v>2747776.17252509</v>
      </c>
      <c r="P20" s="182">
        <f>P11+P16+P18-P12-P15-P17-P19</f>
        <v>2960835.818551</v>
      </c>
      <c r="Q20" s="182">
        <f>Q11+Q16+Q18-Q12-Q15-Q17-Q19</f>
        <v>3190263.99148138</v>
      </c>
      <c r="R20" s="182">
        <f>R11+R16+R18-R12-R15-R17-R19</f>
        <v>3437302.54899081</v>
      </c>
    </row>
  </sheetData>
  <conditionalFormatting sqref="B5:R5">
    <cfRule type="expression" priority="1" dxfId="7">
      <formula>PROJECT_MODE=0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8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40 · Profit &amp; loss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የትርፍና ኪሳራ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Revenue (IFRS 15 / IFRS 16)</t>
        </is>
      </c>
      <c r="C10" s="37" t="inlineStr">
        <is>
          <t>ገቢ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Sales of units (IFRS 15)</t>
        </is>
      </c>
      <c r="C11" s="117" t="str">
        <f>UNIT_LBL</f>
        <v>ETB '000</v>
      </c>
      <c r="D11" s="189">
        <f>SUM(E11:R11)</f>
        <v>498363811.796824</v>
      </c>
      <c r="E11" s="190">
        <f>'24_Revenue'!E40</f>
        <v>0</v>
      </c>
      <c r="F11" s="190">
        <f>'24_Revenue'!F40</f>
        <v>0</v>
      </c>
      <c r="G11" s="190">
        <f>'24_Revenue'!G40</f>
        <v>327437856.596824</v>
      </c>
      <c r="H11" s="190">
        <f>'24_Revenue'!H40</f>
        <v>0</v>
      </c>
      <c r="I11" s="190">
        <f>'24_Revenue'!I40</f>
        <v>98611128</v>
      </c>
      <c r="J11" s="190">
        <f>'24_Revenue'!J40</f>
        <v>72314827.2</v>
      </c>
      <c r="K11" s="190">
        <f>'24_Revenue'!K40</f>
        <v>0</v>
      </c>
      <c r="L11" s="190">
        <f>'24_Revenue'!L40</f>
        <v>0</v>
      </c>
      <c r="M11" s="190">
        <f>'24_Revenue'!M40</f>
        <v>0</v>
      </c>
      <c r="N11" s="190">
        <f>'24_Revenue'!N40</f>
        <v>0</v>
      </c>
      <c r="O11" s="190">
        <f>'24_Revenue'!O40</f>
        <v>0</v>
      </c>
      <c r="P11" s="190">
        <f>'24_Revenue'!P40</f>
        <v>0</v>
      </c>
      <c r="Q11" s="190">
        <f>'24_Revenue'!Q40</f>
        <v>0</v>
      </c>
      <c r="R11" s="190">
        <f>'24_Revenue'!R40</f>
        <v>0</v>
      </c>
    </row>
    <row r="12">
      <c r="B12" s="36" t="inlineStr">
        <is>
          <t>Rental income (IFRS 16)</t>
        </is>
      </c>
      <c r="C12" s="117" t="str">
        <f>UNIT_LBL</f>
        <v>ETB '000</v>
      </c>
      <c r="D12" s="189">
        <f>SUM(E12:R12)</f>
        <v>413983081.38779</v>
      </c>
      <c r="E12" s="190">
        <f>'24_Revenue'!E55</f>
        <v>0</v>
      </c>
      <c r="F12" s="190">
        <f>'24_Revenue'!F55</f>
        <v>0</v>
      </c>
      <c r="G12" s="190">
        <f>'24_Revenue'!G55</f>
        <v>0</v>
      </c>
      <c r="H12" s="190">
        <f>'24_Revenue'!H55</f>
        <v>0</v>
      </c>
      <c r="I12" s="190">
        <f>'24_Revenue'!I55</f>
        <v>19287865.0522332</v>
      </c>
      <c r="J12" s="190">
        <f>'24_Revenue'!J55</f>
        <v>27774525.6752158</v>
      </c>
      <c r="K12" s="190">
        <f>'24_Revenue'!K55</f>
        <v>34495960.888618</v>
      </c>
      <c r="L12" s="190">
        <f>'24_Revenue'!L55</f>
        <v>37255637.7597074</v>
      </c>
      <c r="M12" s="190">
        <f>'24_Revenue'!M55</f>
        <v>40236088.780484</v>
      </c>
      <c r="N12" s="190">
        <f>'24_Revenue'!N55</f>
        <v>43454975.8829228</v>
      </c>
      <c r="O12" s="190">
        <f>'24_Revenue'!O55</f>
        <v>46931373.9535566</v>
      </c>
      <c r="P12" s="190">
        <f>'24_Revenue'!P55</f>
        <v>50685883.8698411</v>
      </c>
      <c r="Q12" s="190">
        <f>'24_Revenue'!Q55</f>
        <v>54740754.5794284</v>
      </c>
      <c r="R12" s="190">
        <f>'24_Revenue'!R55</f>
        <v>59120014.9457827</v>
      </c>
    </row>
    <row r="13">
      <c r="B13" s="36" t="inlineStr">
        <is>
          <t>Key money released</t>
        </is>
      </c>
      <c r="C13" s="117" t="str">
        <f>UNIT_LBL</f>
        <v>ETB '000</v>
      </c>
      <c r="D13" s="189">
        <f>SUM(E13:R13)</f>
        <v>9643932.52611659</v>
      </c>
      <c r="E13" s="190">
        <f>'24_Revenue'!E57</f>
        <v>0</v>
      </c>
      <c r="F13" s="190">
        <f>'24_Revenue'!F57</f>
        <v>0</v>
      </c>
      <c r="G13" s="190">
        <f>'24_Revenue'!G57</f>
        <v>0</v>
      </c>
      <c r="H13" s="190">
        <f>'24_Revenue'!H57</f>
        <v>0</v>
      </c>
      <c r="I13" s="190">
        <f>'24_Revenue'!I57</f>
        <v>1928786.50522332</v>
      </c>
      <c r="J13" s="190">
        <f>'24_Revenue'!J57</f>
        <v>1928786.50522332</v>
      </c>
      <c r="K13" s="190">
        <f>'24_Revenue'!K57</f>
        <v>1928786.50522332</v>
      </c>
      <c r="L13" s="190">
        <f>'24_Revenue'!L57</f>
        <v>1928786.50522332</v>
      </c>
      <c r="M13" s="190">
        <f>'24_Revenue'!M57</f>
        <v>1928786.50522332</v>
      </c>
      <c r="N13" s="190">
        <f>'24_Revenue'!N57</f>
        <v>0</v>
      </c>
      <c r="O13" s="190">
        <f>'24_Revenue'!O57</f>
        <v>0</v>
      </c>
      <c r="P13" s="190">
        <f>'24_Revenue'!P57</f>
        <v>0</v>
      </c>
      <c r="Q13" s="190">
        <f>'24_Revenue'!Q57</f>
        <v>0</v>
      </c>
      <c r="R13" s="190">
        <f>'24_Revenue'!R57</f>
        <v>0</v>
      </c>
    </row>
    <row r="14">
      <c r="B14" s="36" t="inlineStr">
        <is>
          <t>Service charge recoveries</t>
        </is>
      </c>
      <c r="C14" s="117" t="str">
        <f>UNIT_LBL</f>
        <v>ETB '000</v>
      </c>
      <c r="D14" s="189">
        <f>SUM(E14:R14)</f>
        <v>37258477.3249011</v>
      </c>
      <c r="E14" s="190">
        <f>'24_Revenue'!E59</f>
        <v>0</v>
      </c>
      <c r="F14" s="190">
        <f>'24_Revenue'!F59</f>
        <v>0</v>
      </c>
      <c r="G14" s="190">
        <f>'24_Revenue'!G59</f>
        <v>0</v>
      </c>
      <c r="H14" s="190">
        <f>'24_Revenue'!H59</f>
        <v>0</v>
      </c>
      <c r="I14" s="190">
        <f>'24_Revenue'!I59</f>
        <v>1735907.85470099</v>
      </c>
      <c r="J14" s="190">
        <f>'24_Revenue'!J59</f>
        <v>2499707.31076942</v>
      </c>
      <c r="K14" s="190">
        <f>'24_Revenue'!K59</f>
        <v>3104636.47997562</v>
      </c>
      <c r="L14" s="190">
        <f>'24_Revenue'!L59</f>
        <v>3353007.39837367</v>
      </c>
      <c r="M14" s="190">
        <f>'24_Revenue'!M59</f>
        <v>3621247.99024356</v>
      </c>
      <c r="N14" s="190">
        <f>'24_Revenue'!N59</f>
        <v>3910947.82946305</v>
      </c>
      <c r="O14" s="190">
        <f>'24_Revenue'!O59</f>
        <v>4223823.65582009</v>
      </c>
      <c r="P14" s="190">
        <f>'24_Revenue'!P59</f>
        <v>4561729.5482857</v>
      </c>
      <c r="Q14" s="190">
        <f>'24_Revenue'!Q59</f>
        <v>4926667.91214856</v>
      </c>
      <c r="R14" s="190">
        <f>'24_Revenue'!R59</f>
        <v>5320801.34512044</v>
      </c>
    </row>
    <row r="15">
      <c r="B15" s="36" t="inlineStr">
        <is>
          <t>Other income</t>
        </is>
      </c>
      <c r="C15" s="117" t="str">
        <f>UNIT_LBL</f>
        <v>ETB '000</v>
      </c>
      <c r="D15" s="189">
        <f>SUM(E15:R15)</f>
        <v>9562454.7606</v>
      </c>
      <c r="E15" s="190">
        <f>'24_Revenue'!E60</f>
        <v>0</v>
      </c>
      <c r="F15" s="190">
        <f>'24_Revenue'!F60</f>
        <v>0</v>
      </c>
      <c r="G15" s="190">
        <f>'24_Revenue'!G60</f>
        <v>0</v>
      </c>
      <c r="H15" s="190">
        <f>'24_Revenue'!H60</f>
        <v>0</v>
      </c>
      <c r="I15" s="190">
        <f>'24_Revenue'!I60</f>
        <v>600000</v>
      </c>
      <c r="J15" s="190">
        <f>'24_Revenue'!J60</f>
        <v>660000</v>
      </c>
      <c r="K15" s="190">
        <f>'24_Revenue'!K60</f>
        <v>726000</v>
      </c>
      <c r="L15" s="190">
        <f>'24_Revenue'!L60</f>
        <v>798600</v>
      </c>
      <c r="M15" s="190">
        <f>'24_Revenue'!M60</f>
        <v>878460</v>
      </c>
      <c r="N15" s="190">
        <f>'24_Revenue'!N60</f>
        <v>966306</v>
      </c>
      <c r="O15" s="190">
        <f>'24_Revenue'!O60</f>
        <v>1062936.6</v>
      </c>
      <c r="P15" s="190">
        <f>'24_Revenue'!P60</f>
        <v>1169230.26</v>
      </c>
      <c r="Q15" s="190">
        <f>'24_Revenue'!Q60</f>
        <v>1286153.286</v>
      </c>
      <c r="R15" s="190">
        <f>'24_Revenue'!R60</f>
        <v>1414768.6146</v>
      </c>
    </row>
    <row r="16">
      <c r="B16" s="97" t="inlineStr">
        <is>
          <t>Total revenue</t>
        </is>
      </c>
      <c r="C16" s="180" t="str">
        <f>UNIT_LBL</f>
        <v>ETB '000</v>
      </c>
      <c r="D16" s="191">
        <f>SUM(E16:R16)</f>
        <v>968811757.796232</v>
      </c>
      <c r="E16" s="192">
        <f>E11+E12+E13+E14+E15</f>
        <v>0</v>
      </c>
      <c r="F16" s="192">
        <f>F11+F12+F13+F14+F15</f>
        <v>0</v>
      </c>
      <c r="G16" s="192">
        <f>G11+G12+G13+G14+G15</f>
        <v>327437856.596824</v>
      </c>
      <c r="H16" s="192">
        <f>H11+H12+H13+H14+H15</f>
        <v>0</v>
      </c>
      <c r="I16" s="192">
        <f>I11+I12+I13+I14+I15</f>
        <v>122163687.412158</v>
      </c>
      <c r="J16" s="192">
        <f>J11+J12+J13+J14+J15</f>
        <v>105177846.691209</v>
      </c>
      <c r="K16" s="192">
        <f>K11+K12+K13+K14+K15</f>
        <v>40255383.8738169</v>
      </c>
      <c r="L16" s="192">
        <f>L11+L12+L13+L14+L15</f>
        <v>43336031.6633044</v>
      </c>
      <c r="M16" s="192">
        <f>M11+M12+M13+M14+M15</f>
        <v>46664583.2759509</v>
      </c>
      <c r="N16" s="192">
        <f>N11+N12+N13+N14+N15</f>
        <v>48332229.7123858</v>
      </c>
      <c r="O16" s="192">
        <f>O11+O12+O13+O14+O15</f>
        <v>52218134.2093767</v>
      </c>
      <c r="P16" s="192">
        <f>P11+P12+P13+P14+P15</f>
        <v>56416843.6781268</v>
      </c>
      <c r="Q16" s="192">
        <f>Q11+Q12+Q13+Q14+Q15</f>
        <v>60953575.777577</v>
      </c>
      <c r="R16" s="192">
        <f>R11+R12+R13+R14+R15</f>
        <v>65855584.9055032</v>
      </c>
    </row>
    <row r="17">
      <c r="B17" s="36" t="inlineStr">
        <is>
          <t>Cost of sales – units (IAS 2)</t>
        </is>
      </c>
      <c r="C17" s="117" t="str">
        <f>UNIT_LBL</f>
        <v>ETB '000</v>
      </c>
      <c r="D17" s="189">
        <f>SUM(E17:R17)</f>
        <v>-414382765.793035</v>
      </c>
      <c r="E17" s="193">
        <f>-'24_Revenue'!E42</f>
        <v>0</v>
      </c>
      <c r="F17" s="193">
        <f>-'24_Revenue'!F42</f>
        <v>0</v>
      </c>
      <c r="G17" s="193">
        <f>-'24_Revenue'!G42</f>
        <v>-290067936.055125</v>
      </c>
      <c r="H17" s="193">
        <f>-'24_Revenue'!H42</f>
        <v>0</v>
      </c>
      <c r="I17" s="193">
        <f>-'24_Revenue'!I42</f>
        <v>-74588897.8427463</v>
      </c>
      <c r="J17" s="193">
        <f>-'24_Revenue'!J42</f>
        <v>-49725931.8951642</v>
      </c>
      <c r="K17" s="193">
        <f>-'24_Revenue'!K42</f>
        <v>0</v>
      </c>
      <c r="L17" s="193">
        <f>-'24_Revenue'!L42</f>
        <v>0</v>
      </c>
      <c r="M17" s="193">
        <f>-'24_Revenue'!M42</f>
        <v>0</v>
      </c>
      <c r="N17" s="193">
        <f>-'24_Revenue'!N42</f>
        <v>0</v>
      </c>
      <c r="O17" s="193">
        <f>-'24_Revenue'!O42</f>
        <v>0</v>
      </c>
      <c r="P17" s="193">
        <f>-'24_Revenue'!P42</f>
        <v>0</v>
      </c>
      <c r="Q17" s="193">
        <f>-'24_Revenue'!Q42</f>
        <v>0</v>
      </c>
      <c r="R17" s="193">
        <f>-'24_Revenue'!R42</f>
        <v>0</v>
      </c>
    </row>
    <row r="18">
      <c r="B18" s="36" t="inlineStr">
        <is>
          <t>Sales commission</t>
        </is>
      </c>
      <c r="C18" s="117" t="str">
        <f>UNIT_LBL</f>
        <v>ETB '000</v>
      </c>
      <c r="D18" s="189">
        <f>SUM(E18:R18)</f>
        <v>-9967276.23593648</v>
      </c>
      <c r="E18" s="193">
        <f>-'24_Revenue'!E44</f>
        <v>0</v>
      </c>
      <c r="F18" s="193">
        <f>-'24_Revenue'!F44</f>
        <v>0</v>
      </c>
      <c r="G18" s="193">
        <f>-'24_Revenue'!G44</f>
        <v>-6548757.13193648</v>
      </c>
      <c r="H18" s="193">
        <f>-'24_Revenue'!H44</f>
        <v>0</v>
      </c>
      <c r="I18" s="193">
        <f>-'24_Revenue'!I44</f>
        <v>-1972222.56</v>
      </c>
      <c r="J18" s="193">
        <f>-'24_Revenue'!J44</f>
        <v>-1446296.544</v>
      </c>
      <c r="K18" s="193">
        <f>-'24_Revenue'!K44</f>
        <v>0</v>
      </c>
      <c r="L18" s="193">
        <f>-'24_Revenue'!L44</f>
        <v>0</v>
      </c>
      <c r="M18" s="193">
        <f>-'24_Revenue'!M44</f>
        <v>0</v>
      </c>
      <c r="N18" s="193">
        <f>-'24_Revenue'!N44</f>
        <v>0</v>
      </c>
      <c r="O18" s="193">
        <f>-'24_Revenue'!O44</f>
        <v>0</v>
      </c>
      <c r="P18" s="193">
        <f>-'24_Revenue'!P44</f>
        <v>0</v>
      </c>
      <c r="Q18" s="193">
        <f>-'24_Revenue'!Q44</f>
        <v>0</v>
      </c>
      <c r="R18" s="193">
        <f>-'24_Revenue'!R44</f>
        <v>0</v>
      </c>
    </row>
    <row r="19">
      <c r="B19" s="97" t="inlineStr">
        <is>
          <t>Gross profit</t>
        </is>
      </c>
      <c r="C19" s="180" t="str">
        <f>UNIT_LBL</f>
        <v>ETB '000</v>
      </c>
      <c r="D19" s="191">
        <f>SUM(E19:R19)</f>
        <v>544461715.76726</v>
      </c>
      <c r="E19" s="192">
        <f>E16+E17+E18</f>
        <v>0</v>
      </c>
      <c r="F19" s="192">
        <f>F16+F17+F18</f>
        <v>0</v>
      </c>
      <c r="G19" s="192">
        <f>G16+G17+G18</f>
        <v>30821163.409763</v>
      </c>
      <c r="H19" s="192">
        <f>H16+H17+H18</f>
        <v>0</v>
      </c>
      <c r="I19" s="192">
        <f>I16+I17+I18</f>
        <v>45602567.0094112</v>
      </c>
      <c r="J19" s="192">
        <f>J16+J17+J18</f>
        <v>54005618.2520444</v>
      </c>
      <c r="K19" s="192">
        <f>K16+K17+K18</f>
        <v>40255383.8738169</v>
      </c>
      <c r="L19" s="192">
        <f>L16+L17+L18</f>
        <v>43336031.6633044</v>
      </c>
      <c r="M19" s="192">
        <f>M16+M17+M18</f>
        <v>46664583.2759509</v>
      </c>
      <c r="N19" s="192">
        <f>N16+N17+N18</f>
        <v>48332229.7123858</v>
      </c>
      <c r="O19" s="192">
        <f>O16+O17+O18</f>
        <v>52218134.2093767</v>
      </c>
      <c r="P19" s="192">
        <f>P16+P17+P18</f>
        <v>56416843.6781268</v>
      </c>
      <c r="Q19" s="192">
        <f>Q16+Q17+Q18</f>
        <v>60953575.777577</v>
      </c>
      <c r="R19" s="192">
        <f>R16+R17+R18</f>
        <v>65855584.9055032</v>
      </c>
    </row>
    <row r="20" ht="20" customHeight="1">
      <c r="B20" s="113" t="inlineStr">
        <is>
          <t>Operating expenses</t>
        </is>
      </c>
      <c r="C20" s="37" t="inlineStr">
        <is>
          <t>የሥራ ማስኬጃ ወጪ</t>
        </is>
      </c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</row>
    <row r="21">
      <c r="B21" s="36" t="inlineStr">
        <is>
          <t>Property operating costs</t>
        </is>
      </c>
      <c r="C21" s="117" t="str">
        <f>UNIT_LBL</f>
        <v>ETB '000</v>
      </c>
      <c r="D21" s="189">
        <f>SUM(E21:R21)</f>
        <v>-62097462.2081685</v>
      </c>
      <c r="E21" s="193">
        <f>-'25_Opex'!E12</f>
        <v>0</v>
      </c>
      <c r="F21" s="193">
        <f>-'25_Opex'!F12</f>
        <v>0</v>
      </c>
      <c r="G21" s="193">
        <f>-'25_Opex'!G12</f>
        <v>0</v>
      </c>
      <c r="H21" s="193">
        <f>-'25_Opex'!H12</f>
        <v>0</v>
      </c>
      <c r="I21" s="193">
        <f>-'25_Opex'!I12</f>
        <v>-2893179.75783498</v>
      </c>
      <c r="J21" s="193">
        <f>-'25_Opex'!J12</f>
        <v>-4166178.85128237</v>
      </c>
      <c r="K21" s="193">
        <f>-'25_Opex'!K12</f>
        <v>-5174394.1332927</v>
      </c>
      <c r="L21" s="193">
        <f>-'25_Opex'!L12</f>
        <v>-5588345.66395612</v>
      </c>
      <c r="M21" s="193">
        <f>-'25_Opex'!M12</f>
        <v>-6035413.31707261</v>
      </c>
      <c r="N21" s="193">
        <f>-'25_Opex'!N12</f>
        <v>-6518246.38243842</v>
      </c>
      <c r="O21" s="193">
        <f>-'25_Opex'!O12</f>
        <v>-7039706.09303349</v>
      </c>
      <c r="P21" s="193">
        <f>-'25_Opex'!P12</f>
        <v>-7602882.58047617</v>
      </c>
      <c r="Q21" s="193">
        <f>-'25_Opex'!Q12</f>
        <v>-8211113.18691426</v>
      </c>
      <c r="R21" s="193">
        <f>-'25_Opex'!R12</f>
        <v>-8868002.2418674</v>
      </c>
    </row>
    <row r="22">
      <c r="B22" s="36" t="inlineStr">
        <is>
          <t>Management fee</t>
        </is>
      </c>
      <c r="C22" s="117" t="str">
        <f>UNIT_LBL</f>
        <v>ETB '000</v>
      </c>
      <c r="D22" s="189">
        <f>SUM(E22:R22)</f>
        <v>-12419492.4416337</v>
      </c>
      <c r="E22" s="193">
        <f>-'25_Opex'!E13</f>
        <v>0</v>
      </c>
      <c r="F22" s="193">
        <f>-'25_Opex'!F13</f>
        <v>0</v>
      </c>
      <c r="G22" s="193">
        <f>-'25_Opex'!G13</f>
        <v>0</v>
      </c>
      <c r="H22" s="193">
        <f>-'25_Opex'!H13</f>
        <v>0</v>
      </c>
      <c r="I22" s="193">
        <f>-'25_Opex'!I13</f>
        <v>-578635.951566995</v>
      </c>
      <c r="J22" s="193">
        <f>-'25_Opex'!J13</f>
        <v>-833235.770256473</v>
      </c>
      <c r="K22" s="193">
        <f>-'25_Opex'!K13</f>
        <v>-1034878.82665854</v>
      </c>
      <c r="L22" s="193">
        <f>-'25_Opex'!L13</f>
        <v>-1117669.13279122</v>
      </c>
      <c r="M22" s="193">
        <f>-'25_Opex'!M13</f>
        <v>-1207082.66341452</v>
      </c>
      <c r="N22" s="193">
        <f>-'25_Opex'!N13</f>
        <v>-1303649.27648768</v>
      </c>
      <c r="O22" s="193">
        <f>-'25_Opex'!O13</f>
        <v>-1407941.2186067</v>
      </c>
      <c r="P22" s="193">
        <f>-'25_Opex'!P13</f>
        <v>-1520576.51609523</v>
      </c>
      <c r="Q22" s="193">
        <f>-'25_Opex'!Q13</f>
        <v>-1642222.63738285</v>
      </c>
      <c r="R22" s="193">
        <f>-'25_Opex'!R13</f>
        <v>-1773600.44837348</v>
      </c>
    </row>
    <row r="23">
      <c r="B23" s="36" t="inlineStr">
        <is>
          <t>Insurance</t>
        </is>
      </c>
      <c r="C23" s="117" t="str">
        <f>UNIT_LBL</f>
        <v>ETB '000</v>
      </c>
      <c r="D23" s="189">
        <f>SUM(E23:R23)</f>
        <v>-2397514.5136235</v>
      </c>
      <c r="E23" s="193">
        <f>-'25_Opex'!E14</f>
        <v>0</v>
      </c>
      <c r="F23" s="193">
        <f>-'25_Opex'!F14</f>
        <v>0</v>
      </c>
      <c r="G23" s="193">
        <f>-'25_Opex'!G14</f>
        <v>0</v>
      </c>
      <c r="H23" s="193">
        <f>-'25_Opex'!H14</f>
        <v>0</v>
      </c>
      <c r="I23" s="193">
        <f>-'25_Opex'!I14</f>
        <v>-150432.994893859</v>
      </c>
      <c r="J23" s="193">
        <f>-'25_Opex'!J14</f>
        <v>-165476.294383245</v>
      </c>
      <c r="K23" s="193">
        <f>-'25_Opex'!K14</f>
        <v>-182023.92382157</v>
      </c>
      <c r="L23" s="193">
        <f>-'25_Opex'!L14</f>
        <v>-200226.316203727</v>
      </c>
      <c r="M23" s="193">
        <f>-'25_Opex'!M14</f>
        <v>-220248.9478241</v>
      </c>
      <c r="N23" s="193">
        <f>-'25_Opex'!N14</f>
        <v>-242273.84260651</v>
      </c>
      <c r="O23" s="193">
        <f>-'25_Opex'!O14</f>
        <v>-266501.226867161</v>
      </c>
      <c r="P23" s="193">
        <f>-'25_Opex'!P14</f>
        <v>-293151.349553877</v>
      </c>
      <c r="Q23" s="193">
        <f>-'25_Opex'!Q14</f>
        <v>-322466.484509264</v>
      </c>
      <c r="R23" s="193">
        <f>-'25_Opex'!R14</f>
        <v>-354713.132960191</v>
      </c>
    </row>
    <row r="24">
      <c r="B24" s="36" t="inlineStr">
        <is>
          <t>Property tax</t>
        </is>
      </c>
      <c r="C24" s="117" t="str">
        <f>UNIT_LBL</f>
        <v>ETB '000</v>
      </c>
      <c r="D24" s="189">
        <f>SUM(E24:R24)</f>
        <v>-2349156.26196485</v>
      </c>
      <c r="E24" s="193">
        <f>-'25_Opex'!E15</f>
        <v>0</v>
      </c>
      <c r="F24" s="193">
        <f>-'25_Opex'!F15</f>
        <v>0</v>
      </c>
      <c r="G24" s="193">
        <f>-'25_Opex'!G15</f>
        <v>0</v>
      </c>
      <c r="H24" s="193">
        <f>-'25_Opex'!H15</f>
        <v>0</v>
      </c>
      <c r="I24" s="193">
        <f>-'25_Opex'!I15</f>
        <v>-147398.73729771</v>
      </c>
      <c r="J24" s="193">
        <f>-'25_Opex'!J15</f>
        <v>-162138.611027481</v>
      </c>
      <c r="K24" s="193">
        <f>-'25_Opex'!K15</f>
        <v>-178352.472130229</v>
      </c>
      <c r="L24" s="193">
        <f>-'25_Opex'!L15</f>
        <v>-196187.719343252</v>
      </c>
      <c r="M24" s="193">
        <f>-'25_Opex'!M15</f>
        <v>-215806.491277577</v>
      </c>
      <c r="N24" s="193">
        <f>-'25_Opex'!N15</f>
        <v>-237387.140405334</v>
      </c>
      <c r="O24" s="193">
        <f>-'25_Opex'!O15</f>
        <v>-261125.854445868</v>
      </c>
      <c r="P24" s="193">
        <f>-'25_Opex'!P15</f>
        <v>-287238.439890455</v>
      </c>
      <c r="Q24" s="193">
        <f>-'25_Opex'!Q15</f>
        <v>-315962.2838795</v>
      </c>
      <c r="R24" s="193">
        <f>-'25_Opex'!R15</f>
        <v>-347558.51226745</v>
      </c>
    </row>
    <row r="25">
      <c r="B25" s="36" t="inlineStr">
        <is>
          <t>Maintenance</t>
        </is>
      </c>
      <c r="C25" s="117" t="str">
        <f>UNIT_LBL</f>
        <v>ETB '000</v>
      </c>
      <c r="D25" s="189">
        <f>SUM(E25:R25)</f>
        <v>-7991715.04541168</v>
      </c>
      <c r="E25" s="193">
        <f>-'25_Opex'!E16</f>
        <v>0</v>
      </c>
      <c r="F25" s="193">
        <f>-'25_Opex'!F16</f>
        <v>0</v>
      </c>
      <c r="G25" s="193">
        <f>-'25_Opex'!G16</f>
        <v>0</v>
      </c>
      <c r="H25" s="193">
        <f>-'25_Opex'!H16</f>
        <v>0</v>
      </c>
      <c r="I25" s="193">
        <f>-'25_Opex'!I16</f>
        <v>-501443.316312865</v>
      </c>
      <c r="J25" s="193">
        <f>-'25_Opex'!J16</f>
        <v>-551587.647944151</v>
      </c>
      <c r="K25" s="193">
        <f>-'25_Opex'!K16</f>
        <v>-606746.412738566</v>
      </c>
      <c r="L25" s="193">
        <f>-'25_Opex'!L16</f>
        <v>-667421.054012423</v>
      </c>
      <c r="M25" s="193">
        <f>-'25_Opex'!M16</f>
        <v>-734163.159413665</v>
      </c>
      <c r="N25" s="193">
        <f>-'25_Opex'!N16</f>
        <v>-807579.475355032</v>
      </c>
      <c r="O25" s="193">
        <f>-'25_Opex'!O16</f>
        <v>-888337.422890535</v>
      </c>
      <c r="P25" s="193">
        <f>-'25_Opex'!P16</f>
        <v>-977171.165179589</v>
      </c>
      <c r="Q25" s="193">
        <f>-'25_Opex'!Q16</f>
        <v>-1074888.28169755</v>
      </c>
      <c r="R25" s="193">
        <f>-'25_Opex'!R16</f>
        <v>-1182377.1098673</v>
      </c>
    </row>
    <row r="26">
      <c r="B26" s="36" t="inlineStr">
        <is>
          <t>Marketing</t>
        </is>
      </c>
      <c r="C26" s="117" t="str">
        <f>UNIT_LBL</f>
        <v>ETB '000</v>
      </c>
      <c r="D26" s="189">
        <f>SUM(E26:R26)</f>
        <v>-4983638.11796824</v>
      </c>
      <c r="E26" s="193">
        <f>-'25_Opex'!E17</f>
        <v>-1075351.01450162</v>
      </c>
      <c r="F26" s="193">
        <f>-'25_Opex'!F17</f>
        <v>-1182886.11595178</v>
      </c>
      <c r="G26" s="193">
        <f>-'25_Opex'!G17</f>
        <v>-1016141.43551484</v>
      </c>
      <c r="H26" s="193">
        <f>-'25_Opex'!H17</f>
        <v>0</v>
      </c>
      <c r="I26" s="193">
        <f>-'25_Opex'!I17</f>
        <v>-986111.280000001</v>
      </c>
      <c r="J26" s="193">
        <f>-'25_Opex'!J17</f>
        <v>-723148.272</v>
      </c>
      <c r="K26" s="193">
        <f>-'25_Opex'!K17</f>
        <v>0</v>
      </c>
      <c r="L26" s="193">
        <f>-'25_Opex'!L17</f>
        <v>0</v>
      </c>
      <c r="M26" s="193">
        <f>-'25_Opex'!M17</f>
        <v>0</v>
      </c>
      <c r="N26" s="193">
        <f>-'25_Opex'!N17</f>
        <v>0</v>
      </c>
      <c r="O26" s="193">
        <f>-'25_Opex'!O17</f>
        <v>0</v>
      </c>
      <c r="P26" s="193">
        <f>-'25_Opex'!P17</f>
        <v>0</v>
      </c>
      <c r="Q26" s="193">
        <f>-'25_Opex'!Q17</f>
        <v>0</v>
      </c>
      <c r="R26" s="193">
        <f>-'25_Opex'!R17</f>
        <v>0</v>
      </c>
    </row>
    <row r="27">
      <c r="B27" s="36" t="inlineStr">
        <is>
          <t>Owner overheads</t>
        </is>
      </c>
      <c r="C27" s="117" t="str">
        <f>UNIT_LBL</f>
        <v>ETB '000</v>
      </c>
      <c r="D27" s="189">
        <f>SUM(E27:R27)</f>
        <v>-24270632.9348087</v>
      </c>
      <c r="E27" s="193">
        <f>-'25_Opex'!E18</f>
        <v>0</v>
      </c>
      <c r="F27" s="193">
        <f>-'25_Opex'!F18</f>
        <v>0</v>
      </c>
      <c r="G27" s="193">
        <f>-'25_Opex'!G18</f>
        <v>0</v>
      </c>
      <c r="H27" s="193">
        <f>-'25_Opex'!H18</f>
        <v>0</v>
      </c>
      <c r="I27" s="193">
        <f>-'25_Opex'!I18</f>
        <v>-1522870.44754306</v>
      </c>
      <c r="J27" s="193">
        <f>-'25_Opex'!J18</f>
        <v>-1675157.49229737</v>
      </c>
      <c r="K27" s="193">
        <f>-'25_Opex'!K18</f>
        <v>-1842673.2415271</v>
      </c>
      <c r="L27" s="193">
        <f>-'25_Opex'!L18</f>
        <v>-2026940.56567981</v>
      </c>
      <c r="M27" s="193">
        <f>-'25_Opex'!M18</f>
        <v>-2229634.6222478</v>
      </c>
      <c r="N27" s="193">
        <f>-'25_Opex'!N18</f>
        <v>-2452598.08447258</v>
      </c>
      <c r="O27" s="193">
        <f>-'25_Opex'!O18</f>
        <v>-2697857.89291983</v>
      </c>
      <c r="P27" s="193">
        <f>-'25_Opex'!P18</f>
        <v>-2967643.68221182</v>
      </c>
      <c r="Q27" s="193">
        <f>-'25_Opex'!Q18</f>
        <v>-3264408.050433</v>
      </c>
      <c r="R27" s="193">
        <f>-'25_Opex'!R18</f>
        <v>-3590848.8554763</v>
      </c>
    </row>
    <row r="28">
      <c r="B28" s="36" t="inlineStr">
        <is>
          <t>Bad debts</t>
        </is>
      </c>
      <c r="C28" s="117" t="str">
        <f>UNIT_LBL</f>
        <v>ETB '000</v>
      </c>
      <c r="D28" s="189">
        <f>SUM(E28:R28)</f>
        <v>-8279661.6277558</v>
      </c>
      <c r="E28" s="193">
        <f>-'25_Opex'!E19</f>
        <v>0</v>
      </c>
      <c r="F28" s="193">
        <f>-'25_Opex'!F19</f>
        <v>0</v>
      </c>
      <c r="G28" s="193">
        <f>-'25_Opex'!G19</f>
        <v>0</v>
      </c>
      <c r="H28" s="193">
        <f>-'25_Opex'!H19</f>
        <v>0</v>
      </c>
      <c r="I28" s="193">
        <f>-'25_Opex'!I19</f>
        <v>-385757.301044664</v>
      </c>
      <c r="J28" s="193">
        <f>-'25_Opex'!J19</f>
        <v>-555490.513504316</v>
      </c>
      <c r="K28" s="193">
        <f>-'25_Opex'!K19</f>
        <v>-689919.21777236</v>
      </c>
      <c r="L28" s="193">
        <f>-'25_Opex'!L19</f>
        <v>-745112.755194149</v>
      </c>
      <c r="M28" s="193">
        <f>-'25_Opex'!M19</f>
        <v>-804721.775609681</v>
      </c>
      <c r="N28" s="193">
        <f>-'25_Opex'!N19</f>
        <v>-869099.517658455</v>
      </c>
      <c r="O28" s="193">
        <f>-'25_Opex'!O19</f>
        <v>-938627.479071132</v>
      </c>
      <c r="P28" s="193">
        <f>-'25_Opex'!P19</f>
        <v>-1013717.67739682</v>
      </c>
      <c r="Q28" s="193">
        <f>-'25_Opex'!Q19</f>
        <v>-1094815.09158857</v>
      </c>
      <c r="R28" s="193">
        <f>-'25_Opex'!R19</f>
        <v>-1182400.29891565</v>
      </c>
    </row>
    <row r="29">
      <c r="B29" s="97" t="inlineStr">
        <is>
          <t>Total operating expenses</t>
        </is>
      </c>
      <c r="C29" s="180" t="str">
        <f>UNIT_LBL</f>
        <v>ETB '000</v>
      </c>
      <c r="D29" s="191">
        <f>SUM(E29:R29)</f>
        <v>-124789273.151335</v>
      </c>
      <c r="E29" s="192">
        <f>E21+E22+E23+E24+E25+E26+E27+E28</f>
        <v>-1075351.01450162</v>
      </c>
      <c r="F29" s="192">
        <f>F21+F22+F23+F24+F25+F26+F27+F28</f>
        <v>-1182886.11595178</v>
      </c>
      <c r="G29" s="192">
        <f>G21+G22+G23+G24+G25+G26+G27+G28</f>
        <v>-1016141.43551484</v>
      </c>
      <c r="H29" s="192">
        <f>H21+H22+H23+H24+H25+H26+H27+H28</f>
        <v>0</v>
      </c>
      <c r="I29" s="192">
        <f>I21+I22+I23+I24+I25+I26+I27+I28</f>
        <v>-7165829.78649413</v>
      </c>
      <c r="J29" s="192">
        <f>J21+J22+J23+J24+J25+J26+J27+J28</f>
        <v>-8832413.4526954</v>
      </c>
      <c r="K29" s="192">
        <f>K21+K22+K23+K24+K25+K26+K27+K28</f>
        <v>-9708988.22794107</v>
      </c>
      <c r="L29" s="192">
        <f>L21+L22+L23+L24+L25+L26+L27+L28</f>
        <v>-10541903.2071807</v>
      </c>
      <c r="M29" s="192">
        <f>M21+M22+M23+M24+M25+M26+M27+M28</f>
        <v>-11447070.9768599</v>
      </c>
      <c r="N29" s="192">
        <f>N21+N22+N23+N24+N25+N26+N27+N28</f>
        <v>-12430833.719424</v>
      </c>
      <c r="O29" s="192">
        <f>O21+O22+O23+O24+O25+O26+O27+O28</f>
        <v>-13500097.1878347</v>
      </c>
      <c r="P29" s="192">
        <f>P21+P22+P23+P24+P25+P26+P27+P28</f>
        <v>-14662381.410804</v>
      </c>
      <c r="Q29" s="192">
        <f>Q21+Q22+Q23+Q24+Q25+Q26+Q27+Q28</f>
        <v>-15925876.016405</v>
      </c>
      <c r="R29" s="192">
        <f>R21+R22+R23+R24+R25+R26+R27+R28</f>
        <v>-17299500.5997278</v>
      </c>
    </row>
    <row r="30">
      <c r="B30" s="141" t="inlineStr">
        <is>
          <t>EBITDA</t>
        </is>
      </c>
      <c r="C30" s="117" t="str">
        <f>UNIT_LBL</f>
        <v>ETB '000</v>
      </c>
      <c r="D30" s="189">
        <f>SUM(E30:R30)</f>
        <v>419672442.615925</v>
      </c>
      <c r="E30" s="194">
        <f>E19+E29</f>
        <v>-1075351.01450162</v>
      </c>
      <c r="F30" s="194">
        <f>F19+F29</f>
        <v>-1182886.11595178</v>
      </c>
      <c r="G30" s="194">
        <f>G19+G29</f>
        <v>29805021.9742482</v>
      </c>
      <c r="H30" s="194">
        <f>H19+H29</f>
        <v>0</v>
      </c>
      <c r="I30" s="194">
        <f>I19+I29</f>
        <v>38436737.2229171</v>
      </c>
      <c r="J30" s="194">
        <f>J19+J29</f>
        <v>45173204.799349</v>
      </c>
      <c r="K30" s="194">
        <f>K19+K29</f>
        <v>30546395.6458759</v>
      </c>
      <c r="L30" s="194">
        <f>L19+L29</f>
        <v>32794128.4561237</v>
      </c>
      <c r="M30" s="194">
        <f>M19+M29</f>
        <v>35217512.299091</v>
      </c>
      <c r="N30" s="194">
        <f>N19+N29</f>
        <v>35901395.9929618</v>
      </c>
      <c r="O30" s="194">
        <f>O19+O29</f>
        <v>38718037.021542</v>
      </c>
      <c r="P30" s="194">
        <f>P19+P29</f>
        <v>41754462.2673229</v>
      </c>
      <c r="Q30" s="194">
        <f>Q19+Q29</f>
        <v>45027699.761172</v>
      </c>
      <c r="R30" s="194">
        <f>R19+R29</f>
        <v>48556084.3057754</v>
      </c>
    </row>
    <row r="31">
      <c r="B31" s="36" t="inlineStr">
        <is>
          <t>Depreciation – investment property</t>
        </is>
      </c>
      <c r="C31" s="117" t="str">
        <f>UNIT_LBL</f>
        <v>ETB '000</v>
      </c>
      <c r="D31" s="189">
        <f>SUM(E31:R31)</f>
        <v>-29031065.5816768</v>
      </c>
      <c r="E31" s="193">
        <f>-'26_Assets'!E26</f>
        <v>0</v>
      </c>
      <c r="F31" s="193">
        <f>-'26_Assets'!F26</f>
        <v>0</v>
      </c>
      <c r="G31" s="193">
        <f>-'26_Assets'!G26</f>
        <v>0</v>
      </c>
      <c r="H31" s="193">
        <f>-'26_Assets'!H26</f>
        <v>0</v>
      </c>
      <c r="I31" s="193">
        <f>-'26_Assets'!I26</f>
        <v>-2966744.37611681</v>
      </c>
      <c r="J31" s="193">
        <f>-'26_Assets'!J26</f>
        <v>-2966744.37611681</v>
      </c>
      <c r="K31" s="193">
        <f>-'26_Assets'!K26</f>
        <v>-2966744.37611681</v>
      </c>
      <c r="L31" s="193">
        <f>-'26_Assets'!L26</f>
        <v>-2966744.37611681</v>
      </c>
      <c r="M31" s="193">
        <f>-'26_Assets'!M26</f>
        <v>-2966744.37611681</v>
      </c>
      <c r="N31" s="193">
        <f>-'26_Assets'!N26</f>
        <v>-2966744.37611681</v>
      </c>
      <c r="O31" s="193">
        <f>-'26_Assets'!O26</f>
        <v>-2966744.37611681</v>
      </c>
      <c r="P31" s="193">
        <f>-'26_Assets'!P26</f>
        <v>-2754618.31628638</v>
      </c>
      <c r="Q31" s="193">
        <f>-'26_Assets'!Q26</f>
        <v>-2754618.31628638</v>
      </c>
      <c r="R31" s="193">
        <f>-'26_Assets'!R26</f>
        <v>-2754618.31628638</v>
      </c>
    </row>
    <row r="32">
      <c r="B32" s="36" t="inlineStr">
        <is>
          <t>Depreciation – owner-occupied PPE</t>
        </is>
      </c>
      <c r="C32" s="117" t="str">
        <f>UNIT_LBL</f>
        <v>ETB '000</v>
      </c>
      <c r="D32" s="189">
        <f>SUM(E32:R32)</f>
        <v>0</v>
      </c>
      <c r="E32" s="193">
        <f>-'26_Assets'!E27</f>
        <v>0</v>
      </c>
      <c r="F32" s="193">
        <f>-'26_Assets'!F27</f>
        <v>0</v>
      </c>
      <c r="G32" s="193">
        <f>-'26_Assets'!G27</f>
        <v>0</v>
      </c>
      <c r="H32" s="193">
        <f>-'26_Assets'!H27</f>
        <v>0</v>
      </c>
      <c r="I32" s="193">
        <f>-'26_Assets'!I27</f>
        <v>0</v>
      </c>
      <c r="J32" s="193">
        <f>-'26_Assets'!J27</f>
        <v>0</v>
      </c>
      <c r="K32" s="193">
        <f>-'26_Assets'!K27</f>
        <v>0</v>
      </c>
      <c r="L32" s="193">
        <f>-'26_Assets'!L27</f>
        <v>0</v>
      </c>
      <c r="M32" s="193">
        <f>-'26_Assets'!M27</f>
        <v>0</v>
      </c>
      <c r="N32" s="193">
        <f>-'26_Assets'!N27</f>
        <v>0</v>
      </c>
      <c r="O32" s="193">
        <f>-'26_Assets'!O27</f>
        <v>0</v>
      </c>
      <c r="P32" s="193">
        <f>-'26_Assets'!P27</f>
        <v>0</v>
      </c>
      <c r="Q32" s="193">
        <f>-'26_Assets'!Q27</f>
        <v>0</v>
      </c>
      <c r="R32" s="193">
        <f>-'26_Assets'!R27</f>
        <v>0</v>
      </c>
    </row>
    <row r="33">
      <c r="B33" s="97" t="inlineStr">
        <is>
          <t>Operating profit (EBIT)</t>
        </is>
      </c>
      <c r="C33" s="180" t="str">
        <f>UNIT_LBL</f>
        <v>ETB '000</v>
      </c>
      <c r="D33" s="191">
        <f>SUM(E33:R33)</f>
        <v>390641377.034249</v>
      </c>
      <c r="E33" s="192">
        <f>E30+E31+E32</f>
        <v>-1075351.01450162</v>
      </c>
      <c r="F33" s="192">
        <f>F30+F31+F32</f>
        <v>-1182886.11595178</v>
      </c>
      <c r="G33" s="192">
        <f>G30+G31+G32</f>
        <v>29805021.9742482</v>
      </c>
      <c r="H33" s="192">
        <f>H30+H31+H32</f>
        <v>0</v>
      </c>
      <c r="I33" s="192">
        <f>I30+I31+I32</f>
        <v>35469992.8468003</v>
      </c>
      <c r="J33" s="192">
        <f>J30+J31+J32</f>
        <v>42206460.4232321</v>
      </c>
      <c r="K33" s="192">
        <f>K30+K31+K32</f>
        <v>27579651.2697591</v>
      </c>
      <c r="L33" s="192">
        <f>L30+L31+L32</f>
        <v>29827384.0800069</v>
      </c>
      <c r="M33" s="192">
        <f>M30+M31+M32</f>
        <v>32250767.9229742</v>
      </c>
      <c r="N33" s="192">
        <f>N30+N31+N32</f>
        <v>32934651.616845</v>
      </c>
      <c r="O33" s="192">
        <f>O30+O31+O32</f>
        <v>35751292.6454252</v>
      </c>
      <c r="P33" s="192">
        <f>P30+P31+P32</f>
        <v>38999843.9510365</v>
      </c>
      <c r="Q33" s="192">
        <f>Q30+Q31+Q32</f>
        <v>42273081.4448856</v>
      </c>
      <c r="R33" s="192">
        <f>R30+R31+R32</f>
        <v>45801465.989489</v>
      </c>
    </row>
    <row r="34">
      <c r="B34" s="36" t="inlineStr">
        <is>
          <t>Finance cost – bank loan (post-completion)</t>
        </is>
      </c>
      <c r="C34" s="117" t="str">
        <f>UNIT_LBL</f>
        <v>ETB '000</v>
      </c>
      <c r="D34" s="189">
        <f>SUM(E34:R34)</f>
        <v>-38971347.1605663</v>
      </c>
      <c r="E34" s="193">
        <f>-'27_Loan'!E16</f>
        <v>0</v>
      </c>
      <c r="F34" s="193">
        <f>-'27_Loan'!F16</f>
        <v>0</v>
      </c>
      <c r="G34" s="193">
        <f>-'27_Loan'!G16</f>
        <v>0</v>
      </c>
      <c r="H34" s="193">
        <f>-'27_Loan'!H16</f>
        <v>0</v>
      </c>
      <c r="I34" s="193">
        <f>-'27_Loan'!I16</f>
        <v>-14569759.4817826</v>
      </c>
      <c r="J34" s="193">
        <f>-'27_Loan'!J16</f>
        <v>-7991598.89332806</v>
      </c>
      <c r="K34" s="193">
        <f>-'27_Loan'!K16</f>
        <v>-3268392.53225351</v>
      </c>
      <c r="L34" s="193">
        <f>-'27_Loan'!L16</f>
        <v>-3018006.12904212</v>
      </c>
      <c r="M34" s="193">
        <f>-'27_Loan'!M16</f>
        <v>-2727895.81904109</v>
      </c>
      <c r="N34" s="193">
        <f>-'27_Loan'!N16</f>
        <v>-2391759.3879513</v>
      </c>
      <c r="O34" s="193">
        <f>-'27_Loan'!O16</f>
        <v>-2002294.77255936</v>
      </c>
      <c r="P34" s="193">
        <f>-'27_Loan'!P16</f>
        <v>-1551041.43429246</v>
      </c>
      <c r="Q34" s="193">
        <f>-'27_Loan'!Q16</f>
        <v>-1028196.56662176</v>
      </c>
      <c r="R34" s="193">
        <f>-'27_Loan'!R16</f>
        <v>-422402.14369405</v>
      </c>
    </row>
    <row r="35">
      <c r="B35" s="36" t="inlineStr">
        <is>
          <t>Finance cost – land lease</t>
        </is>
      </c>
      <c r="C35" s="117" t="str">
        <f>UNIT_LBL</f>
        <v>ETB '000</v>
      </c>
      <c r="D35" s="189">
        <f>SUM(E35:R35)</f>
        <v>-92610000</v>
      </c>
      <c r="E35" s="193">
        <f>-'27_Loan'!E23</f>
        <v>0</v>
      </c>
      <c r="F35" s="193">
        <f>-'27_Loan'!F23</f>
        <v>-9450000</v>
      </c>
      <c r="G35" s="193">
        <f>-'27_Loan'!G23</f>
        <v>-9135000</v>
      </c>
      <c r="H35" s="193">
        <f>-'27_Loan'!H23</f>
        <v>0</v>
      </c>
      <c r="I35" s="193">
        <f>-'27_Loan'!I23</f>
        <v>-8820000</v>
      </c>
      <c r="J35" s="193">
        <f>-'27_Loan'!J23</f>
        <v>-8505000</v>
      </c>
      <c r="K35" s="193">
        <f>-'27_Loan'!K23</f>
        <v>-8190000</v>
      </c>
      <c r="L35" s="193">
        <f>-'27_Loan'!L23</f>
        <v>-7875000</v>
      </c>
      <c r="M35" s="193">
        <f>-'27_Loan'!M23</f>
        <v>-7560000</v>
      </c>
      <c r="N35" s="193">
        <f>-'27_Loan'!N23</f>
        <v>-7245000</v>
      </c>
      <c r="O35" s="193">
        <f>-'27_Loan'!O23</f>
        <v>-6930000</v>
      </c>
      <c r="P35" s="193">
        <f>-'27_Loan'!P23</f>
        <v>-6615000</v>
      </c>
      <c r="Q35" s="193">
        <f>-'27_Loan'!Q23</f>
        <v>-6300000</v>
      </c>
      <c r="R35" s="193">
        <f>-'27_Loan'!R23</f>
        <v>-5985000</v>
      </c>
    </row>
    <row r="36">
      <c r="B36" s="97" t="inlineStr">
        <is>
          <t>Profit before tax</t>
        </is>
      </c>
      <c r="C36" s="180" t="str">
        <f>UNIT_LBL</f>
        <v>ETB '000</v>
      </c>
      <c r="D36" s="191">
        <f>SUM(E36:R36)</f>
        <v>259060029.873682</v>
      </c>
      <c r="E36" s="192">
        <f>E33+E34+E35</f>
        <v>-1075351.01450162</v>
      </c>
      <c r="F36" s="192">
        <f>F33+F34+F35</f>
        <v>-10632886.1159518</v>
      </c>
      <c r="G36" s="192">
        <f>G33+G34+G35</f>
        <v>20670021.9742482</v>
      </c>
      <c r="H36" s="192">
        <f>H33+H34+H35</f>
        <v>0</v>
      </c>
      <c r="I36" s="192">
        <f>I33+I34+I35</f>
        <v>12080233.3650177</v>
      </c>
      <c r="J36" s="192">
        <f>J33+J34+J35</f>
        <v>25709861.5299041</v>
      </c>
      <c r="K36" s="192">
        <f>K33+K34+K35</f>
        <v>16121258.7375055</v>
      </c>
      <c r="L36" s="192">
        <f>L33+L34+L35</f>
        <v>18934377.9509648</v>
      </c>
      <c r="M36" s="192">
        <f>M33+M34+M35</f>
        <v>21962872.1039331</v>
      </c>
      <c r="N36" s="192">
        <f>N33+N34+N35</f>
        <v>23297892.2288937</v>
      </c>
      <c r="O36" s="192">
        <f>O33+O34+O35</f>
        <v>26818997.8728658</v>
      </c>
      <c r="P36" s="192">
        <f>P33+P34+P35</f>
        <v>30833802.516744</v>
      </c>
      <c r="Q36" s="192">
        <f>Q33+Q34+Q35</f>
        <v>34944884.8782638</v>
      </c>
      <c r="R36" s="192">
        <f>R33+R34+R35</f>
        <v>39394063.8457949</v>
      </c>
    </row>
    <row r="37">
      <c r="B37" s="36" t="inlineStr">
        <is>
          <t>Current income tax</t>
        </is>
      </c>
      <c r="C37" s="117" t="str">
        <f>UNIT_LBL</f>
        <v>ETB '000</v>
      </c>
      <c r="D37" s="189">
        <f>SUM(E37:R37)</f>
        <v>-68233353.7055139</v>
      </c>
      <c r="E37" s="193">
        <f>-'28_Tax'!E56</f>
        <v>0</v>
      </c>
      <c r="F37" s="193">
        <f>-'28_Tax'!F56</f>
        <v>0</v>
      </c>
      <c r="G37" s="193">
        <f>-'28_Tax'!G56</f>
        <v>-2688535.45313844</v>
      </c>
      <c r="H37" s="193">
        <f>-'28_Tax'!H56</f>
        <v>0</v>
      </c>
      <c r="I37" s="193">
        <f>-'28_Tax'!I56</f>
        <v>-1758133.74248647</v>
      </c>
      <c r="J37" s="193">
        <f>-'28_Tax'!J56</f>
        <v>-6185322.32631697</v>
      </c>
      <c r="K37" s="193">
        <f>-'28_Tax'!K56</f>
        <v>-3579381.59608909</v>
      </c>
      <c r="L37" s="193">
        <f>-'28_Tax'!L56</f>
        <v>-4639829.4461202</v>
      </c>
      <c r="M37" s="193">
        <f>-'28_Tax'!M56</f>
        <v>-5721587.36080536</v>
      </c>
      <c r="N37" s="193">
        <f>-'28_Tax'!N56</f>
        <v>-6260661.13332928</v>
      </c>
      <c r="O37" s="193">
        <f>-'28_Tax'!O56</f>
        <v>-7427847.01454951</v>
      </c>
      <c r="P37" s="193">
        <f>-'28_Tax'!P56</f>
        <v>-8657333.94018671</v>
      </c>
      <c r="Q37" s="193">
        <f>-'28_Tax'!Q56</f>
        <v>-9961605.32898095</v>
      </c>
      <c r="R37" s="193">
        <f>-'28_Tax'!R56</f>
        <v>-11353116.3635109</v>
      </c>
    </row>
    <row r="38">
      <c r="B38" s="36" t="inlineStr">
        <is>
          <t>Deferred tax</t>
        </is>
      </c>
      <c r="C38" s="117" t="str">
        <f>UNIT_LBL</f>
        <v>ETB '000</v>
      </c>
      <c r="D38" s="189">
        <f>SUM(E38:R38)</f>
        <v>-9484655.25659078</v>
      </c>
      <c r="E38" s="193">
        <f>-'28_Tax'!E62</f>
        <v>322605.304350485</v>
      </c>
      <c r="F38" s="193">
        <f>-'28_Tax'!F62</f>
        <v>3189865.83478553</v>
      </c>
      <c r="G38" s="193">
        <f>-'28_Tax'!G62</f>
        <v>-3512471.13913602</v>
      </c>
      <c r="H38" s="193">
        <f>-'28_Tax'!H62</f>
        <v>0</v>
      </c>
      <c r="I38" s="193">
        <f>-'28_Tax'!I62</f>
        <v>-1865936.26701884</v>
      </c>
      <c r="J38" s="193">
        <f>-'28_Tax'!J62</f>
        <v>-1527636.13265425</v>
      </c>
      <c r="K38" s="193">
        <f>-'28_Tax'!K62</f>
        <v>-1256996.02516258</v>
      </c>
      <c r="L38" s="193">
        <f>-'28_Tax'!L62</f>
        <v>-1040483.93916924</v>
      </c>
      <c r="M38" s="193">
        <f>-'28_Tax'!M62</f>
        <v>-867274.270374565</v>
      </c>
      <c r="N38" s="193">
        <f>-'28_Tax'!N62</f>
        <v>-728706.535338828</v>
      </c>
      <c r="O38" s="193">
        <f>-'28_Tax'!O62</f>
        <v>-617852.347310238</v>
      </c>
      <c r="P38" s="193">
        <f>-'28_Tax'!P62</f>
        <v>-592806.814836494</v>
      </c>
      <c r="Q38" s="193">
        <f>-'28_Tax'!Q62</f>
        <v>-521860.134498198</v>
      </c>
      <c r="R38" s="193">
        <f>-'28_Tax'!R62</f>
        <v>-465102.790227558</v>
      </c>
    </row>
    <row r="39">
      <c r="B39" s="36" t="inlineStr">
        <is>
          <t>Undistributed profits tax</t>
        </is>
      </c>
      <c r="C39" s="117" t="str">
        <f>UNIT_LBL</f>
        <v>ETB '000</v>
      </c>
      <c r="D39" s="189">
        <f>SUM(E39:R39)</f>
        <v>-8594792.24619333</v>
      </c>
      <c r="E39" s="193">
        <f>-'28_Tax'!E66</f>
        <v>0</v>
      </c>
      <c r="F39" s="193">
        <f>-'28_Tax'!F66</f>
        <v>0</v>
      </c>
      <c r="G39" s="193">
        <f>-'28_Tax'!G66</f>
        <v>-656112.869349644</v>
      </c>
      <c r="H39" s="193">
        <f>-'28_Tax'!H66</f>
        <v>0</v>
      </c>
      <c r="I39" s="193">
        <f>-'28_Tax'!I66</f>
        <v>-383453.708245192</v>
      </c>
      <c r="J39" s="193">
        <f>-'28_Tax'!J66</f>
        <v>-816088.683407456</v>
      </c>
      <c r="K39" s="193">
        <f>-'28_Tax'!K66</f>
        <v>-511724.919352801</v>
      </c>
      <c r="L39" s="193">
        <f>-'28_Tax'!L66</f>
        <v>-601019.634243036</v>
      </c>
      <c r="M39" s="193">
        <f>-'28_Tax'!M66</f>
        <v>-697150.832893341</v>
      </c>
      <c r="N39" s="193">
        <f>-'28_Tax'!N66</f>
        <v>-739527.366692807</v>
      </c>
      <c r="O39" s="193">
        <f>-'28_Tax'!O66</f>
        <v>-851295.159210299</v>
      </c>
      <c r="P39" s="193">
        <f>-'28_Tax'!P66</f>
        <v>-978734.065567292</v>
      </c>
      <c r="Q39" s="193">
        <f>-'28_Tax'!Q66</f>
        <v>-1109229.0426752</v>
      </c>
      <c r="R39" s="193">
        <f>-'28_Tax'!R66</f>
        <v>-1250455.96455626</v>
      </c>
    </row>
    <row r="40">
      <c r="B40" s="183" t="inlineStr">
        <is>
          <t>PROFIT AFTER TAX</t>
        </is>
      </c>
      <c r="C40" s="184" t="str">
        <f>UNIT_LBL</f>
        <v>ETB '000</v>
      </c>
      <c r="D40" s="195">
        <f>SUM(E40:R40)</f>
        <v>172747228.665384</v>
      </c>
      <c r="E40" s="196">
        <f>E36+E37+E38+E39</f>
        <v>-752745.710151132</v>
      </c>
      <c r="F40" s="196">
        <f>F36+F37+F38+F39</f>
        <v>-7443020.28116625</v>
      </c>
      <c r="G40" s="196">
        <f>G36+G37+G38+G39</f>
        <v>13812902.5126241</v>
      </c>
      <c r="H40" s="196">
        <f>H36+H37+H38+H39</f>
        <v>0</v>
      </c>
      <c r="I40" s="196">
        <f>I36+I37+I38+I39</f>
        <v>8072709.6472672</v>
      </c>
      <c r="J40" s="196">
        <f>J36+J37+J38+J39</f>
        <v>17180814.3875254</v>
      </c>
      <c r="K40" s="196">
        <f>K36+K37+K38+K39</f>
        <v>10773156.1969011</v>
      </c>
      <c r="L40" s="196">
        <f>L36+L37+L38+L39</f>
        <v>12653044.9314323</v>
      </c>
      <c r="M40" s="196">
        <f>M36+M37+M38+M39</f>
        <v>14676859.6398598</v>
      </c>
      <c r="N40" s="196">
        <f>N36+N37+N38+N39</f>
        <v>15568997.1935328</v>
      </c>
      <c r="O40" s="196">
        <f>O36+O37+O38+O39</f>
        <v>17922003.3517958</v>
      </c>
      <c r="P40" s="196">
        <f>P36+P37+P38+P39</f>
        <v>20604927.6961535</v>
      </c>
      <c r="Q40" s="196">
        <f>Q36+Q37+Q38+Q39</f>
        <v>23352190.3721095</v>
      </c>
      <c r="R40" s="196">
        <f>R36+R37+R38+R39</f>
        <v>26325388.7275002</v>
      </c>
    </row>
    <row r="41">
      <c r="B41" s="36" t="inlineStr">
        <is>
          <t xml:space="preserve">  attributable to non-controlling interest</t>
        </is>
      </c>
      <c r="C41" s="117" t="str">
        <f>UNIT_LBL</f>
        <v>ETB '000</v>
      </c>
      <c r="D41" s="189">
        <f>SUM(E41:R41)</f>
        <v>0</v>
      </c>
      <c r="E41" s="193">
        <f>E40*NCI_PCT</f>
        <v>0</v>
      </c>
      <c r="F41" s="193">
        <f>F40*NCI_PCT</f>
        <v>0</v>
      </c>
      <c r="G41" s="193">
        <f>G40*NCI_PCT</f>
        <v>0</v>
      </c>
      <c r="H41" s="193">
        <f>H40*NCI_PCT</f>
        <v>0</v>
      </c>
      <c r="I41" s="193">
        <f>I40*NCI_PCT</f>
        <v>0</v>
      </c>
      <c r="J41" s="193">
        <f>J40*NCI_PCT</f>
        <v>0</v>
      </c>
      <c r="K41" s="193">
        <f>K40*NCI_PCT</f>
        <v>0</v>
      </c>
      <c r="L41" s="193">
        <f>L40*NCI_PCT</f>
        <v>0</v>
      </c>
      <c r="M41" s="193">
        <f>M40*NCI_PCT</f>
        <v>0</v>
      </c>
      <c r="N41" s="193">
        <f>N40*NCI_PCT</f>
        <v>0</v>
      </c>
      <c r="O41" s="193">
        <f>O40*NCI_PCT</f>
        <v>0</v>
      </c>
      <c r="P41" s="193">
        <f>P40*NCI_PCT</f>
        <v>0</v>
      </c>
      <c r="Q41" s="193">
        <f>Q40*NCI_PCT</f>
        <v>0</v>
      </c>
      <c r="R41" s="193">
        <f>R40*NCI_PCT</f>
        <v>0</v>
      </c>
    </row>
    <row r="42">
      <c r="B42" s="36" t="inlineStr">
        <is>
          <t xml:space="preserve">  attributable to owners</t>
        </is>
      </c>
      <c r="C42" s="117" t="str">
        <f>UNIT_LBL</f>
        <v>ETB '000</v>
      </c>
      <c r="D42" s="189">
        <f>SUM(E42:R42)</f>
        <v>172747228.665384</v>
      </c>
      <c r="E42" s="193">
        <f>E40-E41</f>
        <v>-752745.710151132</v>
      </c>
      <c r="F42" s="193">
        <f>F40-F41</f>
        <v>-7443020.28116625</v>
      </c>
      <c r="G42" s="193">
        <f>G40-G41</f>
        <v>13812902.5126241</v>
      </c>
      <c r="H42" s="193">
        <f>H40-H41</f>
        <v>0</v>
      </c>
      <c r="I42" s="193">
        <f>I40-I41</f>
        <v>8072709.6472672</v>
      </c>
      <c r="J42" s="193">
        <f>J40-J41</f>
        <v>17180814.3875254</v>
      </c>
      <c r="K42" s="193">
        <f>K40-K41</f>
        <v>10773156.1969011</v>
      </c>
      <c r="L42" s="193">
        <f>L40-L41</f>
        <v>12653044.9314323</v>
      </c>
      <c r="M42" s="193">
        <f>M40-M41</f>
        <v>14676859.6398598</v>
      </c>
      <c r="N42" s="193">
        <f>N40-N41</f>
        <v>15568997.1935328</v>
      </c>
      <c r="O42" s="193">
        <f>O40-O41</f>
        <v>17922003.3517958</v>
      </c>
      <c r="P42" s="193">
        <f>P40-P41</f>
        <v>20604927.6961535</v>
      </c>
      <c r="Q42" s="193">
        <f>Q40-Q41</f>
        <v>23352190.3721095</v>
      </c>
      <c r="R42" s="193">
        <f>R40-R41</f>
        <v>26325388.7275002</v>
      </c>
    </row>
    <row r="43" ht="20" customHeight="1">
      <c r="B43" s="113" t="inlineStr">
        <is>
          <t>Appropriations</t>
        </is>
      </c>
      <c r="C43" s="37" t="inlineStr">
        <is>
          <t>የትርፍ ድልድል</t>
        </is>
      </c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</row>
    <row r="44">
      <c r="B44" s="36" t="inlineStr">
        <is>
          <t>Transfer to legal reserve (Commercial Code)</t>
        </is>
      </c>
      <c r="C44" s="117" t="str">
        <f>UNIT_LBL</f>
        <v>ETB '000</v>
      </c>
      <c r="D44" s="189">
        <f>SUM(E44:R44)</f>
        <v>1094280.60799457</v>
      </c>
      <c r="E44" s="193">
        <f>IF(AND(PROJECT_MODE&lt;&gt;0,E40&gt;0),MAX(0,MIN(LR_PCT*E40,LR_CAP*(0+'42_CF'!E28)-0)),0)</f>
        <v>0</v>
      </c>
      <c r="F44" s="193">
        <f>IF(AND(PROJECT_MODE&lt;&gt;0,F40&gt;0),MAX(0,MIN(LR_PCT*F40,LR_CAP*('41_BS'!E34+'42_CF'!F28)-E45)),0)</f>
        <v>0</v>
      </c>
      <c r="G44" s="193">
        <f>IF(AND(PROJECT_MODE&lt;&gt;0,G40&gt;0),MAX(0,MIN(LR_PCT*G40,LR_CAP*('41_BS'!F34+'42_CF'!G28)-F45)),0)</f>
        <v>690645.125631205</v>
      </c>
      <c r="H44" s="193">
        <f>IF(AND(PROJECT_MODE&lt;&gt;0,H40&gt;0),MAX(0,MIN(LR_PCT*H40,LR_CAP*('41_BS'!G34+'42_CF'!H28)-G45)),0)</f>
        <v>0</v>
      </c>
      <c r="I44" s="193">
        <f>IF(AND(PROJECT_MODE&lt;&gt;0,I40&gt;0),MAX(0,MIN(LR_PCT*I40,LR_CAP*('41_BS'!H34+'42_CF'!I28)-H45)),0)</f>
        <v>403635.48236336</v>
      </c>
      <c r="J44" s="193">
        <f>IF(AND(PROJECT_MODE&lt;&gt;0,J40&gt;0),MAX(0,MIN(LR_PCT*J40,LR_CAP*('41_BS'!I34+'42_CF'!J28)-I45)),0)</f>
        <v>0</v>
      </c>
      <c r="K44" s="193">
        <f>IF(AND(PROJECT_MODE&lt;&gt;0,K40&gt;0),MAX(0,MIN(LR_PCT*K40,LR_CAP*('41_BS'!J34+'42_CF'!K28)-J45)),0)</f>
        <v>0</v>
      </c>
      <c r="L44" s="193">
        <f>IF(AND(PROJECT_MODE&lt;&gt;0,L40&gt;0),MAX(0,MIN(LR_PCT*L40,LR_CAP*('41_BS'!K34+'42_CF'!L28)-K45)),0)</f>
        <v>0</v>
      </c>
      <c r="M44" s="193">
        <f>IF(AND(PROJECT_MODE&lt;&gt;0,M40&gt;0),MAX(0,MIN(LR_PCT*M40,LR_CAP*('41_BS'!L34+'42_CF'!M28)-L45)),0)</f>
        <v>0</v>
      </c>
      <c r="N44" s="193">
        <f>IF(AND(PROJECT_MODE&lt;&gt;0,N40&gt;0),MAX(0,MIN(LR_PCT*N40,LR_CAP*('41_BS'!M34+'42_CF'!N28)-M45)),0)</f>
        <v>0</v>
      </c>
      <c r="O44" s="193">
        <f>IF(AND(PROJECT_MODE&lt;&gt;0,O40&gt;0),MAX(0,MIN(LR_PCT*O40,LR_CAP*('41_BS'!N34+'42_CF'!O28)-N45)),0)</f>
        <v>0</v>
      </c>
      <c r="P44" s="193">
        <f>IF(AND(PROJECT_MODE&lt;&gt;0,P40&gt;0),MAX(0,MIN(LR_PCT*P40,LR_CAP*('41_BS'!O34+'42_CF'!P28)-O45)),0)</f>
        <v>0</v>
      </c>
      <c r="Q44" s="193">
        <f>IF(AND(PROJECT_MODE&lt;&gt;0,Q40&gt;0),MAX(0,MIN(LR_PCT*Q40,LR_CAP*('41_BS'!P34+'42_CF'!Q28)-P45)),0)</f>
        <v>0</v>
      </c>
      <c r="R44" s="193">
        <f>IF(AND(PROJECT_MODE&lt;&gt;0,R40&gt;0),MAX(0,MIN(LR_PCT*R40,LR_CAP*('41_BS'!Q34+'42_CF'!R28)-Q45)),0)</f>
        <v>0</v>
      </c>
    </row>
    <row r="45">
      <c r="B45" s="36" t="inlineStr">
        <is>
          <t>Legal reserve balance</t>
        </is>
      </c>
      <c r="C45" s="117" t="str">
        <f>UNIT_LBL</f>
        <v>ETB '000</v>
      </c>
      <c r="D45" s="189">
        <f>R45</f>
        <v>1094280.60799457</v>
      </c>
      <c r="E45" s="193">
        <f>0+E44</f>
        <v>0</v>
      </c>
      <c r="F45" s="193">
        <f>E45+F44</f>
        <v>0</v>
      </c>
      <c r="G45" s="193">
        <f>F45+G44</f>
        <v>690645.125631205</v>
      </c>
      <c r="H45" s="193">
        <f>G45+H44</f>
        <v>690645.125631205</v>
      </c>
      <c r="I45" s="193">
        <f>H45+I44</f>
        <v>1094280.60799457</v>
      </c>
      <c r="J45" s="193">
        <f>I45+J44</f>
        <v>1094280.60799457</v>
      </c>
      <c r="K45" s="193">
        <f>J45+K44</f>
        <v>1094280.60799457</v>
      </c>
      <c r="L45" s="193">
        <f>K45+L44</f>
        <v>1094280.60799457</v>
      </c>
      <c r="M45" s="193">
        <f>L45+M44</f>
        <v>1094280.60799457</v>
      </c>
      <c r="N45" s="193">
        <f>M45+N44</f>
        <v>1094280.60799457</v>
      </c>
      <c r="O45" s="193">
        <f>N45+O44</f>
        <v>1094280.60799457</v>
      </c>
      <c r="P45" s="193">
        <f>O45+P44</f>
        <v>1094280.60799457</v>
      </c>
      <c r="Q45" s="193">
        <f>P45+Q44</f>
        <v>1094280.60799457</v>
      </c>
      <c r="R45" s="193">
        <f>Q45+R44</f>
        <v>1094280.60799457</v>
      </c>
    </row>
    <row r="46">
      <c r="B46" s="36" t="inlineStr">
        <is>
          <t>Dividends paid (incl. special)</t>
        </is>
      </c>
      <c r="C46" s="117" t="str">
        <f>UNIT_LBL</f>
        <v>ETB '000</v>
      </c>
      <c r="D46" s="189">
        <f>SUM(E46:R46)</f>
        <v>163151553.746626</v>
      </c>
      <c r="E46" s="193">
        <f>-'42_CF'!E40</f>
        <v>0</v>
      </c>
      <c r="F46" s="193">
        <f>-'42_CF'!F40</f>
        <v>0</v>
      </c>
      <c r="G46" s="193">
        <f>-'42_CF'!G40</f>
        <v>0</v>
      </c>
      <c r="H46" s="193">
        <f>-'42_CF'!H40</f>
        <v>0</v>
      </c>
      <c r="I46" s="193">
        <f>-'42_CF'!I40</f>
        <v>9734431.84555842</v>
      </c>
      <c r="J46" s="193">
        <f>-'42_CF'!J40</f>
        <v>20041948.1025463</v>
      </c>
      <c r="K46" s="193">
        <f>-'42_CF'!K40</f>
        <v>10773156.1969011</v>
      </c>
      <c r="L46" s="193">
        <f>-'42_CF'!L40</f>
        <v>12653044.9314323</v>
      </c>
      <c r="M46" s="193">
        <f>-'42_CF'!M40</f>
        <v>14676859.6398598</v>
      </c>
      <c r="N46" s="193">
        <f>-'42_CF'!N40</f>
        <v>15568997.1935328</v>
      </c>
      <c r="O46" s="193">
        <f>-'42_CF'!O40</f>
        <v>17922003.3517958</v>
      </c>
      <c r="P46" s="193">
        <f>-'42_CF'!P40</f>
        <v>17935627.1517528</v>
      </c>
      <c r="Q46" s="193">
        <f>-'42_CF'!Q40</f>
        <v>19515583.8319205</v>
      </c>
      <c r="R46" s="193">
        <f>-'42_CF'!R40</f>
        <v>24329901.5013262</v>
      </c>
    </row>
    <row r="47">
      <c r="B47" s="36" t="inlineStr">
        <is>
          <t>Retained earnings (total, before NCI split)</t>
        </is>
      </c>
      <c r="C47" s="117" t="str">
        <f>UNIT_LBL</f>
        <v>ETB '000</v>
      </c>
      <c r="D47" s="189">
        <f>R47</f>
        <v>8501394.31076371</v>
      </c>
      <c r="E47" s="193">
        <f>0+E40-E44-E46</f>
        <v>-752745.710151132</v>
      </c>
      <c r="F47" s="193">
        <f>E47+F40-F44-F46</f>
        <v>-8195765.99131738</v>
      </c>
      <c r="G47" s="193">
        <f>F47+G40-G44-G46</f>
        <v>4926491.39567551</v>
      </c>
      <c r="H47" s="193">
        <f>G47+H40-H44-H46</f>
        <v>4926491.39567551</v>
      </c>
      <c r="I47" s="193">
        <f>H47+I40-I44-I46</f>
        <v>2861133.71502094</v>
      </c>
      <c r="J47" s="193">
        <f>I47+J40-J44-J46</f>
        <v>0</v>
      </c>
      <c r="K47" s="193">
        <f>J47+K40-K44-K46</f>
        <v>0</v>
      </c>
      <c r="L47" s="193">
        <f>K47+L40-L44-L46</f>
        <v>0</v>
      </c>
      <c r="M47" s="193">
        <f>L47+M40-M44-M46</f>
        <v>0</v>
      </c>
      <c r="N47" s="193">
        <f>M47+N40-N44-N46</f>
        <v>0</v>
      </c>
      <c r="O47" s="193">
        <f>N47+O40-O44-O46</f>
        <v>0</v>
      </c>
      <c r="P47" s="193">
        <f>O47+P40-P44-P46</f>
        <v>2669300.54440076</v>
      </c>
      <c r="Q47" s="193">
        <f>P47+Q40-Q44-Q46</f>
        <v>6505907.08458974</v>
      </c>
      <c r="R47" s="193">
        <f>Q47+R40-R44-R46</f>
        <v>8501394.31076371</v>
      </c>
    </row>
    <row r="48">
      <c r="B48" s="36" t="inlineStr">
        <is>
          <t>EBITDA margin</t>
        </is>
      </c>
      <c r="C48" s="117" t="inlineStr">
        <is>
          <t>%</t>
        </is>
      </c>
      <c r="E48" s="154">
        <f>IF(E16&gt;0,E30/E16,0)</f>
        <v>0</v>
      </c>
      <c r="F48" s="154">
        <f>IF(F16&gt;0,F30/F16,0)</f>
        <v>0</v>
      </c>
      <c r="G48" s="154">
        <f>IF(G16&gt;0,G30/G16,0)</f>
        <v>0.0910249727506227</v>
      </c>
      <c r="H48" s="154">
        <f>IF(H16&gt;0,H30/H16,0)</f>
        <v>0</v>
      </c>
      <c r="I48" s="154">
        <f>IF(I16&gt;0,I30/I16,0)</f>
        <v>0.314633079904004</v>
      </c>
      <c r="J48" s="154">
        <f>IF(J16&gt;0,J30/J16,0)</f>
        <v>0.429493531389484</v>
      </c>
      <c r="K48" s="154">
        <f>IF(K16&gt;0,K30/K16,0)</f>
        <v>0.758815162255699</v>
      </c>
      <c r="L48" s="154">
        <f>IF(L16&gt;0,L30/L16,0)</f>
        <v>0.756740458169195</v>
      </c>
      <c r="M48" s="154">
        <f>IF(M16&gt;0,M30/M16,0)</f>
        <v>0.754694670492015</v>
      </c>
      <c r="N48" s="154">
        <f>IF(N16&gt;0,N30/N16,0)</f>
        <v>0.742804464155759</v>
      </c>
      <c r="O48" s="154">
        <f>IF(O16&gt;0,O30/O16,0)</f>
        <v>0.741467262432166</v>
      </c>
      <c r="P48" s="154">
        <f>IF(P16&gt;0,P30/P16,0)</f>
        <v>0.740106314801006</v>
      </c>
      <c r="Q48" s="154">
        <f>IF(Q16&gt;0,Q30/Q16,0)</f>
        <v>0.738721218349529</v>
      </c>
      <c r="R48" s="154">
        <f>IF(R16&gt;0,R30/R16,0)</f>
        <v>0.737311564014639</v>
      </c>
    </row>
  </sheetData>
  <conditionalFormatting sqref="B5:R5">
    <cfRule type="expression" priority="1" dxfId="7">
      <formula>PROJECT_MODE=0</formula>
    </cfRule>
  </conditionalFormatting>
  <conditionalFormatting sqref="D11:R11 D12:R12 D13:R13 D14:R14 D15:R15 D16:R16 D17:R17 D18:R18 D19:R19 D21:R21 D22:R22 D23:R23 D24:R24 D25:R25 D26:R26 D27:R27 D28:R28 D29:R29 D30:R30 D31:R31 D32:R32 D33:R33 D34:R34 D35:R35 D36:R36 D37:R37 D38:R38 D39:R39 D40:R40 D41:R41 D42:R42 D44:R44 D45:R45 D46:R46 D47:R47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41 · Balance sheet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የሀብትና ዕዳ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Assets</t>
        </is>
      </c>
      <c r="C10" s="37" t="inlineStr">
        <is>
          <t>ሀብት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Investment property (IAS 40, cost)</t>
        </is>
      </c>
      <c r="C11" s="117" t="str">
        <f>UNIT_LBL</f>
        <v>ETB '000</v>
      </c>
      <c r="D11" s="189">
        <f>R11</f>
        <v>107246599.954425</v>
      </c>
      <c r="E11" s="190">
        <f>'26_Assets'!E29</f>
        <v>66176424.5905473</v>
      </c>
      <c r="F11" s="190">
        <f>'26_Assets'!F29</f>
        <v>126391032.343342</v>
      </c>
      <c r="G11" s="190">
        <f>'26_Assets'!G29</f>
        <v>136277665.536102</v>
      </c>
      <c r="H11" s="190">
        <f>'26_Assets'!H29</f>
        <v>136277665.536102</v>
      </c>
      <c r="I11" s="190">
        <f>'26_Assets'!I29</f>
        <v>133310921.159985</v>
      </c>
      <c r="J11" s="190">
        <f>'26_Assets'!J29</f>
        <v>130344176.783869</v>
      </c>
      <c r="K11" s="190">
        <f>'26_Assets'!K29</f>
        <v>127377432.407752</v>
      </c>
      <c r="L11" s="190">
        <f>'26_Assets'!L29</f>
        <v>124410688.031635</v>
      </c>
      <c r="M11" s="190">
        <f>'26_Assets'!M29</f>
        <v>121443943.655518</v>
      </c>
      <c r="N11" s="190">
        <f>'26_Assets'!N29</f>
        <v>118477199.279401</v>
      </c>
      <c r="O11" s="190">
        <f>'26_Assets'!O29</f>
        <v>115510454.903285</v>
      </c>
      <c r="P11" s="190">
        <f>'26_Assets'!P29</f>
        <v>112755836.586998</v>
      </c>
      <c r="Q11" s="190">
        <f>'26_Assets'!Q29</f>
        <v>110001218.270712</v>
      </c>
      <c r="R11" s="190">
        <f>'26_Assets'!R29</f>
        <v>107246599.954425</v>
      </c>
    </row>
    <row r="12">
      <c r="B12" s="36" t="inlineStr">
        <is>
          <t>Property, plant &amp; equipment (IAS 16)</t>
        </is>
      </c>
      <c r="C12" s="117" t="str">
        <f>UNIT_LBL</f>
        <v>ETB '000</v>
      </c>
      <c r="D12" s="189">
        <f>R12</f>
        <v>0</v>
      </c>
      <c r="E12" s="190">
        <f>'26_Assets'!E31</f>
        <v>0</v>
      </c>
      <c r="F12" s="190">
        <f>'26_Assets'!F31</f>
        <v>0</v>
      </c>
      <c r="G12" s="190">
        <f>'26_Assets'!G31</f>
        <v>0</v>
      </c>
      <c r="H12" s="190">
        <f>'26_Assets'!H31</f>
        <v>0</v>
      </c>
      <c r="I12" s="190">
        <f>'26_Assets'!I31</f>
        <v>0</v>
      </c>
      <c r="J12" s="190">
        <f>'26_Assets'!J31</f>
        <v>0</v>
      </c>
      <c r="K12" s="190">
        <f>'26_Assets'!K31</f>
        <v>0</v>
      </c>
      <c r="L12" s="190">
        <f>'26_Assets'!L31</f>
        <v>0</v>
      </c>
      <c r="M12" s="190">
        <f>'26_Assets'!M31</f>
        <v>0</v>
      </c>
      <c r="N12" s="190">
        <f>'26_Assets'!N31</f>
        <v>0</v>
      </c>
      <c r="O12" s="190">
        <f>'26_Assets'!O31</f>
        <v>0</v>
      </c>
      <c r="P12" s="190">
        <f>'26_Assets'!P31</f>
        <v>0</v>
      </c>
      <c r="Q12" s="190">
        <f>'26_Assets'!Q31</f>
        <v>0</v>
      </c>
      <c r="R12" s="190">
        <f>'26_Assets'!R31</f>
        <v>0</v>
      </c>
    </row>
    <row r="13">
      <c r="B13" s="36" t="inlineStr">
        <is>
          <t>Deferred tax asset</t>
        </is>
      </c>
      <c r="C13" s="117" t="str">
        <f>UNIT_LBL</f>
        <v>ETB '000</v>
      </c>
      <c r="D13" s="189">
        <f>R13</f>
        <v>0</v>
      </c>
      <c r="E13" s="193">
        <f>MAX(0,-'28_Tax'!E61)</f>
        <v>322605.304350485</v>
      </c>
      <c r="F13" s="193">
        <f>MAX(0,-'28_Tax'!F61)</f>
        <v>3512471.13913602</v>
      </c>
      <c r="G13" s="193">
        <f>MAX(0,-'28_Tax'!G61)</f>
        <v>0</v>
      </c>
      <c r="H13" s="193">
        <f>MAX(0,-'28_Tax'!H61)</f>
        <v>0</v>
      </c>
      <c r="I13" s="193">
        <f>MAX(0,-'28_Tax'!I61)</f>
        <v>0</v>
      </c>
      <c r="J13" s="193">
        <f>MAX(0,-'28_Tax'!J61)</f>
        <v>0</v>
      </c>
      <c r="K13" s="193">
        <f>MAX(0,-'28_Tax'!K61)</f>
        <v>0</v>
      </c>
      <c r="L13" s="193">
        <f>MAX(0,-'28_Tax'!L61)</f>
        <v>0</v>
      </c>
      <c r="M13" s="193">
        <f>MAX(0,-'28_Tax'!M61)</f>
        <v>0</v>
      </c>
      <c r="N13" s="193">
        <f>MAX(0,-'28_Tax'!N61)</f>
        <v>0</v>
      </c>
      <c r="O13" s="193">
        <f>MAX(0,-'28_Tax'!O61)</f>
        <v>0</v>
      </c>
      <c r="P13" s="193">
        <f>MAX(0,-'28_Tax'!P61)</f>
        <v>0</v>
      </c>
      <c r="Q13" s="193">
        <f>MAX(0,-'28_Tax'!Q61)</f>
        <v>0</v>
      </c>
      <c r="R13" s="193">
        <f>MAX(0,-'28_Tax'!R61)</f>
        <v>0</v>
      </c>
    </row>
    <row r="14">
      <c r="B14" s="97" t="inlineStr">
        <is>
          <t>Non-current assets</t>
        </is>
      </c>
      <c r="C14" s="180" t="str">
        <f>UNIT_LBL</f>
        <v>ETB '000</v>
      </c>
      <c r="D14" s="191">
        <f>R14</f>
        <v>107246599.954425</v>
      </c>
      <c r="E14" s="192">
        <f>E11+E12+E13</f>
        <v>66499029.8948977</v>
      </c>
      <c r="F14" s="192">
        <f>F11+F12+F13</f>
        <v>129903503.482478</v>
      </c>
      <c r="G14" s="192">
        <f>G11+G12+G13</f>
        <v>136277665.536102</v>
      </c>
      <c r="H14" s="192">
        <f>H11+H12+H13</f>
        <v>136277665.536102</v>
      </c>
      <c r="I14" s="192">
        <f>I11+I12+I13</f>
        <v>133310921.159985</v>
      </c>
      <c r="J14" s="192">
        <f>J11+J12+J13</f>
        <v>130344176.783869</v>
      </c>
      <c r="K14" s="192">
        <f>K11+K12+K13</f>
        <v>127377432.407752</v>
      </c>
      <c r="L14" s="192">
        <f>L11+L12+L13</f>
        <v>124410688.031635</v>
      </c>
      <c r="M14" s="192">
        <f>M11+M12+M13</f>
        <v>121443943.655518</v>
      </c>
      <c r="N14" s="192">
        <f>N11+N12+N13</f>
        <v>118477199.279401</v>
      </c>
      <c r="O14" s="192">
        <f>O11+O12+O13</f>
        <v>115510454.903285</v>
      </c>
      <c r="P14" s="192">
        <f>P11+P12+P13</f>
        <v>112755836.586998</v>
      </c>
      <c r="Q14" s="192">
        <f>Q11+Q12+Q13</f>
        <v>110001218.270712</v>
      </c>
      <c r="R14" s="192">
        <f>R11+R12+R13</f>
        <v>107246599.954425</v>
      </c>
    </row>
    <row r="15">
      <c r="B15" s="36" t="inlineStr">
        <is>
          <t>Inventory – units for sale (IAS 2)</t>
        </is>
      </c>
      <c r="C15" s="117" t="str">
        <f>UNIT_LBL</f>
        <v>ETB '000</v>
      </c>
      <c r="D15" s="189">
        <f>R15</f>
        <v>0</v>
      </c>
      <c r="E15" s="190">
        <f>'26_Assets'!E33</f>
        <v>201224241.288904</v>
      </c>
      <c r="F15" s="190">
        <f>'26_Assets'!F33</f>
        <v>384320243.143554</v>
      </c>
      <c r="G15" s="190">
        <f>'26_Assets'!G33</f>
        <v>124314829.737911</v>
      </c>
      <c r="H15" s="190">
        <f>'26_Assets'!H33</f>
        <v>124314829.737911</v>
      </c>
      <c r="I15" s="190">
        <f>'26_Assets'!I33</f>
        <v>49725931.8951642</v>
      </c>
      <c r="J15" s="190">
        <f>'26_Assets'!J33</f>
        <v>0</v>
      </c>
      <c r="K15" s="190">
        <f>'26_Assets'!K33</f>
        <v>0</v>
      </c>
      <c r="L15" s="190">
        <f>'26_Assets'!L33</f>
        <v>0</v>
      </c>
      <c r="M15" s="190">
        <f>'26_Assets'!M33</f>
        <v>0</v>
      </c>
      <c r="N15" s="190">
        <f>'26_Assets'!N33</f>
        <v>0</v>
      </c>
      <c r="O15" s="190">
        <f>'26_Assets'!O33</f>
        <v>0</v>
      </c>
      <c r="P15" s="190">
        <f>'26_Assets'!P33</f>
        <v>0</v>
      </c>
      <c r="Q15" s="190">
        <f>'26_Assets'!Q33</f>
        <v>0</v>
      </c>
      <c r="R15" s="190">
        <f>'26_Assets'!R33</f>
        <v>0</v>
      </c>
    </row>
    <row r="16">
      <c r="B16" s="36" t="inlineStr">
        <is>
          <t>Trade receivables</t>
        </is>
      </c>
      <c r="C16" s="117" t="str">
        <f>UNIT_LBL</f>
        <v>ETB '000</v>
      </c>
      <c r="D16" s="189">
        <f>R16</f>
        <v>4761995.72440003</v>
      </c>
      <c r="E16" s="190">
        <f>'30_WorkingCap'!E11</f>
        <v>0</v>
      </c>
      <c r="F16" s="190">
        <f>'30_WorkingCap'!F11</f>
        <v>0</v>
      </c>
      <c r="G16" s="190">
        <f>'30_WorkingCap'!G11</f>
        <v>0</v>
      </c>
      <c r="H16" s="190">
        <f>'30_WorkingCap'!H11</f>
        <v>0</v>
      </c>
      <c r="I16" s="190">
        <f>'30_WorkingCap'!I11</f>
        <v>1553597.89735796</v>
      </c>
      <c r="J16" s="190">
        <f>'30_WorkingCap'!J11</f>
        <v>2237180.97219546</v>
      </c>
      <c r="K16" s="190">
        <f>'30_WorkingCap'!K11</f>
        <v>2778578.76746677</v>
      </c>
      <c r="L16" s="190">
        <f>'30_WorkingCap'!L11</f>
        <v>3000865.06886411</v>
      </c>
      <c r="M16" s="190">
        <f>'30_WorkingCap'!M11</f>
        <v>3240934.27437324</v>
      </c>
      <c r="N16" s="190">
        <f>'30_WorkingCap'!N11</f>
        <v>3500209.01632309</v>
      </c>
      <c r="O16" s="190">
        <f>'30_WorkingCap'!O11</f>
        <v>3780225.73762894</v>
      </c>
      <c r="P16" s="190">
        <f>'30_WorkingCap'!P11</f>
        <v>4082643.79663926</v>
      </c>
      <c r="Q16" s="190">
        <f>'30_WorkingCap'!Q11</f>
        <v>4409255.3003704</v>
      </c>
      <c r="R16" s="190">
        <f>'30_WorkingCap'!R11</f>
        <v>4761995.72440003</v>
      </c>
    </row>
    <row r="17">
      <c r="B17" s="36" t="inlineStr">
        <is>
          <t>VAT receivable</t>
        </is>
      </c>
      <c r="C17" s="117" t="str">
        <f>UNIT_LBL</f>
        <v>ETB '000</v>
      </c>
      <c r="D17" s="189">
        <f>R17</f>
        <v>0</v>
      </c>
      <c r="E17" s="190">
        <f>'30_WorkingCap'!E16</f>
        <v>11588053.9890444</v>
      </c>
      <c r="F17" s="190">
        <f>'30_WorkingCap'!F16</f>
        <v>24682328.8356151</v>
      </c>
      <c r="G17" s="190">
        <f>'30_WorkingCap'!G16</f>
        <v>3226889.5613837</v>
      </c>
      <c r="H17" s="190">
        <f>'30_WorkingCap'!H16</f>
        <v>0</v>
      </c>
      <c r="I17" s="190">
        <f>'30_WorkingCap'!I16</f>
        <v>0</v>
      </c>
      <c r="J17" s="190">
        <f>'30_WorkingCap'!J16</f>
        <v>0</v>
      </c>
      <c r="K17" s="190">
        <f>'30_WorkingCap'!K16</f>
        <v>0</v>
      </c>
      <c r="L17" s="190">
        <f>'30_WorkingCap'!L16</f>
        <v>0</v>
      </c>
      <c r="M17" s="190">
        <f>'30_WorkingCap'!M16</f>
        <v>0</v>
      </c>
      <c r="N17" s="190">
        <f>'30_WorkingCap'!N16</f>
        <v>0</v>
      </c>
      <c r="O17" s="190">
        <f>'30_WorkingCap'!O16</f>
        <v>0</v>
      </c>
      <c r="P17" s="190">
        <f>'30_WorkingCap'!P16</f>
        <v>0</v>
      </c>
      <c r="Q17" s="190">
        <f>'30_WorkingCap'!Q16</f>
        <v>0</v>
      </c>
      <c r="R17" s="190">
        <f>'30_WorkingCap'!R16</f>
        <v>0</v>
      </c>
    </row>
    <row r="18">
      <c r="B18" s="36" t="inlineStr">
        <is>
          <t>Contract asset (IFRS 15)</t>
        </is>
      </c>
      <c r="C18" s="117" t="str">
        <f>UNIT_LBL</f>
        <v>ETB '000</v>
      </c>
      <c r="D18" s="189">
        <f>R18</f>
        <v>0</v>
      </c>
      <c r="E18" s="190">
        <f>'30_WorkingCap'!E18</f>
        <v>0</v>
      </c>
      <c r="F18" s="190">
        <f>'30_WorkingCap'!F18</f>
        <v>0</v>
      </c>
      <c r="G18" s="190">
        <f>'30_WorkingCap'!G18</f>
        <v>0</v>
      </c>
      <c r="H18" s="190">
        <f>'30_WorkingCap'!H18</f>
        <v>0</v>
      </c>
      <c r="I18" s="190">
        <f>'30_WorkingCap'!I18</f>
        <v>0</v>
      </c>
      <c r="J18" s="190">
        <f>'30_WorkingCap'!J18</f>
        <v>0</v>
      </c>
      <c r="K18" s="190">
        <f>'30_WorkingCap'!K18</f>
        <v>0</v>
      </c>
      <c r="L18" s="190">
        <f>'30_WorkingCap'!L18</f>
        <v>0</v>
      </c>
      <c r="M18" s="190">
        <f>'30_WorkingCap'!M18</f>
        <v>0</v>
      </c>
      <c r="N18" s="190">
        <f>'30_WorkingCap'!N18</f>
        <v>0</v>
      </c>
      <c r="O18" s="190">
        <f>'30_WorkingCap'!O18</f>
        <v>0</v>
      </c>
      <c r="P18" s="190">
        <f>'30_WorkingCap'!P18</f>
        <v>0</v>
      </c>
      <c r="Q18" s="190">
        <f>'30_WorkingCap'!Q18</f>
        <v>0</v>
      </c>
      <c r="R18" s="190">
        <f>'30_WorkingCap'!R18</f>
        <v>0</v>
      </c>
    </row>
    <row r="19">
      <c r="B19" s="36" t="inlineStr">
        <is>
          <t>Restricted cash – DSRA</t>
        </is>
      </c>
      <c r="C19" s="117" t="str">
        <f>UNIT_LBL</f>
        <v>ETB '000</v>
      </c>
      <c r="D19" s="189">
        <f>R19</f>
        <v>0</v>
      </c>
      <c r="E19" s="190">
        <f>'42_CF'!E48</f>
        <v>0</v>
      </c>
      <c r="F19" s="190">
        <f>'42_CF'!F48</f>
        <v>0</v>
      </c>
      <c r="G19" s="190">
        <f>'42_CF'!G48</f>
        <v>0</v>
      </c>
      <c r="H19" s="190">
        <f>'42_CF'!H48</f>
        <v>0</v>
      </c>
      <c r="I19" s="190">
        <f>'42_CF'!I48</f>
        <v>5557799.45341452</v>
      </c>
      <c r="J19" s="190">
        <f>'42_CF'!J48</f>
        <v>2423309.87528355</v>
      </c>
      <c r="K19" s="190">
        <f>'42_CF'!K48</f>
        <v>2423309.87528355</v>
      </c>
      <c r="L19" s="190">
        <f>'42_CF'!L48</f>
        <v>2423309.87528355</v>
      </c>
      <c r="M19" s="190">
        <f>'42_CF'!M48</f>
        <v>2423309.87528355</v>
      </c>
      <c r="N19" s="190">
        <f>'42_CF'!N48</f>
        <v>2423309.87528355</v>
      </c>
      <c r="O19" s="190">
        <f>'42_CF'!O48</f>
        <v>2423309.87528355</v>
      </c>
      <c r="P19" s="190">
        <f>'42_CF'!P48</f>
        <v>2423309.87528355</v>
      </c>
      <c r="Q19" s="190">
        <f>'42_CF'!Q48</f>
        <v>2423309.87528355</v>
      </c>
      <c r="R19" s="190">
        <f>'42_CF'!R48</f>
        <v>0</v>
      </c>
    </row>
    <row r="20">
      <c r="B20" s="36" t="inlineStr">
        <is>
          <t>Cash and cash equivalents</t>
        </is>
      </c>
      <c r="C20" s="117" t="str">
        <f>UNIT_LBL</f>
        <v>ETB '000</v>
      </c>
      <c r="D20" s="189">
        <f>R20</f>
        <v>2000000</v>
      </c>
      <c r="E20" s="190">
        <f>'42_CF'!E46</f>
        <v>8031506.64316113</v>
      </c>
      <c r="F20" s="190">
        <f>'42_CF'!F46</f>
        <v>39810292.5904384</v>
      </c>
      <c r="G20" s="190">
        <f>'42_CF'!G46</f>
        <v>197220423.478607</v>
      </c>
      <c r="H20" s="190">
        <f>'42_CF'!H46</f>
        <v>197019146.24335</v>
      </c>
      <c r="I20" s="190">
        <f>'42_CF'!I46</f>
        <v>2000000.00000006</v>
      </c>
      <c r="J20" s="190">
        <f>'42_CF'!J46</f>
        <v>22314220.1568934</v>
      </c>
      <c r="K20" s="190">
        <f>'42_CF'!K46</f>
        <v>15140242.8522857</v>
      </c>
      <c r="L20" s="190">
        <f>'42_CF'!L46</f>
        <v>11881449.6146339</v>
      </c>
      <c r="M20" s="190">
        <f>'42_CF'!M46</f>
        <v>8175275.71159378</v>
      </c>
      <c r="N20" s="190">
        <f>'42_CF'!N46</f>
        <v>5313607.71526048</v>
      </c>
      <c r="O20" s="190">
        <f>'42_CF'!O46</f>
        <v>2634986.45478272</v>
      </c>
      <c r="P20" s="190">
        <f>'42_CF'!P46</f>
        <v>2000000</v>
      </c>
      <c r="Q20" s="190">
        <f>'42_CF'!Q46</f>
        <v>2000000</v>
      </c>
      <c r="R20" s="190">
        <f>'42_CF'!R46</f>
        <v>2000000</v>
      </c>
    </row>
    <row r="21">
      <c r="B21" s="97" t="inlineStr">
        <is>
          <t>Current assets</t>
        </is>
      </c>
      <c r="C21" s="180" t="str">
        <f>UNIT_LBL</f>
        <v>ETB '000</v>
      </c>
      <c r="D21" s="191">
        <f>R21</f>
        <v>6761995.72440003</v>
      </c>
      <c r="E21" s="192">
        <f>E15+E16+E17+E18+E19+E20</f>
        <v>220843801.921109</v>
      </c>
      <c r="F21" s="192">
        <f>F15+F16+F17+F18+F19+F20</f>
        <v>448812864.569608</v>
      </c>
      <c r="G21" s="192">
        <f>G15+G16+G17+G18+G19+G20</f>
        <v>324762142.777901</v>
      </c>
      <c r="H21" s="192">
        <f>H15+H16+H17+H18+H19+H20</f>
        <v>321333975.981261</v>
      </c>
      <c r="I21" s="192">
        <f>I15+I16+I17+I18+I19+I20</f>
        <v>58837329.2459367</v>
      </c>
      <c r="J21" s="192">
        <f>J15+J16+J17+J18+J19+J20</f>
        <v>26974711.0043724</v>
      </c>
      <c r="K21" s="192">
        <f>K15+K16+K17+K18+K19+K20</f>
        <v>20342131.495036</v>
      </c>
      <c r="L21" s="192">
        <f>L15+L16+L17+L18+L19+L20</f>
        <v>17305624.5587815</v>
      </c>
      <c r="M21" s="192">
        <f>M15+M16+M17+M18+M19+M20</f>
        <v>13839519.8612506</v>
      </c>
      <c r="N21" s="192">
        <f>N15+N16+N17+N18+N19+N20</f>
        <v>11237126.6068671</v>
      </c>
      <c r="O21" s="192">
        <f>O15+O16+O17+O18+O19+O20</f>
        <v>8838522.06769521</v>
      </c>
      <c r="P21" s="192">
        <f>P15+P16+P17+P18+P19+P20</f>
        <v>8505953.67192281</v>
      </c>
      <c r="Q21" s="192">
        <f>Q15+Q16+Q17+Q18+Q19+Q20</f>
        <v>8832565.17565395</v>
      </c>
      <c r="R21" s="192">
        <f>R15+R16+R17+R18+R19+R20</f>
        <v>6761995.72440003</v>
      </c>
    </row>
    <row r="22">
      <c r="B22" s="183" t="inlineStr">
        <is>
          <t>TOTAL ASSETS</t>
        </is>
      </c>
      <c r="C22" s="184" t="str">
        <f>UNIT_LBL</f>
        <v>ETB '000</v>
      </c>
      <c r="D22" s="195">
        <f>R22</f>
        <v>114008595.678826</v>
      </c>
      <c r="E22" s="196">
        <f>E14+E21</f>
        <v>287342831.816007</v>
      </c>
      <c r="F22" s="196">
        <f>F14+F21</f>
        <v>578716368.052086</v>
      </c>
      <c r="G22" s="196">
        <f>G14+G21</f>
        <v>461039808.314003</v>
      </c>
      <c r="H22" s="196">
        <f>H14+H21</f>
        <v>457611641.517363</v>
      </c>
      <c r="I22" s="196">
        <f>I14+I21</f>
        <v>192148250.405922</v>
      </c>
      <c r="J22" s="196">
        <f>J14+J21</f>
        <v>157318887.788241</v>
      </c>
      <c r="K22" s="196">
        <f>K14+K21</f>
        <v>147719563.902788</v>
      </c>
      <c r="L22" s="196">
        <f>L14+L21</f>
        <v>141716312.590417</v>
      </c>
      <c r="M22" s="196">
        <f>M14+M21</f>
        <v>135283463.516769</v>
      </c>
      <c r="N22" s="196">
        <f>N14+N21</f>
        <v>129714325.886269</v>
      </c>
      <c r="O22" s="196">
        <f>O14+O21</f>
        <v>124348976.97098</v>
      </c>
      <c r="P22" s="196">
        <f>P14+P21</f>
        <v>121261790.258921</v>
      </c>
      <c r="Q22" s="196">
        <f>Q14+Q21</f>
        <v>118833783.446366</v>
      </c>
      <c r="R22" s="196">
        <f>R14+R21</f>
        <v>114008595.678826</v>
      </c>
    </row>
    <row r="23" ht="20" customHeight="1">
      <c r="B23" s="113" t="inlineStr">
        <is>
          <t>Liabilities</t>
        </is>
      </c>
      <c r="C23" s="37" t="inlineStr">
        <is>
          <t>ዕዳ</t>
        </is>
      </c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</row>
    <row r="24">
      <c r="B24" s="36" t="inlineStr">
        <is>
          <t>Bank loan</t>
        </is>
      </c>
      <c r="C24" s="117" t="str">
        <f>UNIT_LBL</f>
        <v>ETB '000</v>
      </c>
      <c r="D24" s="189">
        <f>R24</f>
        <v>0</v>
      </c>
      <c r="E24" s="190">
        <f>'27_Loan'!E20</f>
        <v>0</v>
      </c>
      <c r="F24" s="190">
        <f>'27_Loan'!F20</f>
        <v>111770848.284784</v>
      </c>
      <c r="G24" s="190">
        <f>'27_Loan'!G20</f>
        <v>133149894.104201</v>
      </c>
      <c r="H24" s="190">
        <f>'27_Loan'!H20</f>
        <v>133149894.104201</v>
      </c>
      <c r="I24" s="190">
        <f>'27_Loan'!I20</f>
        <v>54412900.1125821</v>
      </c>
      <c r="J24" s="190">
        <f>'27_Loan'!J20</f>
        <v>22362969.2190811</v>
      </c>
      <c r="K24" s="190">
        <f>'27_Loan'!K20</f>
        <v>20784742.0007675</v>
      </c>
      <c r="L24" s="190">
        <f>'27_Loan'!L20</f>
        <v>18956128.3792425</v>
      </c>
      <c r="M24" s="190">
        <f>'27_Loan'!M20</f>
        <v>16837404.4477165</v>
      </c>
      <c r="N24" s="190">
        <f>'27_Loan'!N20</f>
        <v>14382544.0851008</v>
      </c>
      <c r="O24" s="190">
        <f>'27_Loan'!O20</f>
        <v>11538219.107093</v>
      </c>
      <c r="P24" s="190">
        <f>'27_Loan'!P20</f>
        <v>8242640.79081838</v>
      </c>
      <c r="Q24" s="190">
        <f>'27_Loan'!Q20</f>
        <v>4424217.60687305</v>
      </c>
      <c r="R24" s="190">
        <f>'27_Loan'!R20</f>
        <v>0</v>
      </c>
    </row>
    <row r="25">
      <c r="B25" s="36" t="inlineStr">
        <is>
          <t>Land lease liability</t>
        </is>
      </c>
      <c r="C25" s="117" t="str">
        <f>UNIT_LBL</f>
        <v>ETB '000</v>
      </c>
      <c r="D25" s="189">
        <f>R25</f>
        <v>81000000</v>
      </c>
      <c r="E25" s="190">
        <f>'27_Loan'!E25</f>
        <v>135000000</v>
      </c>
      <c r="F25" s="190">
        <f>'27_Loan'!F25</f>
        <v>130500000</v>
      </c>
      <c r="G25" s="190">
        <f>'27_Loan'!G25</f>
        <v>126000000</v>
      </c>
      <c r="H25" s="190">
        <f>'27_Loan'!H25</f>
        <v>126000000</v>
      </c>
      <c r="I25" s="190">
        <f>'27_Loan'!I25</f>
        <v>121500000</v>
      </c>
      <c r="J25" s="190">
        <f>'27_Loan'!J25</f>
        <v>117000000</v>
      </c>
      <c r="K25" s="190">
        <f>'27_Loan'!K25</f>
        <v>112500000</v>
      </c>
      <c r="L25" s="190">
        <f>'27_Loan'!L25</f>
        <v>108000000</v>
      </c>
      <c r="M25" s="190">
        <f>'27_Loan'!M25</f>
        <v>103500000</v>
      </c>
      <c r="N25" s="190">
        <f>'27_Loan'!N25</f>
        <v>99000000</v>
      </c>
      <c r="O25" s="190">
        <f>'27_Loan'!O25</f>
        <v>94500000</v>
      </c>
      <c r="P25" s="190">
        <f>'27_Loan'!P25</f>
        <v>90000000</v>
      </c>
      <c r="Q25" s="190">
        <f>'27_Loan'!Q25</f>
        <v>85500000</v>
      </c>
      <c r="R25" s="190">
        <f>'27_Loan'!R25</f>
        <v>81000000</v>
      </c>
    </row>
    <row r="26">
      <c r="B26" s="36" t="inlineStr">
        <is>
          <t>Deferred tax liability</t>
        </is>
      </c>
      <c r="C26" s="117" t="str">
        <f>UNIT_LBL</f>
        <v>ETB '000</v>
      </c>
      <c r="D26" s="189">
        <f>R26</f>
        <v>9484655.25659078</v>
      </c>
      <c r="E26" s="193">
        <f>MAX(0,'28_Tax'!E61)</f>
        <v>0</v>
      </c>
      <c r="F26" s="193">
        <f>MAX(0,'28_Tax'!F61)</f>
        <v>0</v>
      </c>
      <c r="G26" s="193">
        <f>MAX(0,'28_Tax'!G61)</f>
        <v>0</v>
      </c>
      <c r="H26" s="193">
        <f>MAX(0,'28_Tax'!H61)</f>
        <v>0</v>
      </c>
      <c r="I26" s="193">
        <f>MAX(0,'28_Tax'!I61)</f>
        <v>1865936.26701884</v>
      </c>
      <c r="J26" s="193">
        <f>MAX(0,'28_Tax'!J61)</f>
        <v>3393572.39967309</v>
      </c>
      <c r="K26" s="193">
        <f>MAX(0,'28_Tax'!K61)</f>
        <v>4650568.42483567</v>
      </c>
      <c r="L26" s="193">
        <f>MAX(0,'28_Tax'!L61)</f>
        <v>5691052.3640049</v>
      </c>
      <c r="M26" s="193">
        <f>MAX(0,'28_Tax'!M61)</f>
        <v>6558326.63437947</v>
      </c>
      <c r="N26" s="193">
        <f>MAX(0,'28_Tax'!N61)</f>
        <v>7287033.1697183</v>
      </c>
      <c r="O26" s="193">
        <f>MAX(0,'28_Tax'!O61)</f>
        <v>7904885.51702853</v>
      </c>
      <c r="P26" s="193">
        <f>MAX(0,'28_Tax'!P61)</f>
        <v>8497692.33186503</v>
      </c>
      <c r="Q26" s="193">
        <f>MAX(0,'28_Tax'!Q61)</f>
        <v>9019552.46636323</v>
      </c>
      <c r="R26" s="193">
        <f>MAX(0,'28_Tax'!R61)</f>
        <v>9484655.25659078</v>
      </c>
    </row>
    <row r="27">
      <c r="B27" s="36" t="inlineStr">
        <is>
          <t>Deferred income – key money</t>
        </is>
      </c>
      <c r="C27" s="117" t="str">
        <f>UNIT_LBL</f>
        <v>ETB '000</v>
      </c>
      <c r="D27" s="189">
        <f>R27</f>
        <v>0</v>
      </c>
      <c r="E27" s="190">
        <f>'30_WorkingCap'!E19</f>
        <v>0</v>
      </c>
      <c r="F27" s="190">
        <f>'30_WorkingCap'!F19</f>
        <v>0</v>
      </c>
      <c r="G27" s="190">
        <f>'30_WorkingCap'!G19</f>
        <v>0</v>
      </c>
      <c r="H27" s="190">
        <f>'30_WorkingCap'!H19</f>
        <v>0</v>
      </c>
      <c r="I27" s="190">
        <f>'30_WorkingCap'!I19</f>
        <v>7715146.02089327</v>
      </c>
      <c r="J27" s="190">
        <f>'30_WorkingCap'!J19</f>
        <v>5786359.51566995</v>
      </c>
      <c r="K27" s="190">
        <f>'30_WorkingCap'!K19</f>
        <v>3857573.01044664</v>
      </c>
      <c r="L27" s="190">
        <f>'30_WorkingCap'!L19</f>
        <v>1928786.50522332</v>
      </c>
      <c r="M27" s="190">
        <f>'30_WorkingCap'!M19</f>
        <v>0</v>
      </c>
      <c r="N27" s="190">
        <f>'30_WorkingCap'!N19</f>
        <v>0</v>
      </c>
      <c r="O27" s="190">
        <f>'30_WorkingCap'!O19</f>
        <v>0</v>
      </c>
      <c r="P27" s="190">
        <f>'30_WorkingCap'!P19</f>
        <v>0</v>
      </c>
      <c r="Q27" s="190">
        <f>'30_WorkingCap'!Q19</f>
        <v>0</v>
      </c>
      <c r="R27" s="190">
        <f>'30_WorkingCap'!R19</f>
        <v>0</v>
      </c>
    </row>
    <row r="28">
      <c r="B28" s="36" t="inlineStr">
        <is>
          <t>Retention payable</t>
        </is>
      </c>
      <c r="C28" s="117" t="str">
        <f>UNIT_LBL</f>
        <v>ETB '000</v>
      </c>
      <c r="D28" s="189">
        <f>R28</f>
        <v>0</v>
      </c>
      <c r="E28" s="190">
        <f>'30_WorkingCap'!E15</f>
        <v>4542669.15795262</v>
      </c>
      <c r="F28" s="190">
        <f>'30_WorkingCap'!F15</f>
        <v>14902468.7852445</v>
      </c>
      <c r="G28" s="190">
        <f>'30_WorkingCap'!G15</f>
        <v>15966117.4361199</v>
      </c>
      <c r="H28" s="190">
        <f>'30_WorkingCap'!H15</f>
        <v>15966117.4361199</v>
      </c>
      <c r="I28" s="190">
        <f>'30_WorkingCap'!I15</f>
        <v>0</v>
      </c>
      <c r="J28" s="190">
        <f>'30_WorkingCap'!J15</f>
        <v>0</v>
      </c>
      <c r="K28" s="190">
        <f>'30_WorkingCap'!K15</f>
        <v>0</v>
      </c>
      <c r="L28" s="190">
        <f>'30_WorkingCap'!L15</f>
        <v>0</v>
      </c>
      <c r="M28" s="190">
        <f>'30_WorkingCap'!M15</f>
        <v>0</v>
      </c>
      <c r="N28" s="190">
        <f>'30_WorkingCap'!N15</f>
        <v>0</v>
      </c>
      <c r="O28" s="190">
        <f>'30_WorkingCap'!O15</f>
        <v>0</v>
      </c>
      <c r="P28" s="190">
        <f>'30_WorkingCap'!P15</f>
        <v>0</v>
      </c>
      <c r="Q28" s="190">
        <f>'30_WorkingCap'!Q15</f>
        <v>0</v>
      </c>
      <c r="R28" s="190">
        <f>'30_WorkingCap'!R15</f>
        <v>0</v>
      </c>
    </row>
    <row r="29">
      <c r="B29" s="36" t="inlineStr">
        <is>
          <t>Trade payables</t>
        </is>
      </c>
      <c r="C29" s="117" t="str">
        <f>UNIT_LBL</f>
        <v>ETB '000</v>
      </c>
      <c r="D29" s="189">
        <f>R29</f>
        <v>1324693.17540922</v>
      </c>
      <c r="E29" s="190">
        <f>'30_WorkingCap'!E12</f>
        <v>88385.0148905439</v>
      </c>
      <c r="F29" s="190">
        <f>'30_WorkingCap'!F12</f>
        <v>97223.5163795983</v>
      </c>
      <c r="G29" s="190">
        <f>'30_WorkingCap'!G12</f>
        <v>83518.474151905</v>
      </c>
      <c r="H29" s="190">
        <f>'30_WorkingCap'!H12</f>
        <v>0</v>
      </c>
      <c r="I29" s="190">
        <f>'30_WorkingCap'!I12</f>
        <v>557266.231680778</v>
      </c>
      <c r="J29" s="190">
        <f>'30_WorkingCap'!J12</f>
        <v>680295.036097897</v>
      </c>
      <c r="K29" s="190">
        <f>'30_WorkingCap'!K12</f>
        <v>741293.343301538</v>
      </c>
      <c r="L29" s="190">
        <f>'30_WorkingCap'!L12</f>
        <v>805215.653587936</v>
      </c>
      <c r="M29" s="190">
        <f>'30_WorkingCap'!M12</f>
        <v>874713.632979474</v>
      </c>
      <c r="N29" s="190">
        <f>'30_WorkingCap'!N12</f>
        <v>950279.523432785</v>
      </c>
      <c r="O29" s="190">
        <f>'30_WorkingCap'!O12</f>
        <v>1032449.56510386</v>
      </c>
      <c r="P29" s="190">
        <f>'30_WorkingCap'!P12</f>
        <v>1121807.97808826</v>
      </c>
      <c r="Q29" s="190">
        <f>'30_WorkingCap'!Q12</f>
        <v>1218991.30888902</v>
      </c>
      <c r="R29" s="190">
        <f>'30_WorkingCap'!R12</f>
        <v>1324693.17540922</v>
      </c>
    </row>
    <row r="30">
      <c r="B30" s="36" t="inlineStr">
        <is>
          <t>Contract liability – customer advances (IFRS 15)</t>
        </is>
      </c>
      <c r="C30" s="117" t="str">
        <f>UNIT_LBL</f>
        <v>ETB '000</v>
      </c>
      <c r="D30" s="189">
        <f>R30</f>
        <v>0</v>
      </c>
      <c r="E30" s="190">
        <f>'30_WorkingCap'!E17</f>
        <v>45495619.8442992</v>
      </c>
      <c r="F30" s="190">
        <f>'30_WorkingCap'!F17</f>
        <v>152763100.001259</v>
      </c>
      <c r="G30" s="190">
        <f>'30_WorkingCap'!G17</f>
        <v>0</v>
      </c>
      <c r="H30" s="190">
        <f>'30_WorkingCap'!H17</f>
        <v>0</v>
      </c>
      <c r="I30" s="190">
        <f>'30_WorkingCap'!I17</f>
        <v>0</v>
      </c>
      <c r="J30" s="190">
        <f>'30_WorkingCap'!J17</f>
        <v>0</v>
      </c>
      <c r="K30" s="190">
        <f>'30_WorkingCap'!K17</f>
        <v>0</v>
      </c>
      <c r="L30" s="190">
        <f>'30_WorkingCap'!L17</f>
        <v>0</v>
      </c>
      <c r="M30" s="190">
        <f>'30_WorkingCap'!M17</f>
        <v>0</v>
      </c>
      <c r="N30" s="190">
        <f>'30_WorkingCap'!N17</f>
        <v>0</v>
      </c>
      <c r="O30" s="190">
        <f>'30_WorkingCap'!O17</f>
        <v>0</v>
      </c>
      <c r="P30" s="190">
        <f>'30_WorkingCap'!P17</f>
        <v>0</v>
      </c>
      <c r="Q30" s="190">
        <f>'30_WorkingCap'!Q17</f>
        <v>0</v>
      </c>
      <c r="R30" s="190">
        <f>'30_WorkingCap'!R17</f>
        <v>0</v>
      </c>
    </row>
    <row r="31">
      <c r="B31" s="36" t="inlineStr">
        <is>
          <t>Income tax payable</t>
        </is>
      </c>
      <c r="C31" s="117" t="str">
        <f>UNIT_LBL</f>
        <v>ETB '000</v>
      </c>
      <c r="D31" s="189">
        <f>R31</f>
        <v>12603572.3280672</v>
      </c>
      <c r="E31" s="190">
        <f>'28_Tax'!E70</f>
        <v>0</v>
      </c>
      <c r="F31" s="190">
        <f>'28_Tax'!F70</f>
        <v>0</v>
      </c>
      <c r="G31" s="190">
        <f>'28_Tax'!G70</f>
        <v>3344648.32248809</v>
      </c>
      <c r="H31" s="190">
        <f>'28_Tax'!H70</f>
        <v>0</v>
      </c>
      <c r="I31" s="190">
        <f>'28_Tax'!I70</f>
        <v>2141587.45073166</v>
      </c>
      <c r="J31" s="190">
        <f>'28_Tax'!J70</f>
        <v>7001411.00972443</v>
      </c>
      <c r="K31" s="190">
        <f>'28_Tax'!K70</f>
        <v>4091106.51544189</v>
      </c>
      <c r="L31" s="190">
        <f>'28_Tax'!L70</f>
        <v>5240849.08036324</v>
      </c>
      <c r="M31" s="190">
        <f>'28_Tax'!M70</f>
        <v>6418738.1936987</v>
      </c>
      <c r="N31" s="190">
        <f>'28_Tax'!N70</f>
        <v>7000188.50002209</v>
      </c>
      <c r="O31" s="190">
        <f>'28_Tax'!O70</f>
        <v>8279142.1737598</v>
      </c>
      <c r="P31" s="190">
        <f>'28_Tax'!P70</f>
        <v>9636068.005754</v>
      </c>
      <c r="Q31" s="190">
        <f>'28_Tax'!Q70</f>
        <v>11070834.3716562</v>
      </c>
      <c r="R31" s="190">
        <f>'28_Tax'!R70</f>
        <v>12603572.3280672</v>
      </c>
    </row>
    <row r="32">
      <c r="B32" s="97" t="inlineStr">
        <is>
          <t>TOTAL LIABILITIES</t>
        </is>
      </c>
      <c r="C32" s="180" t="str">
        <f>UNIT_LBL</f>
        <v>ETB '000</v>
      </c>
      <c r="D32" s="191">
        <f>R32</f>
        <v>104412920.760067</v>
      </c>
      <c r="E32" s="192">
        <f>E24+E25+E26+E27+E28+E29+E30+E31</f>
        <v>185126674.017142</v>
      </c>
      <c r="F32" s="192">
        <f>F24+F25+F26+F27+F28+F29+F30+F31</f>
        <v>410033640.587668</v>
      </c>
      <c r="G32" s="192">
        <f>G24+G25+G26+G27+G28+G29+G30+G31</f>
        <v>278544178.336961</v>
      </c>
      <c r="H32" s="192">
        <f>H24+H25+H26+H27+H28+H29+H30+H31</f>
        <v>275116011.540321</v>
      </c>
      <c r="I32" s="192">
        <f>I24+I25+I26+I27+I28+I29+I30+I31</f>
        <v>188192836.082907</v>
      </c>
      <c r="J32" s="192">
        <f>J24+J25+J26+J27+J28+J29+J30+J31</f>
        <v>156224607.180246</v>
      </c>
      <c r="K32" s="192">
        <f>K24+K25+K26+K27+K28+K29+K30+K31</f>
        <v>146625283.294793</v>
      </c>
      <c r="L32" s="192">
        <f>L24+L25+L26+L27+L28+L29+L30+L31</f>
        <v>140622031.982422</v>
      </c>
      <c r="M32" s="192">
        <f>M24+M25+M26+M27+M28+M29+M30+M31</f>
        <v>134189182.908774</v>
      </c>
      <c r="N32" s="192">
        <f>N24+N25+N26+N27+N28+N29+N30+N31</f>
        <v>128620045.278274</v>
      </c>
      <c r="O32" s="192">
        <f>O24+O25+O26+O27+O28+O29+O30+O31</f>
        <v>123254696.362985</v>
      </c>
      <c r="P32" s="192">
        <f>P24+P25+P26+P27+P28+P29+P30+P31</f>
        <v>117498209.106526</v>
      </c>
      <c r="Q32" s="192">
        <f>Q24+Q25+Q26+Q27+Q28+Q29+Q30+Q31</f>
        <v>111233595.753781</v>
      </c>
      <c r="R32" s="192">
        <f>R24+R25+R26+R27+R28+R29+R30+R31</f>
        <v>104412920.760067</v>
      </c>
    </row>
    <row r="33" ht="20" customHeight="1">
      <c r="B33" s="113" t="inlineStr">
        <is>
          <t>Equity</t>
        </is>
      </c>
      <c r="C33" s="37" t="inlineStr">
        <is>
          <t>የባለቤት ሀብት</t>
        </is>
      </c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</row>
    <row r="34">
      <c r="B34" s="36" t="inlineStr">
        <is>
          <t>Share capital / owner contributions</t>
        </is>
      </c>
      <c r="C34" s="117" t="str">
        <f>UNIT_LBL</f>
        <v>ETB '000</v>
      </c>
      <c r="D34" s="189">
        <f>R34</f>
        <v>0</v>
      </c>
      <c r="E34" s="193">
        <f>0+'42_CF'!E28+IF(LAND_TYPE=2,LAND_TOT,0)-'42_CF'!E41</f>
        <v>102968903.509016</v>
      </c>
      <c r="F34" s="193">
        <f>E34+'42_CF'!F28+0-'42_CF'!F41</f>
        <v>176878493.455735</v>
      </c>
      <c r="G34" s="193">
        <f>F34+'42_CF'!G28+0-'42_CF'!G41</f>
        <v>176878493.455735</v>
      </c>
      <c r="H34" s="193">
        <f>G34+'42_CF'!H28+0-'42_CF'!H41</f>
        <v>176878493.455735</v>
      </c>
      <c r="I34" s="193">
        <f>H34+'42_CF'!I28+0-'42_CF'!I41</f>
        <v>0</v>
      </c>
      <c r="J34" s="193">
        <f>I34+'42_CF'!J28+0-'42_CF'!J41</f>
        <v>0</v>
      </c>
      <c r="K34" s="193">
        <f>J34+'42_CF'!K28+0-'42_CF'!K41</f>
        <v>0</v>
      </c>
      <c r="L34" s="193">
        <f>K34+'42_CF'!L28+0-'42_CF'!L41</f>
        <v>0</v>
      </c>
      <c r="M34" s="193">
        <f>L34+'42_CF'!M28+0-'42_CF'!M41</f>
        <v>0</v>
      </c>
      <c r="N34" s="193">
        <f>M34+'42_CF'!N28+0-'42_CF'!N41</f>
        <v>0</v>
      </c>
      <c r="O34" s="193">
        <f>N34+'42_CF'!O28+0-'42_CF'!O41</f>
        <v>0</v>
      </c>
      <c r="P34" s="193">
        <f>O34+'42_CF'!P28+0-'42_CF'!P41</f>
        <v>0</v>
      </c>
      <c r="Q34" s="193">
        <f>P34+'42_CF'!Q28+0-'42_CF'!Q41</f>
        <v>0</v>
      </c>
      <c r="R34" s="193">
        <f>Q34+'42_CF'!R28+0-'42_CF'!R41</f>
        <v>0</v>
      </c>
    </row>
    <row r="35">
      <c r="B35" s="36" t="inlineStr">
        <is>
          <t>Legal reserve</t>
        </is>
      </c>
      <c r="C35" s="117" t="str">
        <f>UNIT_LBL</f>
        <v>ETB '000</v>
      </c>
      <c r="D35" s="189">
        <f>R35</f>
        <v>1094280.60799457</v>
      </c>
      <c r="E35" s="190">
        <f>'40_PL'!E45</f>
        <v>0</v>
      </c>
      <c r="F35" s="190">
        <f>'40_PL'!F45</f>
        <v>0</v>
      </c>
      <c r="G35" s="190">
        <f>'40_PL'!G45</f>
        <v>690645.125631205</v>
      </c>
      <c r="H35" s="190">
        <f>'40_PL'!H45</f>
        <v>690645.125631205</v>
      </c>
      <c r="I35" s="190">
        <f>'40_PL'!I45</f>
        <v>1094280.60799457</v>
      </c>
      <c r="J35" s="190">
        <f>'40_PL'!J45</f>
        <v>1094280.60799457</v>
      </c>
      <c r="K35" s="190">
        <f>'40_PL'!K45</f>
        <v>1094280.60799457</v>
      </c>
      <c r="L35" s="190">
        <f>'40_PL'!L45</f>
        <v>1094280.60799457</v>
      </c>
      <c r="M35" s="190">
        <f>'40_PL'!M45</f>
        <v>1094280.60799457</v>
      </c>
      <c r="N35" s="190">
        <f>'40_PL'!N45</f>
        <v>1094280.60799457</v>
      </c>
      <c r="O35" s="190">
        <f>'40_PL'!O45</f>
        <v>1094280.60799457</v>
      </c>
      <c r="P35" s="190">
        <f>'40_PL'!P45</f>
        <v>1094280.60799457</v>
      </c>
      <c r="Q35" s="190">
        <f>'40_PL'!Q45</f>
        <v>1094280.60799457</v>
      </c>
      <c r="R35" s="190">
        <f>'40_PL'!R45</f>
        <v>1094280.60799457</v>
      </c>
    </row>
    <row r="36">
      <c r="B36" s="36" t="inlineStr">
        <is>
          <t>Retained earnings</t>
        </is>
      </c>
      <c r="C36" s="117" t="str">
        <f>UNIT_LBL</f>
        <v>ETB '000</v>
      </c>
      <c r="D36" s="189">
        <f>R36</f>
        <v>8501394.31076371</v>
      </c>
      <c r="E36" s="193">
        <f>(1-NCI_PCT)*'40_PL'!E47</f>
        <v>-752745.710151132</v>
      </c>
      <c r="F36" s="193">
        <f>(1-NCI_PCT)*'40_PL'!F47</f>
        <v>-8195765.99131738</v>
      </c>
      <c r="G36" s="193">
        <f>(1-NCI_PCT)*'40_PL'!G47</f>
        <v>4926491.39567551</v>
      </c>
      <c r="H36" s="193">
        <f>(1-NCI_PCT)*'40_PL'!H47</f>
        <v>4926491.39567551</v>
      </c>
      <c r="I36" s="193">
        <f>(1-NCI_PCT)*'40_PL'!I47</f>
        <v>2861133.71502094</v>
      </c>
      <c r="J36" s="193">
        <f>(1-NCI_PCT)*'40_PL'!J47</f>
        <v>0</v>
      </c>
      <c r="K36" s="193">
        <f>(1-NCI_PCT)*'40_PL'!K47</f>
        <v>0</v>
      </c>
      <c r="L36" s="193">
        <f>(1-NCI_PCT)*'40_PL'!L47</f>
        <v>0</v>
      </c>
      <c r="M36" s="193">
        <f>(1-NCI_PCT)*'40_PL'!M47</f>
        <v>0</v>
      </c>
      <c r="N36" s="193">
        <f>(1-NCI_PCT)*'40_PL'!N47</f>
        <v>0</v>
      </c>
      <c r="O36" s="193">
        <f>(1-NCI_PCT)*'40_PL'!O47</f>
        <v>0</v>
      </c>
      <c r="P36" s="193">
        <f>(1-NCI_PCT)*'40_PL'!P47</f>
        <v>2669300.54440076</v>
      </c>
      <c r="Q36" s="193">
        <f>(1-NCI_PCT)*'40_PL'!Q47</f>
        <v>6505907.08458974</v>
      </c>
      <c r="R36" s="193">
        <f>(1-NCI_PCT)*'40_PL'!R47</f>
        <v>8501394.31076371</v>
      </c>
    </row>
    <row r="37">
      <c r="B37" s="97" t="inlineStr">
        <is>
          <t>Equity attributable to owners</t>
        </is>
      </c>
      <c r="C37" s="180" t="str">
        <f>UNIT_LBL</f>
        <v>ETB '000</v>
      </c>
      <c r="D37" s="191">
        <f>R37</f>
        <v>9595674.91875827</v>
      </c>
      <c r="E37" s="192">
        <f>E34+E35+E36</f>
        <v>102216157.798865</v>
      </c>
      <c r="F37" s="192">
        <f>F34+F35+F36</f>
        <v>168682727.464418</v>
      </c>
      <c r="G37" s="192">
        <f>G34+G35+G36</f>
        <v>182495629.977042</v>
      </c>
      <c r="H37" s="192">
        <f>H34+H35+H36</f>
        <v>182495629.977042</v>
      </c>
      <c r="I37" s="192">
        <f>I34+I35+I36</f>
        <v>3955414.32301551</v>
      </c>
      <c r="J37" s="192">
        <f>J34+J35+J36</f>
        <v>1094280.60799457</v>
      </c>
      <c r="K37" s="192">
        <f>K34+K35+K36</f>
        <v>1094280.60799457</v>
      </c>
      <c r="L37" s="192">
        <f>L34+L35+L36</f>
        <v>1094280.60799457</v>
      </c>
      <c r="M37" s="192">
        <f>M34+M35+M36</f>
        <v>1094280.60799457</v>
      </c>
      <c r="N37" s="192">
        <f>N34+N35+N36</f>
        <v>1094280.60799457</v>
      </c>
      <c r="O37" s="192">
        <f>O34+O35+O36</f>
        <v>1094280.60799457</v>
      </c>
      <c r="P37" s="192">
        <f>P34+P35+P36</f>
        <v>3763581.15239532</v>
      </c>
      <c r="Q37" s="192">
        <f>Q34+Q35+Q36</f>
        <v>7600187.6925843</v>
      </c>
      <c r="R37" s="192">
        <f>R34+R35+R36</f>
        <v>9595674.91875827</v>
      </c>
    </row>
    <row r="38">
      <c r="B38" s="36" t="inlineStr">
        <is>
          <t>Non-controlling interest (in-kind land partner)</t>
        </is>
      </c>
      <c r="C38" s="117" t="str">
        <f>UNIT_LBL</f>
        <v>ETB '000</v>
      </c>
      <c r="D38" s="189">
        <f>R38</f>
        <v>0</v>
      </c>
      <c r="E38" s="193">
        <f>IF(LAND_TYPE=3,LAND_TOT,0)+NCI_PCT*'40_PL'!E47</f>
        <v>0</v>
      </c>
      <c r="F38" s="193">
        <f>IF(LAND_TYPE=3,LAND_TOT,0)+NCI_PCT*'40_PL'!F47</f>
        <v>0</v>
      </c>
      <c r="G38" s="193">
        <f>IF(LAND_TYPE=3,LAND_TOT,0)+NCI_PCT*'40_PL'!G47</f>
        <v>0</v>
      </c>
      <c r="H38" s="193">
        <f>IF(LAND_TYPE=3,LAND_TOT,0)+NCI_PCT*'40_PL'!H47</f>
        <v>0</v>
      </c>
      <c r="I38" s="193">
        <f>IF(LAND_TYPE=3,LAND_TOT,0)+NCI_PCT*'40_PL'!I47</f>
        <v>0</v>
      </c>
      <c r="J38" s="193">
        <f>IF(LAND_TYPE=3,LAND_TOT,0)+NCI_PCT*'40_PL'!J47</f>
        <v>0</v>
      </c>
      <c r="K38" s="193">
        <f>IF(LAND_TYPE=3,LAND_TOT,0)+NCI_PCT*'40_PL'!K47</f>
        <v>0</v>
      </c>
      <c r="L38" s="193">
        <f>IF(LAND_TYPE=3,LAND_TOT,0)+NCI_PCT*'40_PL'!L47</f>
        <v>0</v>
      </c>
      <c r="M38" s="193">
        <f>IF(LAND_TYPE=3,LAND_TOT,0)+NCI_PCT*'40_PL'!M47</f>
        <v>0</v>
      </c>
      <c r="N38" s="193">
        <f>IF(LAND_TYPE=3,LAND_TOT,0)+NCI_PCT*'40_PL'!N47</f>
        <v>0</v>
      </c>
      <c r="O38" s="193">
        <f>IF(LAND_TYPE=3,LAND_TOT,0)+NCI_PCT*'40_PL'!O47</f>
        <v>0</v>
      </c>
      <c r="P38" s="193">
        <f>IF(LAND_TYPE=3,LAND_TOT,0)+NCI_PCT*'40_PL'!P47</f>
        <v>0</v>
      </c>
      <c r="Q38" s="193">
        <f>IF(LAND_TYPE=3,LAND_TOT,0)+NCI_PCT*'40_PL'!Q47</f>
        <v>0</v>
      </c>
      <c r="R38" s="193">
        <f>IF(LAND_TYPE=3,LAND_TOT,0)+NCI_PCT*'40_PL'!R47</f>
        <v>0</v>
      </c>
    </row>
    <row r="39">
      <c r="B39" s="97" t="inlineStr">
        <is>
          <t>TOTAL EQUITY</t>
        </is>
      </c>
      <c r="C39" s="180" t="str">
        <f>UNIT_LBL</f>
        <v>ETB '000</v>
      </c>
      <c r="D39" s="191">
        <f>R39</f>
        <v>9595674.91875827</v>
      </c>
      <c r="E39" s="192">
        <f>E37+E38</f>
        <v>102216157.798865</v>
      </c>
      <c r="F39" s="192">
        <f>F37+F38</f>
        <v>168682727.464418</v>
      </c>
      <c r="G39" s="192">
        <f>G37+G38</f>
        <v>182495629.977042</v>
      </c>
      <c r="H39" s="192">
        <f>H37+H38</f>
        <v>182495629.977042</v>
      </c>
      <c r="I39" s="192">
        <f>I37+I38</f>
        <v>3955414.32301551</v>
      </c>
      <c r="J39" s="192">
        <f>J37+J38</f>
        <v>1094280.60799457</v>
      </c>
      <c r="K39" s="192">
        <f>K37+K38</f>
        <v>1094280.60799457</v>
      </c>
      <c r="L39" s="192">
        <f>L37+L38</f>
        <v>1094280.60799457</v>
      </c>
      <c r="M39" s="192">
        <f>M37+M38</f>
        <v>1094280.60799457</v>
      </c>
      <c r="N39" s="192">
        <f>N37+N38</f>
        <v>1094280.60799457</v>
      </c>
      <c r="O39" s="192">
        <f>O37+O38</f>
        <v>1094280.60799457</v>
      </c>
      <c r="P39" s="192">
        <f>P37+P38</f>
        <v>3763581.15239532</v>
      </c>
      <c r="Q39" s="192">
        <f>Q37+Q38</f>
        <v>7600187.6925843</v>
      </c>
      <c r="R39" s="192">
        <f>R37+R38</f>
        <v>9595674.91875827</v>
      </c>
    </row>
    <row r="40">
      <c r="B40" s="183" t="inlineStr">
        <is>
          <t>TOTAL LIABILITIES AND EQUITY</t>
        </is>
      </c>
      <c r="C40" s="184" t="str">
        <f>UNIT_LBL</f>
        <v>ETB '000</v>
      </c>
      <c r="D40" s="195">
        <f>R40</f>
        <v>114008595.678825</v>
      </c>
      <c r="E40" s="196">
        <f>E32+E39</f>
        <v>287342831.816007</v>
      </c>
      <c r="F40" s="196">
        <f>F32+F39</f>
        <v>578716368.052085</v>
      </c>
      <c r="G40" s="196">
        <f>G32+G39</f>
        <v>461039808.314003</v>
      </c>
      <c r="H40" s="196">
        <f>H32+H39</f>
        <v>457611641.517363</v>
      </c>
      <c r="I40" s="196">
        <f>I32+I39</f>
        <v>192148250.405922</v>
      </c>
      <c r="J40" s="196">
        <f>J32+J39</f>
        <v>157318887.788241</v>
      </c>
      <c r="K40" s="196">
        <f>K32+K39</f>
        <v>147719563.902788</v>
      </c>
      <c r="L40" s="196">
        <f>L32+L39</f>
        <v>141716312.590417</v>
      </c>
      <c r="M40" s="196">
        <f>M32+M39</f>
        <v>135283463.516769</v>
      </c>
      <c r="N40" s="196">
        <f>N32+N39</f>
        <v>129714325.886269</v>
      </c>
      <c r="O40" s="196">
        <f>O32+O39</f>
        <v>124348976.97098</v>
      </c>
      <c r="P40" s="196">
        <f>P32+P39</f>
        <v>121261790.258921</v>
      </c>
      <c r="Q40" s="196">
        <f>Q32+Q39</f>
        <v>118833783.446366</v>
      </c>
      <c r="R40" s="196">
        <f>R32+R39</f>
        <v>114008595.678825</v>
      </c>
    </row>
    <row r="41">
      <c r="B41" s="141" t="inlineStr">
        <is>
          <t>Balance check (assets − liabilities − equity)</t>
        </is>
      </c>
      <c r="C41" s="117" t="str">
        <f>UNIT_LBL</f>
        <v>ETB '000</v>
      </c>
      <c r="D41" s="167">
        <f>SUM(E41:R41)</f>
        <v>0</v>
      </c>
      <c r="E41" s="197">
        <f>ROUND(E22-E40,2)</f>
        <v>0</v>
      </c>
      <c r="F41" s="197">
        <f>ROUND(F22-F40,2)</f>
        <v>0</v>
      </c>
      <c r="G41" s="197">
        <f>ROUND(G22-G40,2)</f>
        <v>0</v>
      </c>
      <c r="H41" s="197">
        <f>ROUND(H22-H40,2)</f>
        <v>0</v>
      </c>
      <c r="I41" s="197">
        <f>ROUND(I22-I40,2)</f>
        <v>0</v>
      </c>
      <c r="J41" s="197">
        <f>ROUND(J22-J40,2)</f>
        <v>0</v>
      </c>
      <c r="K41" s="197">
        <f>ROUND(K22-K40,2)</f>
        <v>0</v>
      </c>
      <c r="L41" s="197">
        <f>ROUND(L22-L40,2)</f>
        <v>0</v>
      </c>
      <c r="M41" s="197">
        <f>ROUND(M22-M40,2)</f>
        <v>0</v>
      </c>
      <c r="N41" s="197">
        <f>ROUND(N22-N40,2)</f>
        <v>0</v>
      </c>
      <c r="O41" s="197">
        <f>ROUND(O22-O40,2)</f>
        <v>0</v>
      </c>
      <c r="P41" s="197">
        <f>ROUND(P22-P40,2)</f>
        <v>0</v>
      </c>
      <c r="Q41" s="197">
        <f>ROUND(Q22-Q40,2)</f>
        <v>0</v>
      </c>
      <c r="R41" s="197">
        <f>ROUND(R22-R40,2)</f>
        <v>0</v>
      </c>
    </row>
    <row r="43">
      <c r="B43" s="36" t="inlineStr">
        <is>
          <t>NCI share (land in-kind ÷ total equity)</t>
        </is>
      </c>
      <c r="C43" s="117" t="inlineStr">
        <is>
          <t>%</t>
        </is>
      </c>
      <c r="D43" s="154">
        <f>IF(AND(LAND_TYPE=3,LAND_TOT+EQ_DRAWN+FUND_GAP&gt;0),LAND_TOT/(LAND_TOT+EQ_DRAWN+FUND_GAP),0)</f>
        <v>0</v>
      </c>
    </row>
  </sheetData>
  <conditionalFormatting sqref="B5:R5">
    <cfRule type="expression" priority="1" dxfId="7">
      <formula>PROJECT_MODE=0</formula>
    </cfRule>
  </conditionalFormatting>
  <conditionalFormatting sqref="D11:R11 D12:R12 D13:R13 D14:R14 D15:R15 D16:R16 D17:R17 D18:R18 D19:R19 D20:R20 D21:R21 D22:R22 D24:R24 D25:R25 D26:R26 D27:R27 D28:R28 D29:R29 D30:R30 D31:R31 D32:R32 D34:R34 D35:R35 D36:R36 D37:R37 D38:R38 D39:R39 D40:R40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48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42 · Cash flow statement (IAS 7, indirect)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የጥሬ ገንዘብ ፍሰት መግለጫ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>
      <c r="B10" s="36" t="inlineStr">
        <is>
          <t>Memo: development cash paid (capex − IDC − non-cash land − Δretention)</t>
        </is>
      </c>
      <c r="C10" s="117" t="str">
        <f>UNIT_LBL</f>
        <v>ETB '000</v>
      </c>
      <c r="D10" s="189">
        <f>SUM(E10:R10)</f>
        <v>398124749.458511</v>
      </c>
      <c r="E10" s="193">
        <f>'26_Assets'!E11-'26_Assets'!E12-(LAND_TOT-LANDCASH_TOT)-('30_WorkingCap'!E15-0)</f>
        <v>127857996.721498</v>
      </c>
      <c r="F10" s="193">
        <f>'26_Assets'!F11-'26_Assets'!F12-0-('30_WorkingCap'!F15-'30_WorkingCap'!E15)</f>
        <v>224978635.765085</v>
      </c>
      <c r="G10" s="193">
        <f>'26_Assets'!G11-'26_Assets'!G12-0-('30_WorkingCap'!G15-'30_WorkingCap'!F15)</f>
        <v>29321999.5358068</v>
      </c>
      <c r="H10" s="193">
        <f>'26_Assets'!H11-'26_Assets'!H12-0-('30_WorkingCap'!H15-'30_WorkingCap'!G15)</f>
        <v>0</v>
      </c>
      <c r="I10" s="193">
        <f>'26_Assets'!I11-'26_Assets'!I12-0-('30_WorkingCap'!I15-'30_WorkingCap'!H15)</f>
        <v>15966117.4361199</v>
      </c>
      <c r="J10" s="193">
        <f>'26_Assets'!J11-'26_Assets'!J12-0-('30_WorkingCap'!J15-'30_WorkingCap'!I15)</f>
        <v>0</v>
      </c>
      <c r="K10" s="193">
        <f>'26_Assets'!K11-'26_Assets'!K12-0-('30_WorkingCap'!K15-'30_WorkingCap'!J15)</f>
        <v>0</v>
      </c>
      <c r="L10" s="193">
        <f>'26_Assets'!L11-'26_Assets'!L12-0-('30_WorkingCap'!L15-'30_WorkingCap'!K15)</f>
        <v>0</v>
      </c>
      <c r="M10" s="193">
        <f>'26_Assets'!M11-'26_Assets'!M12-0-('30_WorkingCap'!M15-'30_WorkingCap'!L15)</f>
        <v>0</v>
      </c>
      <c r="N10" s="193">
        <f>'26_Assets'!N11-'26_Assets'!N12-0-('30_WorkingCap'!N15-'30_WorkingCap'!M15)</f>
        <v>0</v>
      </c>
      <c r="O10" s="193">
        <f>'26_Assets'!O11-'26_Assets'!O12-0-('30_WorkingCap'!O15-'30_WorkingCap'!N15)</f>
        <v>0</v>
      </c>
      <c r="P10" s="193">
        <f>'26_Assets'!P11-'26_Assets'!P12-0-('30_WorkingCap'!P15-'30_WorkingCap'!O15)</f>
        <v>0</v>
      </c>
      <c r="Q10" s="193">
        <f>'26_Assets'!Q11-'26_Assets'!Q12-0-('30_WorkingCap'!Q15-'30_WorkingCap'!P15)</f>
        <v>0</v>
      </c>
      <c r="R10" s="193">
        <f>'26_Assets'!R11-'26_Assets'!R12-0-('30_WorkingCap'!R15-'30_WorkingCap'!Q15)</f>
        <v>0</v>
      </c>
    </row>
    <row r="11" ht="20" customHeight="1">
      <c r="B11" s="113" t="inlineStr">
        <is>
          <t>Operating activities</t>
        </is>
      </c>
      <c r="C11" s="37" t="inlineStr">
        <is>
          <t>ከሥራ እንቅስቃሴ</t>
        </is>
      </c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15" t="n"/>
      <c r="N11" s="115" t="n"/>
      <c r="O11" s="115" t="n"/>
      <c r="P11" s="115" t="n"/>
      <c r="Q11" s="115" t="n"/>
      <c r="R11" s="115" t="n"/>
    </row>
    <row r="12">
      <c r="B12" s="36" t="inlineStr">
        <is>
          <t>Profit before tax</t>
        </is>
      </c>
      <c r="C12" s="117" t="str">
        <f>UNIT_LBL</f>
        <v>ETB '000</v>
      </c>
      <c r="D12" s="189">
        <f>SUM(E12:R12)</f>
        <v>259060029.873682</v>
      </c>
      <c r="E12" s="190">
        <f>'40_PL'!E36</f>
        <v>-1075351.01450162</v>
      </c>
      <c r="F12" s="190">
        <f>'40_PL'!F36</f>
        <v>-10632886.1159518</v>
      </c>
      <c r="G12" s="190">
        <f>'40_PL'!G36</f>
        <v>20670021.9742482</v>
      </c>
      <c r="H12" s="190">
        <f>'40_PL'!H36</f>
        <v>0</v>
      </c>
      <c r="I12" s="190">
        <f>'40_PL'!I36</f>
        <v>12080233.3650177</v>
      </c>
      <c r="J12" s="190">
        <f>'40_PL'!J36</f>
        <v>25709861.5299041</v>
      </c>
      <c r="K12" s="190">
        <f>'40_PL'!K36</f>
        <v>16121258.7375055</v>
      </c>
      <c r="L12" s="190">
        <f>'40_PL'!L36</f>
        <v>18934377.9509648</v>
      </c>
      <c r="M12" s="190">
        <f>'40_PL'!M36</f>
        <v>21962872.1039331</v>
      </c>
      <c r="N12" s="190">
        <f>'40_PL'!N36</f>
        <v>23297892.2288937</v>
      </c>
      <c r="O12" s="190">
        <f>'40_PL'!O36</f>
        <v>26818997.8728658</v>
      </c>
      <c r="P12" s="190">
        <f>'40_PL'!P36</f>
        <v>30833802.516744</v>
      </c>
      <c r="Q12" s="190">
        <f>'40_PL'!Q36</f>
        <v>34944884.8782638</v>
      </c>
      <c r="R12" s="190">
        <f>'40_PL'!R36</f>
        <v>39394063.8457949</v>
      </c>
    </row>
    <row r="13">
      <c r="B13" s="36" t="inlineStr">
        <is>
          <t>Add: depreciation</t>
        </is>
      </c>
      <c r="C13" s="117" t="str">
        <f>UNIT_LBL</f>
        <v>ETB '000</v>
      </c>
      <c r="D13" s="189">
        <f>SUM(E13:R13)</f>
        <v>29031065.5816768</v>
      </c>
      <c r="E13" s="190">
        <f>'26_Assets'!E24</f>
        <v>0</v>
      </c>
      <c r="F13" s="190">
        <f>'26_Assets'!F24</f>
        <v>0</v>
      </c>
      <c r="G13" s="190">
        <f>'26_Assets'!G24</f>
        <v>0</v>
      </c>
      <c r="H13" s="190">
        <f>'26_Assets'!H24</f>
        <v>0</v>
      </c>
      <c r="I13" s="190">
        <f>'26_Assets'!I24</f>
        <v>2966744.37611681</v>
      </c>
      <c r="J13" s="190">
        <f>'26_Assets'!J24</f>
        <v>2966744.37611681</v>
      </c>
      <c r="K13" s="190">
        <f>'26_Assets'!K24</f>
        <v>2966744.37611681</v>
      </c>
      <c r="L13" s="190">
        <f>'26_Assets'!L24</f>
        <v>2966744.37611681</v>
      </c>
      <c r="M13" s="190">
        <f>'26_Assets'!M24</f>
        <v>2966744.37611681</v>
      </c>
      <c r="N13" s="190">
        <f>'26_Assets'!N24</f>
        <v>2966744.37611681</v>
      </c>
      <c r="O13" s="190">
        <f>'26_Assets'!O24</f>
        <v>2966744.37611681</v>
      </c>
      <c r="P13" s="190">
        <f>'26_Assets'!P24</f>
        <v>2754618.31628638</v>
      </c>
      <c r="Q13" s="190">
        <f>'26_Assets'!Q24</f>
        <v>2754618.31628638</v>
      </c>
      <c r="R13" s="190">
        <f>'26_Assets'!R24</f>
        <v>2754618.31628638</v>
      </c>
    </row>
    <row r="14">
      <c r="B14" s="36" t="inlineStr">
        <is>
          <t>Add: cost of sales released (non-cash)</t>
        </is>
      </c>
      <c r="C14" s="117" t="str">
        <f>UNIT_LBL</f>
        <v>ETB '000</v>
      </c>
      <c r="D14" s="189">
        <f>SUM(E14:R14)</f>
        <v>414382765.793035</v>
      </c>
      <c r="E14" s="190">
        <f>'24_Revenue'!E42</f>
        <v>0</v>
      </c>
      <c r="F14" s="190">
        <f>'24_Revenue'!F42</f>
        <v>0</v>
      </c>
      <c r="G14" s="190">
        <f>'24_Revenue'!G42</f>
        <v>290067936.055125</v>
      </c>
      <c r="H14" s="190">
        <f>'24_Revenue'!H42</f>
        <v>0</v>
      </c>
      <c r="I14" s="190">
        <f>'24_Revenue'!I42</f>
        <v>74588897.8427463</v>
      </c>
      <c r="J14" s="190">
        <f>'24_Revenue'!J42</f>
        <v>49725931.8951642</v>
      </c>
      <c r="K14" s="190">
        <f>'24_Revenue'!K42</f>
        <v>0</v>
      </c>
      <c r="L14" s="190">
        <f>'24_Revenue'!L42</f>
        <v>0</v>
      </c>
      <c r="M14" s="190">
        <f>'24_Revenue'!M42</f>
        <v>0</v>
      </c>
      <c r="N14" s="190">
        <f>'24_Revenue'!N42</f>
        <v>0</v>
      </c>
      <c r="O14" s="190">
        <f>'24_Revenue'!O42</f>
        <v>0</v>
      </c>
      <c r="P14" s="190">
        <f>'24_Revenue'!P42</f>
        <v>0</v>
      </c>
      <c r="Q14" s="190">
        <f>'24_Revenue'!Q42</f>
        <v>0</v>
      </c>
      <c r="R14" s="190">
        <f>'24_Revenue'!R42</f>
        <v>0</v>
      </c>
    </row>
    <row r="15">
      <c r="B15" s="36" t="inlineStr">
        <is>
          <t>Add: finance costs (shown in financing)</t>
        </is>
      </c>
      <c r="C15" s="117" t="str">
        <f>UNIT_LBL</f>
        <v>ETB '000</v>
      </c>
      <c r="D15" s="189">
        <f>SUM(E15:R15)</f>
        <v>131581347.160566</v>
      </c>
      <c r="E15" s="193">
        <f>'27_Loan'!E16+'27_Loan'!E23</f>
        <v>0</v>
      </c>
      <c r="F15" s="193">
        <f>'27_Loan'!F16+'27_Loan'!F23</f>
        <v>9450000</v>
      </c>
      <c r="G15" s="193">
        <f>'27_Loan'!G16+'27_Loan'!G23</f>
        <v>9135000</v>
      </c>
      <c r="H15" s="193">
        <f>'27_Loan'!H16+'27_Loan'!H23</f>
        <v>0</v>
      </c>
      <c r="I15" s="193">
        <f>'27_Loan'!I16+'27_Loan'!I23</f>
        <v>23389759.4817826</v>
      </c>
      <c r="J15" s="193">
        <f>'27_Loan'!J16+'27_Loan'!J23</f>
        <v>16496598.8933281</v>
      </c>
      <c r="K15" s="193">
        <f>'27_Loan'!K16+'27_Loan'!K23</f>
        <v>11458392.5322535</v>
      </c>
      <c r="L15" s="193">
        <f>'27_Loan'!L16+'27_Loan'!L23</f>
        <v>10893006.1290421</v>
      </c>
      <c r="M15" s="193">
        <f>'27_Loan'!M16+'27_Loan'!M23</f>
        <v>10287895.8190411</v>
      </c>
      <c r="N15" s="193">
        <f>'27_Loan'!N16+'27_Loan'!N23</f>
        <v>9636759.3879513</v>
      </c>
      <c r="O15" s="193">
        <f>'27_Loan'!O16+'27_Loan'!O23</f>
        <v>8932294.77255936</v>
      </c>
      <c r="P15" s="193">
        <f>'27_Loan'!P16+'27_Loan'!P23</f>
        <v>8166041.43429246</v>
      </c>
      <c r="Q15" s="193">
        <f>'27_Loan'!Q16+'27_Loan'!Q23</f>
        <v>7328196.56662176</v>
      </c>
      <c r="R15" s="193">
        <f>'27_Loan'!R16+'27_Loan'!R23</f>
        <v>6407402.14369405</v>
      </c>
    </row>
    <row r="16">
      <c r="B16" s="36" t="inlineStr">
        <is>
          <t>Increase in contract liability / (asset)</t>
        </is>
      </c>
      <c r="C16" s="117" t="str">
        <f>UNIT_LBL</f>
        <v>ETB '000</v>
      </c>
      <c r="D16" s="189">
        <f>SUM(E16:R16)</f>
        <v>0</v>
      </c>
      <c r="E16" s="193">
        <f>('24_Revenue'!E48-0)</f>
        <v>45495619.8442992</v>
      </c>
      <c r="F16" s="193">
        <f>('24_Revenue'!F48-'24_Revenue'!E48)</f>
        <v>107267480.15696</v>
      </c>
      <c r="G16" s="193">
        <f>('24_Revenue'!G48-'24_Revenue'!F48)</f>
        <v>-152763100.001259</v>
      </c>
      <c r="H16" s="193">
        <f>('24_Revenue'!H48-'24_Revenue'!G48)</f>
        <v>0</v>
      </c>
      <c r="I16" s="193">
        <f>('24_Revenue'!I48-'24_Revenue'!H48)</f>
        <v>0</v>
      </c>
      <c r="J16" s="193">
        <f>('24_Revenue'!J48-'24_Revenue'!I48)</f>
        <v>0</v>
      </c>
      <c r="K16" s="193">
        <f>('24_Revenue'!K48-'24_Revenue'!J48)</f>
        <v>0</v>
      </c>
      <c r="L16" s="193">
        <f>('24_Revenue'!L48-'24_Revenue'!K48)</f>
        <v>0</v>
      </c>
      <c r="M16" s="193">
        <f>('24_Revenue'!M48-'24_Revenue'!L48)</f>
        <v>0</v>
      </c>
      <c r="N16" s="193">
        <f>('24_Revenue'!N48-'24_Revenue'!M48)</f>
        <v>0</v>
      </c>
      <c r="O16" s="193">
        <f>('24_Revenue'!O48-'24_Revenue'!N48)</f>
        <v>0</v>
      </c>
      <c r="P16" s="193">
        <f>('24_Revenue'!P48-'24_Revenue'!O48)</f>
        <v>0</v>
      </c>
      <c r="Q16" s="193">
        <f>('24_Revenue'!Q48-'24_Revenue'!P48)</f>
        <v>0</v>
      </c>
      <c r="R16" s="193">
        <f>('24_Revenue'!R48-'24_Revenue'!Q48)</f>
        <v>0</v>
      </c>
    </row>
    <row r="17">
      <c r="B17" s="36" t="inlineStr">
        <is>
          <t>Increase in deferred key money</t>
        </is>
      </c>
      <c r="C17" s="117" t="str">
        <f>UNIT_LBL</f>
        <v>ETB '000</v>
      </c>
      <c r="D17" s="189">
        <f>SUM(E17:R17)</f>
        <v>0</v>
      </c>
      <c r="E17" s="193">
        <f>('24_Revenue'!E58-0)</f>
        <v>0</v>
      </c>
      <c r="F17" s="193">
        <f>('24_Revenue'!F58-'24_Revenue'!E58)</f>
        <v>0</v>
      </c>
      <c r="G17" s="193">
        <f>('24_Revenue'!G58-'24_Revenue'!F58)</f>
        <v>0</v>
      </c>
      <c r="H17" s="193">
        <f>('24_Revenue'!H58-'24_Revenue'!G58)</f>
        <v>0</v>
      </c>
      <c r="I17" s="193">
        <f>('24_Revenue'!I58-'24_Revenue'!H58)</f>
        <v>7715146.02089327</v>
      </c>
      <c r="J17" s="193">
        <f>('24_Revenue'!J58-'24_Revenue'!I58)</f>
        <v>-1928786.50522332</v>
      </c>
      <c r="K17" s="193">
        <f>('24_Revenue'!K58-'24_Revenue'!J58)</f>
        <v>-1928786.50522332</v>
      </c>
      <c r="L17" s="193">
        <f>('24_Revenue'!L58-'24_Revenue'!K58)</f>
        <v>-1928786.50522332</v>
      </c>
      <c r="M17" s="193">
        <f>('24_Revenue'!M58-'24_Revenue'!L58)</f>
        <v>-1928786.50522332</v>
      </c>
      <c r="N17" s="193">
        <f>('24_Revenue'!N58-'24_Revenue'!M58)</f>
        <v>0</v>
      </c>
      <c r="O17" s="193">
        <f>('24_Revenue'!O58-'24_Revenue'!N58)</f>
        <v>0</v>
      </c>
      <c r="P17" s="193">
        <f>('24_Revenue'!P58-'24_Revenue'!O58)</f>
        <v>0</v>
      </c>
      <c r="Q17" s="193">
        <f>('24_Revenue'!Q58-'24_Revenue'!P58)</f>
        <v>0</v>
      </c>
      <c r="R17" s="193">
        <f>('24_Revenue'!R58-'24_Revenue'!Q58)</f>
        <v>0</v>
      </c>
    </row>
    <row r="18">
      <c r="B18" s="36" t="inlineStr">
        <is>
          <t>(Increase) in receivables</t>
        </is>
      </c>
      <c r="C18" s="117" t="str">
        <f>UNIT_LBL</f>
        <v>ETB '000</v>
      </c>
      <c r="D18" s="189">
        <f>SUM(E18:R18)</f>
        <v>-4761995.72440003</v>
      </c>
      <c r="E18" s="193">
        <f>-('30_WorkingCap'!E11-0)</f>
        <v>0</v>
      </c>
      <c r="F18" s="193">
        <f>-('30_WorkingCap'!F11-'30_WorkingCap'!E11)</f>
        <v>0</v>
      </c>
      <c r="G18" s="193">
        <f>-('30_WorkingCap'!G11-'30_WorkingCap'!F11)</f>
        <v>0</v>
      </c>
      <c r="H18" s="193">
        <f>-('30_WorkingCap'!H11-'30_WorkingCap'!G11)</f>
        <v>0</v>
      </c>
      <c r="I18" s="193">
        <f>-('30_WorkingCap'!I11-'30_WorkingCap'!H11)</f>
        <v>-1553597.89735796</v>
      </c>
      <c r="J18" s="193">
        <f>-('30_WorkingCap'!J11-'30_WorkingCap'!I11)</f>
        <v>-683583.074837503</v>
      </c>
      <c r="K18" s="193">
        <f>-('30_WorkingCap'!K11-'30_WorkingCap'!J11)</f>
        <v>-541397.795271302</v>
      </c>
      <c r="L18" s="193">
        <f>-('30_WorkingCap'!L11-'30_WorkingCap'!K11)</f>
        <v>-222286.301397341</v>
      </c>
      <c r="M18" s="193">
        <f>-('30_WorkingCap'!M11-'30_WorkingCap'!L11)</f>
        <v>-240069.205509129</v>
      </c>
      <c r="N18" s="193">
        <f>-('30_WorkingCap'!N11-'30_WorkingCap'!M11)</f>
        <v>-259274.741949859</v>
      </c>
      <c r="O18" s="193">
        <f>-('30_WorkingCap'!O11-'30_WorkingCap'!N11)</f>
        <v>-280016.721305848</v>
      </c>
      <c r="P18" s="193">
        <f>-('30_WorkingCap'!P11-'30_WorkingCap'!O11)</f>
        <v>-302418.059010316</v>
      </c>
      <c r="Q18" s="193">
        <f>-('30_WorkingCap'!Q11-'30_WorkingCap'!P11)</f>
        <v>-326611.50373114</v>
      </c>
      <c r="R18" s="193">
        <f>-('30_WorkingCap'!R11-'30_WorkingCap'!Q11)</f>
        <v>-352740.424029633</v>
      </c>
    </row>
    <row r="19">
      <c r="B19" s="36" t="inlineStr">
        <is>
          <t>Increase in payables</t>
        </is>
      </c>
      <c r="C19" s="117" t="str">
        <f>UNIT_LBL</f>
        <v>ETB '000</v>
      </c>
      <c r="D19" s="189">
        <f>SUM(E19:R19)</f>
        <v>1324693.17540922</v>
      </c>
      <c r="E19" s="193">
        <f>('30_WorkingCap'!E12-0)</f>
        <v>88385.0148905439</v>
      </c>
      <c r="F19" s="193">
        <f>('30_WorkingCap'!F12-'30_WorkingCap'!E12)</f>
        <v>8838.5014890544</v>
      </c>
      <c r="G19" s="193">
        <f>('30_WorkingCap'!G12-'30_WorkingCap'!F12)</f>
        <v>-13705.0422276933</v>
      </c>
      <c r="H19" s="193">
        <f>('30_WorkingCap'!H12-'30_WorkingCap'!G12)</f>
        <v>-83518.474151905</v>
      </c>
      <c r="I19" s="193">
        <f>('30_WorkingCap'!I12-'30_WorkingCap'!H12)</f>
        <v>557266.231680778</v>
      </c>
      <c r="J19" s="193">
        <f>('30_WorkingCap'!J12-'30_WorkingCap'!I12)</f>
        <v>123028.804417119</v>
      </c>
      <c r="K19" s="193">
        <f>('30_WorkingCap'!K12-'30_WorkingCap'!J12)</f>
        <v>60998.3072036404</v>
      </c>
      <c r="L19" s="193">
        <f>('30_WorkingCap'!L12-'30_WorkingCap'!K12)</f>
        <v>63922.3102863983</v>
      </c>
      <c r="M19" s="193">
        <f>('30_WorkingCap'!M12-'30_WorkingCap'!L12)</f>
        <v>69497.979391538</v>
      </c>
      <c r="N19" s="193">
        <f>('30_WorkingCap'!N12-'30_WorkingCap'!M12)</f>
        <v>75565.8904533108</v>
      </c>
      <c r="O19" s="193">
        <f>('30_WorkingCap'!O12-'30_WorkingCap'!N12)</f>
        <v>82170.0416710712</v>
      </c>
      <c r="P19" s="193">
        <f>('30_WorkingCap'!P12-'30_WorkingCap'!O12)</f>
        <v>89358.4129844022</v>
      </c>
      <c r="Q19" s="193">
        <f>('30_WorkingCap'!Q12-'30_WorkingCap'!P12)</f>
        <v>97183.3308007631</v>
      </c>
      <c r="R19" s="193">
        <f>('30_WorkingCap'!R12-'30_WorkingCap'!Q12)</f>
        <v>105701.866520195</v>
      </c>
    </row>
    <row r="20">
      <c r="B20" s="36" t="inlineStr">
        <is>
          <t>(Increase) in VAT receivable</t>
        </is>
      </c>
      <c r="C20" s="117" t="str">
        <f>UNIT_LBL</f>
        <v>ETB '000</v>
      </c>
      <c r="D20" s="189">
        <f>SUM(E20:R20)</f>
        <v>0</v>
      </c>
      <c r="E20" s="193">
        <f>-('29_VAT'!E19-0)</f>
        <v>-11588053.9890444</v>
      </c>
      <c r="F20" s="193">
        <f>-('29_VAT'!F19-'29_VAT'!E19)</f>
        <v>-13094274.8465707</v>
      </c>
      <c r="G20" s="193">
        <f>-('29_VAT'!G19-'29_VAT'!F19)</f>
        <v>21455439.2742314</v>
      </c>
      <c r="H20" s="193">
        <f>-('29_VAT'!H19-'29_VAT'!G19)</f>
        <v>3226889.5613837</v>
      </c>
      <c r="I20" s="193">
        <f>-('29_VAT'!I19-'29_VAT'!H19)</f>
        <v>0</v>
      </c>
      <c r="J20" s="193">
        <f>-('29_VAT'!J19-'29_VAT'!I19)</f>
        <v>0</v>
      </c>
      <c r="K20" s="193">
        <f>-('29_VAT'!K19-'29_VAT'!J19)</f>
        <v>0</v>
      </c>
      <c r="L20" s="193">
        <f>-('29_VAT'!L19-'29_VAT'!K19)</f>
        <v>0</v>
      </c>
      <c r="M20" s="193">
        <f>-('29_VAT'!M19-'29_VAT'!L19)</f>
        <v>0</v>
      </c>
      <c r="N20" s="193">
        <f>-('29_VAT'!N19-'29_VAT'!M19)</f>
        <v>0</v>
      </c>
      <c r="O20" s="193">
        <f>-('29_VAT'!O19-'29_VAT'!N19)</f>
        <v>0</v>
      </c>
      <c r="P20" s="193">
        <f>-('29_VAT'!P19-'29_VAT'!O19)</f>
        <v>0</v>
      </c>
      <c r="Q20" s="193">
        <f>-('29_VAT'!Q19-'29_VAT'!P19)</f>
        <v>0</v>
      </c>
      <c r="R20" s="193">
        <f>-('29_VAT'!R19-'29_VAT'!Q19)</f>
        <v>0</v>
      </c>
    </row>
    <row r="21">
      <c r="B21" s="36" t="inlineStr">
        <is>
          <t>Income tax paid</t>
        </is>
      </c>
      <c r="C21" s="117" t="str">
        <f>UNIT_LBL</f>
        <v>ETB '000</v>
      </c>
      <c r="D21" s="189">
        <f>SUM(E21:R21)</f>
        <v>-64224573.6236401</v>
      </c>
      <c r="E21" s="193">
        <f>-'28_Tax'!E69</f>
        <v>0</v>
      </c>
      <c r="F21" s="193">
        <f>-'28_Tax'!F69</f>
        <v>0</v>
      </c>
      <c r="G21" s="193">
        <f>-'28_Tax'!G69</f>
        <v>0</v>
      </c>
      <c r="H21" s="193">
        <f>-'28_Tax'!H69</f>
        <v>-3344648.32248809</v>
      </c>
      <c r="I21" s="193">
        <f>-'28_Tax'!I69</f>
        <v>0</v>
      </c>
      <c r="J21" s="193">
        <f>-'28_Tax'!J69</f>
        <v>-2141587.45073166</v>
      </c>
      <c r="K21" s="193">
        <f>-'28_Tax'!K69</f>
        <v>-7001411.00972443</v>
      </c>
      <c r="L21" s="193">
        <f>-'28_Tax'!L69</f>
        <v>-4091106.51544189</v>
      </c>
      <c r="M21" s="193">
        <f>-'28_Tax'!M69</f>
        <v>-5240849.08036324</v>
      </c>
      <c r="N21" s="193">
        <f>-'28_Tax'!N69</f>
        <v>-6418738.1936987</v>
      </c>
      <c r="O21" s="193">
        <f>-'28_Tax'!O69</f>
        <v>-7000188.50002209</v>
      </c>
      <c r="P21" s="193">
        <f>-'28_Tax'!P69</f>
        <v>-8279142.17375981</v>
      </c>
      <c r="Q21" s="193">
        <f>-'28_Tax'!Q69</f>
        <v>-9636068.005754</v>
      </c>
      <c r="R21" s="193">
        <f>-'28_Tax'!R69</f>
        <v>-11070834.3716562</v>
      </c>
    </row>
    <row r="22">
      <c r="B22" s="36" t="inlineStr">
        <is>
          <t>Development costs paid – units for sale (IAS 2)</t>
        </is>
      </c>
      <c r="C22" s="117" t="str">
        <f>UNIT_LBL</f>
        <v>ETB '000</v>
      </c>
      <c r="D22" s="189">
        <f>SUM(E22:R22)</f>
        <v>-299596675.964299</v>
      </c>
      <c r="E22" s="193">
        <f>-INV_SH*E10</f>
        <v>-96215648.1487648</v>
      </c>
      <c r="F22" s="193">
        <f>-INV_SH*F10</f>
        <v>-169300832.289068</v>
      </c>
      <c r="G22" s="193">
        <f>-INV_SH*G10</f>
        <v>-22065379.2699464</v>
      </c>
      <c r="H22" s="193">
        <f>-INV_SH*H10</f>
        <v>0</v>
      </c>
      <c r="I22" s="193">
        <f>-INV_SH*I10</f>
        <v>-12014816.2565203</v>
      </c>
      <c r="J22" s="193">
        <f>-INV_SH*J10</f>
        <v>0</v>
      </c>
      <c r="K22" s="193">
        <f>-INV_SH*K10</f>
        <v>0</v>
      </c>
      <c r="L22" s="193">
        <f>-INV_SH*L10</f>
        <v>0</v>
      </c>
      <c r="M22" s="193">
        <f>-INV_SH*M10</f>
        <v>0</v>
      </c>
      <c r="N22" s="193">
        <f>-INV_SH*N10</f>
        <v>0</v>
      </c>
      <c r="O22" s="193">
        <f>-INV_SH*O10</f>
        <v>0</v>
      </c>
      <c r="P22" s="193">
        <f>-INV_SH*P10</f>
        <v>0</v>
      </c>
      <c r="Q22" s="193">
        <f>-INV_SH*Q10</f>
        <v>0</v>
      </c>
      <c r="R22" s="193">
        <f>-INV_SH*R10</f>
        <v>0</v>
      </c>
    </row>
    <row r="23">
      <c r="B23" s="97" t="inlineStr">
        <is>
          <t>Net cash from operating activities</t>
        </is>
      </c>
      <c r="C23" s="180" t="str">
        <f>UNIT_LBL</f>
        <v>ETB '000</v>
      </c>
      <c r="D23" s="191">
        <f>SUM(E23:R23)</f>
        <v>466796656.27203</v>
      </c>
      <c r="E23" s="192">
        <f>E12+E13+E14+E15+E16+E17+E18+E19+E20+E21+E22</f>
        <v>-63295048.2931211</v>
      </c>
      <c r="F23" s="192">
        <f>F12+F13+F14+F15+F16+F17+F18+F19+F20+F21+F22</f>
        <v>-76301674.593141</v>
      </c>
      <c r="G23" s="192">
        <f>G12+G13+G14+G15+G16+G17+G18+G19+G20+G21+G22</f>
        <v>166486212.990171</v>
      </c>
      <c r="H23" s="192">
        <f>H12+H13+H14+H15+H16+H17+H18+H19+H20+H21+H22</f>
        <v>-201277.235256292</v>
      </c>
      <c r="I23" s="192">
        <f>I12+I13+I14+I15+I16+I17+I18+I19+I20+I21+I22</f>
        <v>107729633.164359</v>
      </c>
      <c r="J23" s="192">
        <f>J12+J13+J14+J15+J16+J17+J18+J19+J20+J21+J22</f>
        <v>90268208.4681378</v>
      </c>
      <c r="K23" s="192">
        <f>K12+K13+K14+K15+K16+K17+K18+K19+K20+K21+K22</f>
        <v>21135798.6428605</v>
      </c>
      <c r="L23" s="192">
        <f>L12+L13+L14+L15+L16+L17+L18+L19+L20+L21+L22</f>
        <v>26615871.4443476</v>
      </c>
      <c r="M23" s="192">
        <f>M12+M13+M14+M15+M16+M17+M18+M19+M20+M21+M22</f>
        <v>27877305.4873868</v>
      </c>
      <c r="N23" s="192">
        <f>N12+N13+N14+N15+N16+N17+N18+N19+N20+N21+N22</f>
        <v>29298948.9477666</v>
      </c>
      <c r="O23" s="192">
        <f>O12+O13+O14+O15+O16+O17+O18+O19+O20+O21+O22</f>
        <v>31520001.8418851</v>
      </c>
      <c r="P23" s="192">
        <f>P12+P13+P14+P15+P16+P17+P18+P19+P20+P21+P22</f>
        <v>33262260.4475371</v>
      </c>
      <c r="Q23" s="192">
        <f>Q12+Q13+Q14+Q15+Q16+Q17+Q18+Q19+Q20+Q21+Q22</f>
        <v>35162203.5824876</v>
      </c>
      <c r="R23" s="192">
        <f>R12+R13+R14+R15+R16+R17+R18+R19+R20+R21+R22</f>
        <v>37238211.3766098</v>
      </c>
    </row>
    <row r="24" ht="20" customHeight="1">
      <c r="B24" s="113" t="inlineStr">
        <is>
          <t>Investing activities</t>
        </is>
      </c>
      <c r="C24" s="37" t="inlineStr">
        <is>
          <t>ከኢንቨስትመንት</t>
        </is>
      </c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B25" s="36" t="inlineStr">
        <is>
          <t>Development costs paid – retained property (IAS 40 / 16)</t>
        </is>
      </c>
      <c r="C25" s="117" t="str">
        <f>UNIT_LBL</f>
        <v>ETB '000</v>
      </c>
      <c r="D25" s="189">
        <f>SUM(E25:R25)</f>
        <v>-98528073.4942115</v>
      </c>
      <c r="E25" s="193">
        <f>-RET_SH*E10</f>
        <v>-31642348.5727337</v>
      </c>
      <c r="F25" s="193">
        <f>-RET_SH*F10</f>
        <v>-55677803.4760178</v>
      </c>
      <c r="G25" s="193">
        <f>-RET_SH*G10</f>
        <v>-7256620.26586036</v>
      </c>
      <c r="H25" s="193">
        <f>-RET_SH*H10</f>
        <v>0</v>
      </c>
      <c r="I25" s="193">
        <f>-RET_SH*I10</f>
        <v>-3951301.17959967</v>
      </c>
      <c r="J25" s="193">
        <f>-RET_SH*J10</f>
        <v>0</v>
      </c>
      <c r="K25" s="193">
        <f>-RET_SH*K10</f>
        <v>0</v>
      </c>
      <c r="L25" s="193">
        <f>-RET_SH*L10</f>
        <v>0</v>
      </c>
      <c r="M25" s="193">
        <f>-RET_SH*M10</f>
        <v>0</v>
      </c>
      <c r="N25" s="193">
        <f>-RET_SH*N10</f>
        <v>0</v>
      </c>
      <c r="O25" s="193">
        <f>-RET_SH*O10</f>
        <v>0</v>
      </c>
      <c r="P25" s="193">
        <f>-RET_SH*P10</f>
        <v>0</v>
      </c>
      <c r="Q25" s="193">
        <f>-RET_SH*Q10</f>
        <v>0</v>
      </c>
      <c r="R25" s="193">
        <f>-RET_SH*R10</f>
        <v>0</v>
      </c>
    </row>
    <row r="26">
      <c r="B26" s="97" t="inlineStr">
        <is>
          <t>Net cash from investing activities</t>
        </is>
      </c>
      <c r="C26" s="180" t="str">
        <f>UNIT_LBL</f>
        <v>ETB '000</v>
      </c>
      <c r="D26" s="191">
        <f>SUM(E26:R26)</f>
        <v>-98528073.4942115</v>
      </c>
      <c r="E26" s="198">
        <f>E25</f>
        <v>-31642348.5727337</v>
      </c>
      <c r="F26" s="198">
        <f>F25</f>
        <v>-55677803.4760178</v>
      </c>
      <c r="G26" s="198">
        <f>G25</f>
        <v>-7256620.26586036</v>
      </c>
      <c r="H26" s="198">
        <f>H25</f>
        <v>0</v>
      </c>
      <c r="I26" s="198">
        <f>I25</f>
        <v>-3951301.17959967</v>
      </c>
      <c r="J26" s="198">
        <f>J25</f>
        <v>0</v>
      </c>
      <c r="K26" s="198">
        <f>K25</f>
        <v>0</v>
      </c>
      <c r="L26" s="198">
        <f>L25</f>
        <v>0</v>
      </c>
      <c r="M26" s="198">
        <f>M25</f>
        <v>0</v>
      </c>
      <c r="N26" s="198">
        <f>N25</f>
        <v>0</v>
      </c>
      <c r="O26" s="198">
        <f>O25</f>
        <v>0</v>
      </c>
      <c r="P26" s="198">
        <f>P25</f>
        <v>0</v>
      </c>
      <c r="Q26" s="198">
        <f>Q25</f>
        <v>0</v>
      </c>
      <c r="R26" s="198">
        <f>R25</f>
        <v>0</v>
      </c>
    </row>
    <row r="27" ht="20" customHeight="1">
      <c r="B27" s="113" t="inlineStr">
        <is>
          <t>Financing activities</t>
        </is>
      </c>
      <c r="C27" s="37" t="inlineStr">
        <is>
          <t>ከፋይናንስ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Equity injected (incl. top-up)</t>
        </is>
      </c>
      <c r="C28" s="117" t="str">
        <f>UNIT_LBL</f>
        <v>ETB '000</v>
      </c>
      <c r="D28" s="189">
        <f>SUM(E28:R28)</f>
        <v>176878493.455735</v>
      </c>
      <c r="E28" s="193">
        <f>SUMIFS('23_Construction'!$E$72:$AZ$72,'23_Construction'!$E$12:$AZ$12,'20_Timeline'!E11)</f>
        <v>102968903.509016</v>
      </c>
      <c r="F28" s="193">
        <f>SUMIFS('23_Construction'!$E$72:$AZ$72,'23_Construction'!$E$12:$AZ$12,'20_Timeline'!F11)</f>
        <v>73909589.9467194</v>
      </c>
      <c r="G28" s="193">
        <f>SUMIFS('23_Construction'!$E$72:$AZ$72,'23_Construction'!$E$12:$AZ$12,'20_Timeline'!G11)</f>
        <v>0</v>
      </c>
      <c r="H28" s="193">
        <f>SUMIFS('23_Construction'!$E$72:$AZ$72,'23_Construction'!$E$12:$AZ$12,'20_Timeline'!H11)</f>
        <v>0</v>
      </c>
      <c r="I28" s="193">
        <f>SUMIFS('23_Construction'!$E$72:$AZ$72,'23_Construction'!$E$12:$AZ$12,'20_Timeline'!I11)</f>
        <v>0</v>
      </c>
      <c r="J28" s="193">
        <f>SUMIFS('23_Construction'!$E$72:$AZ$72,'23_Construction'!$E$12:$AZ$12,'20_Timeline'!J11)</f>
        <v>0</v>
      </c>
      <c r="K28" s="193">
        <f>SUMIFS('23_Construction'!$E$72:$AZ$72,'23_Construction'!$E$12:$AZ$12,'20_Timeline'!K11)</f>
        <v>0</v>
      </c>
      <c r="L28" s="193">
        <f>SUMIFS('23_Construction'!$E$72:$AZ$72,'23_Construction'!$E$12:$AZ$12,'20_Timeline'!L11)</f>
        <v>0</v>
      </c>
      <c r="M28" s="193">
        <f>SUMIFS('23_Construction'!$E$72:$AZ$72,'23_Construction'!$E$12:$AZ$12,'20_Timeline'!M11)</f>
        <v>0</v>
      </c>
      <c r="N28" s="193">
        <f>SUMIFS('23_Construction'!$E$72:$AZ$72,'23_Construction'!$E$12:$AZ$12,'20_Timeline'!N11)</f>
        <v>0</v>
      </c>
      <c r="O28" s="193">
        <f>SUMIFS('23_Construction'!$E$72:$AZ$72,'23_Construction'!$E$12:$AZ$12,'20_Timeline'!O11)</f>
        <v>0</v>
      </c>
      <c r="P28" s="193">
        <f>SUMIFS('23_Construction'!$E$72:$AZ$72,'23_Construction'!$E$12:$AZ$12,'20_Timeline'!P11)</f>
        <v>0</v>
      </c>
      <c r="Q28" s="193">
        <f>SUMIFS('23_Construction'!$E$72:$AZ$72,'23_Construction'!$E$12:$AZ$12,'20_Timeline'!Q11)</f>
        <v>0</v>
      </c>
      <c r="R28" s="193">
        <f>SUMIFS('23_Construction'!$E$72:$AZ$72,'23_Construction'!$E$12:$AZ$12,'20_Timeline'!R11)</f>
        <v>0</v>
      </c>
    </row>
    <row r="29">
      <c r="B29" s="36" t="inlineStr">
        <is>
          <t>Loan drawdowns</t>
        </is>
      </c>
      <c r="C29" s="117" t="str">
        <f>UNIT_LBL</f>
        <v>ETB '000</v>
      </c>
      <c r="D29" s="189">
        <f>SUM(E29:R29)</f>
        <v>115614212.233574</v>
      </c>
      <c r="E29" s="190">
        <f>'27_Loan'!E12</f>
        <v>0</v>
      </c>
      <c r="F29" s="190">
        <f>'27_Loan'!F12</f>
        <v>103798674.069717</v>
      </c>
      <c r="G29" s="190">
        <f>'27_Loan'!G12</f>
        <v>11815538.1638576</v>
      </c>
      <c r="H29" s="190">
        <f>'27_Loan'!H12</f>
        <v>0</v>
      </c>
      <c r="I29" s="190">
        <f>'27_Loan'!I12</f>
        <v>0</v>
      </c>
      <c r="J29" s="190">
        <f>'27_Loan'!J12</f>
        <v>0</v>
      </c>
      <c r="K29" s="190">
        <f>'27_Loan'!K12</f>
        <v>0</v>
      </c>
      <c r="L29" s="190">
        <f>'27_Loan'!L12</f>
        <v>0</v>
      </c>
      <c r="M29" s="190">
        <f>'27_Loan'!M12</f>
        <v>0</v>
      </c>
      <c r="N29" s="190">
        <f>'27_Loan'!N12</f>
        <v>0</v>
      </c>
      <c r="O29" s="190">
        <f>'27_Loan'!O12</f>
        <v>0</v>
      </c>
      <c r="P29" s="190">
        <f>'27_Loan'!P12</f>
        <v>0</v>
      </c>
      <c r="Q29" s="190">
        <f>'27_Loan'!Q12</f>
        <v>0</v>
      </c>
      <c r="R29" s="190">
        <f>'27_Loan'!R12</f>
        <v>0</v>
      </c>
    </row>
    <row r="30">
      <c r="B30" s="36" t="inlineStr">
        <is>
          <t>Loan principal repaid (incl. sweep)</t>
        </is>
      </c>
      <c r="C30" s="117" t="str">
        <f>UNIT_LBL</f>
        <v>ETB '000</v>
      </c>
      <c r="D30" s="189">
        <f>SUM(E30:R30)</f>
        <v>-133149894.104201</v>
      </c>
      <c r="E30" s="193">
        <f>-('27_Loan'!E17+'27_Loan'!E18)</f>
        <v>0</v>
      </c>
      <c r="F30" s="193">
        <f>-('27_Loan'!F17+'27_Loan'!F18)</f>
        <v>0</v>
      </c>
      <c r="G30" s="193">
        <f>-('27_Loan'!G17+'27_Loan'!G18)</f>
        <v>0</v>
      </c>
      <c r="H30" s="193">
        <f>-('27_Loan'!H17+'27_Loan'!H18)</f>
        <v>0</v>
      </c>
      <c r="I30" s="193">
        <f>-('27_Loan'!I17+'27_Loan'!I18)</f>
        <v>-78736993.9916189</v>
      </c>
      <c r="J30" s="193">
        <f>-('27_Loan'!J17+'27_Loan'!J18)</f>
        <v>-32049930.893501</v>
      </c>
      <c r="K30" s="193">
        <f>-('27_Loan'!K17+'27_Loan'!K18)</f>
        <v>-1578227.21831358</v>
      </c>
      <c r="L30" s="193">
        <f>-('27_Loan'!L17+'27_Loan'!L18)</f>
        <v>-1828613.62152498</v>
      </c>
      <c r="M30" s="193">
        <f>-('27_Loan'!M17+'27_Loan'!M18)</f>
        <v>-2118723.931526</v>
      </c>
      <c r="N30" s="193">
        <f>-('27_Loan'!N17+'27_Loan'!N18)</f>
        <v>-2454860.3626158</v>
      </c>
      <c r="O30" s="193">
        <f>-('27_Loan'!O17+'27_Loan'!O18)</f>
        <v>-2844324.97800773</v>
      </c>
      <c r="P30" s="193">
        <f>-('27_Loan'!P17+'27_Loan'!P18)</f>
        <v>-3295578.31627463</v>
      </c>
      <c r="Q30" s="193">
        <f>-('27_Loan'!Q17+'27_Loan'!Q18)</f>
        <v>-3818423.18394534</v>
      </c>
      <c r="R30" s="193">
        <f>-('27_Loan'!R17+'27_Loan'!R18)</f>
        <v>-4424217.60687305</v>
      </c>
    </row>
    <row r="31">
      <c r="B31" s="36" t="inlineStr">
        <is>
          <t>Loan interest paid</t>
        </is>
      </c>
      <c r="C31" s="117" t="str">
        <f>UNIT_LBL</f>
        <v>ETB '000</v>
      </c>
      <c r="D31" s="189">
        <f>SUM(E31:R31)</f>
        <v>-38971347.1605663</v>
      </c>
      <c r="E31" s="193">
        <f>-'27_Loan'!E15</f>
        <v>0</v>
      </c>
      <c r="F31" s="193">
        <f>-'27_Loan'!F15</f>
        <v>0</v>
      </c>
      <c r="G31" s="193">
        <f>-'27_Loan'!G15</f>
        <v>0</v>
      </c>
      <c r="H31" s="193">
        <f>-'27_Loan'!H15</f>
        <v>0</v>
      </c>
      <c r="I31" s="193">
        <f>-'27_Loan'!I15</f>
        <v>-14569759.4817826</v>
      </c>
      <c r="J31" s="193">
        <f>-'27_Loan'!J15</f>
        <v>-7991598.89332806</v>
      </c>
      <c r="K31" s="193">
        <f>-'27_Loan'!K15</f>
        <v>-3268392.53225351</v>
      </c>
      <c r="L31" s="193">
        <f>-'27_Loan'!L15</f>
        <v>-3018006.12904212</v>
      </c>
      <c r="M31" s="193">
        <f>-'27_Loan'!M15</f>
        <v>-2727895.81904109</v>
      </c>
      <c r="N31" s="193">
        <f>-'27_Loan'!N15</f>
        <v>-2391759.3879513</v>
      </c>
      <c r="O31" s="193">
        <f>-'27_Loan'!O15</f>
        <v>-2002294.77255936</v>
      </c>
      <c r="P31" s="193">
        <f>-'27_Loan'!P15</f>
        <v>-1551041.43429246</v>
      </c>
      <c r="Q31" s="193">
        <f>-'27_Loan'!Q15</f>
        <v>-1028196.56662176</v>
      </c>
      <c r="R31" s="193">
        <f>-'27_Loan'!R15</f>
        <v>-422402.14369405</v>
      </c>
    </row>
    <row r="32">
      <c r="B32" s="36" t="inlineStr">
        <is>
          <t>Land lease instalments</t>
        </is>
      </c>
      <c r="C32" s="117" t="str">
        <f>UNIT_LBL</f>
        <v>ETB '000</v>
      </c>
      <c r="D32" s="189">
        <f>SUM(E32:R32)</f>
        <v>-54000000</v>
      </c>
      <c r="E32" s="193">
        <f>-'27_Loan'!E22</f>
        <v>0</v>
      </c>
      <c r="F32" s="193">
        <f>-'27_Loan'!F22</f>
        <v>-4500000</v>
      </c>
      <c r="G32" s="193">
        <f>-'27_Loan'!G22</f>
        <v>-4500000</v>
      </c>
      <c r="H32" s="193">
        <f>-'27_Loan'!H22</f>
        <v>0</v>
      </c>
      <c r="I32" s="193">
        <f>-'27_Loan'!I22</f>
        <v>-4500000</v>
      </c>
      <c r="J32" s="193">
        <f>-'27_Loan'!J22</f>
        <v>-4500000</v>
      </c>
      <c r="K32" s="193">
        <f>-'27_Loan'!K22</f>
        <v>-4500000</v>
      </c>
      <c r="L32" s="193">
        <f>-'27_Loan'!L22</f>
        <v>-4500000</v>
      </c>
      <c r="M32" s="193">
        <f>-'27_Loan'!M22</f>
        <v>-4500000</v>
      </c>
      <c r="N32" s="193">
        <f>-'27_Loan'!N22</f>
        <v>-4500000</v>
      </c>
      <c r="O32" s="193">
        <f>-'27_Loan'!O22</f>
        <v>-4500000</v>
      </c>
      <c r="P32" s="193">
        <f>-'27_Loan'!P22</f>
        <v>-4500000</v>
      </c>
      <c r="Q32" s="193">
        <f>-'27_Loan'!Q22</f>
        <v>-4500000</v>
      </c>
      <c r="R32" s="193">
        <f>-'27_Loan'!R22</f>
        <v>-4500000</v>
      </c>
    </row>
    <row r="33">
      <c r="B33" s="36" t="inlineStr">
        <is>
          <t>Land lease interest</t>
        </is>
      </c>
      <c r="C33" s="117" t="str">
        <f>UNIT_LBL</f>
        <v>ETB '000</v>
      </c>
      <c r="D33" s="189">
        <f>SUM(E33:R33)</f>
        <v>-92610000</v>
      </c>
      <c r="E33" s="193">
        <f>-'27_Loan'!E23</f>
        <v>0</v>
      </c>
      <c r="F33" s="193">
        <f>-'27_Loan'!F23</f>
        <v>-9450000</v>
      </c>
      <c r="G33" s="193">
        <f>-'27_Loan'!G23</f>
        <v>-9135000</v>
      </c>
      <c r="H33" s="193">
        <f>-'27_Loan'!H23</f>
        <v>0</v>
      </c>
      <c r="I33" s="193">
        <f>-'27_Loan'!I23</f>
        <v>-8820000</v>
      </c>
      <c r="J33" s="193">
        <f>-'27_Loan'!J23</f>
        <v>-8505000</v>
      </c>
      <c r="K33" s="193">
        <f>-'27_Loan'!K23</f>
        <v>-8190000</v>
      </c>
      <c r="L33" s="193">
        <f>-'27_Loan'!L23</f>
        <v>-7875000</v>
      </c>
      <c r="M33" s="193">
        <f>-'27_Loan'!M23</f>
        <v>-7560000</v>
      </c>
      <c r="N33" s="193">
        <f>-'27_Loan'!N23</f>
        <v>-7245000</v>
      </c>
      <c r="O33" s="193">
        <f>-'27_Loan'!O23</f>
        <v>-6930000</v>
      </c>
      <c r="P33" s="193">
        <f>-'27_Loan'!P23</f>
        <v>-6615000</v>
      </c>
      <c r="Q33" s="193">
        <f>-'27_Loan'!Q23</f>
        <v>-6300000</v>
      </c>
      <c r="R33" s="193">
        <f>-'27_Loan'!R23</f>
        <v>-5985000</v>
      </c>
    </row>
    <row r="34">
      <c r="B34" s="36" t="inlineStr">
        <is>
          <t>(Funding) / release of DSRA</t>
        </is>
      </c>
      <c r="C34" s="117" t="str">
        <f>UNIT_LBL</f>
        <v>ETB '000</v>
      </c>
      <c r="D34" s="189">
        <f>SUM(E34:R34)</f>
        <v>0</v>
      </c>
      <c r="E34" s="193">
        <f>-(E48-0)</f>
        <v>0</v>
      </c>
      <c r="F34" s="193">
        <f>-(F48-E48)</f>
        <v>0</v>
      </c>
      <c r="G34" s="193">
        <f>-(G48-F48)</f>
        <v>0</v>
      </c>
      <c r="H34" s="193">
        <f>-(H48-G48)</f>
        <v>0</v>
      </c>
      <c r="I34" s="193">
        <f>-(I48-H48)</f>
        <v>-5557799.45341452</v>
      </c>
      <c r="J34" s="193">
        <f>-(J48-I48)</f>
        <v>3134489.57813097</v>
      </c>
      <c r="K34" s="193">
        <f>-(K48-J48)</f>
        <v>0</v>
      </c>
      <c r="L34" s="193">
        <f>-(L48-K48)</f>
        <v>0</v>
      </c>
      <c r="M34" s="193">
        <f>-(M48-L48)</f>
        <v>0</v>
      </c>
      <c r="N34" s="193">
        <f>-(N48-M48)</f>
        <v>0</v>
      </c>
      <c r="O34" s="193">
        <f>-(O48-N48)</f>
        <v>0</v>
      </c>
      <c r="P34" s="193">
        <f>-(P48-O48)</f>
        <v>0</v>
      </c>
      <c r="Q34" s="193">
        <f>-(Q48-P48)</f>
        <v>0</v>
      </c>
      <c r="R34" s="193">
        <f>-(R48-Q48)</f>
        <v>2423309.87528355</v>
      </c>
    </row>
    <row r="35">
      <c r="B35" s="97" t="inlineStr">
        <is>
          <t>Net financing before dividends</t>
        </is>
      </c>
      <c r="C35" s="180" t="str">
        <f>UNIT_LBL</f>
        <v>ETB '000</v>
      </c>
      <c r="D35" s="191">
        <f>SUM(E35:R35)</f>
        <v>-26238535.5754577</v>
      </c>
      <c r="E35" s="192">
        <f>E28+E29+E30+E31+E32+E33+E34</f>
        <v>102968903.509016</v>
      </c>
      <c r="F35" s="192">
        <f>F28+F29+F30+F31+F32+F33+F34</f>
        <v>163758264.016436</v>
      </c>
      <c r="G35" s="192">
        <f>G28+G29+G30+G31+G32+G33+G34</f>
        <v>-1819461.83614239</v>
      </c>
      <c r="H35" s="192">
        <f>H28+H29+H30+H31+H32+H33+H34</f>
        <v>0</v>
      </c>
      <c r="I35" s="192">
        <f>I28+I29+I30+I31+I32+I33+I34</f>
        <v>-112184552.926816</v>
      </c>
      <c r="J35" s="192">
        <f>J28+J29+J30+J31+J32+J33+J34</f>
        <v>-49912040.2086981</v>
      </c>
      <c r="K35" s="192">
        <f>K28+K29+K30+K31+K32+K33+K34</f>
        <v>-17536619.7505671</v>
      </c>
      <c r="L35" s="192">
        <f>L28+L29+L30+L31+L32+L33+L34</f>
        <v>-17221619.7505671</v>
      </c>
      <c r="M35" s="192">
        <f>M28+M29+M30+M31+M32+M33+M34</f>
        <v>-16906619.7505671</v>
      </c>
      <c r="N35" s="192">
        <f>N28+N29+N30+N31+N32+N33+N34</f>
        <v>-16591619.7505671</v>
      </c>
      <c r="O35" s="192">
        <f>O28+O29+O30+O31+O32+O33+O34</f>
        <v>-16276619.7505671</v>
      </c>
      <c r="P35" s="192">
        <f>P28+P29+P30+P31+P32+P33+P34</f>
        <v>-15961619.7505671</v>
      </c>
      <c r="Q35" s="192">
        <f>Q28+Q29+Q30+Q31+Q32+Q33+Q34</f>
        <v>-15646619.7505671</v>
      </c>
      <c r="R35" s="192">
        <f>R28+R29+R30+R31+R32+R33+R34</f>
        <v>-12908309.8752835</v>
      </c>
    </row>
    <row r="36">
      <c r="B36" s="36" t="inlineStr">
        <is>
          <t>Cash available before dividends</t>
        </is>
      </c>
      <c r="C36" s="117" t="str">
        <f>UNIT_LBL</f>
        <v>ETB '000</v>
      </c>
      <c r="E36" s="193">
        <f>0+E23+E26+E35</f>
        <v>8031506.64316113</v>
      </c>
      <c r="F36" s="193">
        <f>E46+F23+F26+F35</f>
        <v>39810292.5904384</v>
      </c>
      <c r="G36" s="193">
        <f>F46+G23+G26+G35</f>
        <v>197220423.478607</v>
      </c>
      <c r="H36" s="193">
        <f>G46+H23+H26+H35</f>
        <v>197019146.24335</v>
      </c>
      <c r="I36" s="193">
        <f>H46+I23+I26+I35</f>
        <v>188612925.301294</v>
      </c>
      <c r="J36" s="193">
        <f>I46+J23+J26+J35</f>
        <v>42356168.2594398</v>
      </c>
      <c r="K36" s="193">
        <f>J46+K23+K26+K35</f>
        <v>25913399.0491868</v>
      </c>
      <c r="L36" s="193">
        <f>K46+L23+L26+L35</f>
        <v>24534494.5460662</v>
      </c>
      <c r="M36" s="193">
        <f>L46+M23+M26+M35</f>
        <v>22852135.3514536</v>
      </c>
      <c r="N36" s="193">
        <f>M46+N23+N26+N35</f>
        <v>20882604.9087933</v>
      </c>
      <c r="O36" s="193">
        <f>N46+O23+O26+O35</f>
        <v>20556989.8065785</v>
      </c>
      <c r="P36" s="193">
        <f>O46+P23+P26+P35</f>
        <v>19935627.1517528</v>
      </c>
      <c r="Q36" s="193">
        <f>P46+Q23+Q26+Q35</f>
        <v>21515583.8319205</v>
      </c>
      <c r="R36" s="193">
        <f>Q46+R23+R26+R35</f>
        <v>26329901.5013262</v>
      </c>
    </row>
    <row r="37">
      <c r="B37" s="36" t="inlineStr">
        <is>
          <t>Dividend lock-up flag (DSCR below covenant)</t>
        </is>
      </c>
      <c r="C37" s="117" t="inlineStr">
        <is>
          <t>flag</t>
        </is>
      </c>
      <c r="D37" s="147">
        <f>SUM(E37:R37)</f>
        <v>0</v>
      </c>
      <c r="E37" s="148">
        <f>IF(AND('27_Loan'!E20&gt;0,'43_Ratios'!E13&lt;DSCR_COV),1,0)</f>
        <v>0</v>
      </c>
      <c r="F37" s="148">
        <f>IF(AND('27_Loan'!F20&gt;0,'43_Ratios'!F13&lt;DSCR_COV),1,0)</f>
        <v>0</v>
      </c>
      <c r="G37" s="148">
        <f>IF(AND('27_Loan'!G20&gt;0,'43_Ratios'!G13&lt;DSCR_COV),1,0)</f>
        <v>0</v>
      </c>
      <c r="H37" s="148">
        <f>IF(AND('27_Loan'!H20&gt;0,'43_Ratios'!H13&lt;DSCR_COV),1,0)</f>
        <v>0</v>
      </c>
      <c r="I37" s="148">
        <f>IF(AND('27_Loan'!I20&gt;0,'43_Ratios'!I13&lt;DSCR_COV),1,0)</f>
        <v>0</v>
      </c>
      <c r="J37" s="148">
        <f>IF(AND('27_Loan'!J20&gt;0,'43_Ratios'!J13&lt;DSCR_COV),1,0)</f>
        <v>0</v>
      </c>
      <c r="K37" s="148">
        <f>IF(AND('27_Loan'!K20&gt;0,'43_Ratios'!K13&lt;DSCR_COV),1,0)</f>
        <v>0</v>
      </c>
      <c r="L37" s="148">
        <f>IF(AND('27_Loan'!L20&gt;0,'43_Ratios'!L13&lt;DSCR_COV),1,0)</f>
        <v>0</v>
      </c>
      <c r="M37" s="148">
        <f>IF(AND('27_Loan'!M20&gt;0,'43_Ratios'!M13&lt;DSCR_COV),1,0)</f>
        <v>0</v>
      </c>
      <c r="N37" s="148">
        <f>IF(AND('27_Loan'!N20&gt;0,'43_Ratios'!N13&lt;DSCR_COV),1,0)</f>
        <v>0</v>
      </c>
      <c r="O37" s="148">
        <f>IF(AND('27_Loan'!O20&gt;0,'43_Ratios'!O13&lt;DSCR_COV),1,0)</f>
        <v>0</v>
      </c>
      <c r="P37" s="148">
        <f>IF(AND('27_Loan'!P20&gt;0,'43_Ratios'!P13&lt;DSCR_COV),1,0)</f>
        <v>0</v>
      </c>
      <c r="Q37" s="148">
        <f>IF(AND('27_Loan'!Q20&gt;0,'43_Ratios'!Q13&lt;DSCR_COV),1,0)</f>
        <v>0</v>
      </c>
      <c r="R37" s="148">
        <f>IF(AND('27_Loan'!R20&gt;0,'43_Ratios'!R13&lt;DSCR_COV),1,0)</f>
        <v>0</v>
      </c>
    </row>
    <row r="38">
      <c r="B38" s="36" t="inlineStr">
        <is>
          <t>Dividends (positive)</t>
        </is>
      </c>
      <c r="C38" s="117" t="str">
        <f>UNIT_LBL</f>
        <v>ETB '000</v>
      </c>
      <c r="D38" s="189">
        <f>SUM(E38:R38)</f>
        <v>83363228.3308571</v>
      </c>
      <c r="E38" s="193" t="n">
        <v>0</v>
      </c>
      <c r="F38" s="193" t="n">
        <v>0</v>
      </c>
      <c r="G38" s="193" t="n">
        <v>0</v>
      </c>
      <c r="H38" s="193" t="n">
        <v>0</v>
      </c>
      <c r="I38" s="193">
        <f>IF(AND(PROJECT_MODE&lt;&gt;0,I37=0),MAX(0,MIN(DIV_PAYOUT*MAX(0,'40_PL'!I40-'40_PL'!I44),I36-MIN_CASH,'40_PL'!H47+'40_PL'!I40-'40_PL'!I44)),0)</f>
        <v>3834537.08245192</v>
      </c>
      <c r="J38" s="193">
        <f>IF(AND(PROJECT_MODE&lt;&gt;0,J37=0),MAX(0,MIN(DIV_PAYOUT*MAX(0,'40_PL'!J40-'40_PL'!J44),J36-MIN_CASH,'40_PL'!I47+'40_PL'!J40-'40_PL'!J44)),0)</f>
        <v>8590407.1937627</v>
      </c>
      <c r="K38" s="193">
        <f>IF(AND(PROJECT_MODE&lt;&gt;0,K37=0),MAX(0,MIN(DIV_PAYOUT*MAX(0,'40_PL'!K40-'40_PL'!K44),K36-MIN_CASH,'40_PL'!J47+'40_PL'!K40-'40_PL'!K44)),0)</f>
        <v>5386578.09845054</v>
      </c>
      <c r="L38" s="193">
        <f>IF(AND(PROJECT_MODE&lt;&gt;0,L37=0),MAX(0,MIN(DIV_PAYOUT*MAX(0,'40_PL'!L40-'40_PL'!L44),L36-MIN_CASH,'40_PL'!K47+'40_PL'!L40-'40_PL'!L44)),0)</f>
        <v>6326522.46571617</v>
      </c>
      <c r="M38" s="193">
        <f>IF(AND(PROJECT_MODE&lt;&gt;0,M37=0),MAX(0,MIN(DIV_PAYOUT*MAX(0,'40_PL'!M40-'40_PL'!M44),M36-MIN_CASH,'40_PL'!L47+'40_PL'!M40-'40_PL'!M44)),0)</f>
        <v>7338429.8199299</v>
      </c>
      <c r="N38" s="193">
        <f>IF(AND(PROJECT_MODE&lt;&gt;0,N37=0),MAX(0,MIN(DIV_PAYOUT*MAX(0,'40_PL'!N40-'40_PL'!N44),N36-MIN_CASH,'40_PL'!M47+'40_PL'!N40-'40_PL'!N44)),0)</f>
        <v>7784498.59676639</v>
      </c>
      <c r="O38" s="193">
        <f>IF(AND(PROJECT_MODE&lt;&gt;0,O37=0),MAX(0,MIN(DIV_PAYOUT*MAX(0,'40_PL'!O40-'40_PL'!O44),O36-MIN_CASH,'40_PL'!N47+'40_PL'!O40-'40_PL'!O44)),0)</f>
        <v>8961001.67589789</v>
      </c>
      <c r="P38" s="193">
        <f>IF(AND(PROJECT_MODE&lt;&gt;0,P37=0),MAX(0,MIN(DIV_PAYOUT*MAX(0,'40_PL'!P40-'40_PL'!P44),P36-MIN_CASH,'40_PL'!O47+'40_PL'!P40-'40_PL'!P44)),0)</f>
        <v>10302463.8480768</v>
      </c>
      <c r="Q38" s="193">
        <f>IF(AND(PROJECT_MODE&lt;&gt;0,Q37=0),MAX(0,MIN(DIV_PAYOUT*MAX(0,'40_PL'!Q40-'40_PL'!Q44),Q36-MIN_CASH,'40_PL'!P47+'40_PL'!Q40-'40_PL'!Q44)),0)</f>
        <v>11676095.1860547</v>
      </c>
      <c r="R38" s="193">
        <f>IF(AND(PROJECT_MODE&lt;&gt;0,R37=0),MAX(0,MIN(DIV_PAYOUT*MAX(0,'40_PL'!R40-'40_PL'!R44),R36-MIN_CASH,'40_PL'!Q47+'40_PL'!R40-'40_PL'!R44)),0)</f>
        <v>13162694.3637501</v>
      </c>
    </row>
    <row r="39">
      <c r="B39" s="36" t="inlineStr">
        <is>
          <t>Special dividend of surplus cash (positive)</t>
        </is>
      </c>
      <c r="C39" s="117" t="str">
        <f>UNIT_LBL</f>
        <v>ETB '000</v>
      </c>
      <c r="D39" s="189">
        <f>SUM(E39:R39)</f>
        <v>79788325.4157689</v>
      </c>
      <c r="E39" s="193" t="n">
        <v>0</v>
      </c>
      <c r="F39" s="193" t="n">
        <v>0</v>
      </c>
      <c r="G39" s="193" t="n">
        <v>0</v>
      </c>
      <c r="H39" s="193" t="n">
        <v>0</v>
      </c>
      <c r="I39" s="193">
        <f>IF(AND(PROJECT_MODE&lt;&gt;0,DIST_SURPLUS=1,I37=0),MAX(0,MIN(I36-I38-I41-MIN_CASH,'40_PL'!H47+'40_PL'!I40-'40_PL'!I44-I38)),0)</f>
        <v>5899894.7631065</v>
      </c>
      <c r="J39" s="193">
        <f>IF(AND(PROJECT_MODE&lt;&gt;0,DIST_SURPLUS=1,J37=0),MAX(0,MIN(J36-J38-J41-MIN_CASH,'40_PL'!I47+'40_PL'!J40-'40_PL'!J44-J38)),0)</f>
        <v>11451540.9087836</v>
      </c>
      <c r="K39" s="193">
        <f>IF(AND(PROJECT_MODE&lt;&gt;0,DIST_SURPLUS=1,K37=0),MAX(0,MIN(K36-K38-K41-MIN_CASH,'40_PL'!J47+'40_PL'!K40-'40_PL'!K44-K38)),0)</f>
        <v>5386578.09845054</v>
      </c>
      <c r="L39" s="193">
        <f>IF(AND(PROJECT_MODE&lt;&gt;0,DIST_SURPLUS=1,L37=0),MAX(0,MIN(L36-L38-L41-MIN_CASH,'40_PL'!K47+'40_PL'!L40-'40_PL'!L44-L38)),0)</f>
        <v>6326522.46571617</v>
      </c>
      <c r="M39" s="193">
        <f>IF(AND(PROJECT_MODE&lt;&gt;0,DIST_SURPLUS=1,M37=0),MAX(0,MIN(M36-M38-M41-MIN_CASH,'40_PL'!L47+'40_PL'!M40-'40_PL'!M44-M38)),0)</f>
        <v>7338429.8199299</v>
      </c>
      <c r="N39" s="193">
        <f>IF(AND(PROJECT_MODE&lt;&gt;0,DIST_SURPLUS=1,N37=0),MAX(0,MIN(N36-N38-N41-MIN_CASH,'40_PL'!M47+'40_PL'!N40-'40_PL'!N44-N38)),0)</f>
        <v>7784498.59676639</v>
      </c>
      <c r="O39" s="193">
        <f>IF(AND(PROJECT_MODE&lt;&gt;0,DIST_SURPLUS=1,O37=0),MAX(0,MIN(O36-O38-O41-MIN_CASH,'40_PL'!N47+'40_PL'!O40-'40_PL'!O44-O38)),0)</f>
        <v>8961001.67589789</v>
      </c>
      <c r="P39" s="193">
        <f>IF(AND(PROJECT_MODE&lt;&gt;0,DIST_SURPLUS=1,P37=0),MAX(0,MIN(P36-P38-P41-MIN_CASH,'40_PL'!O47+'40_PL'!P40-'40_PL'!P44-P38)),0)</f>
        <v>7633163.303676</v>
      </c>
      <c r="Q39" s="193">
        <f>IF(AND(PROJECT_MODE&lt;&gt;0,DIST_SURPLUS=1,Q37=0),MAX(0,MIN(Q36-Q38-Q41-MIN_CASH,'40_PL'!P47+'40_PL'!Q40-'40_PL'!Q44-Q38)),0)</f>
        <v>7839488.64586576</v>
      </c>
      <c r="R39" s="193">
        <f>IF(AND(PROJECT_MODE&lt;&gt;0,DIST_SURPLUS=1,R37=0),MAX(0,MIN(R36-R38-R41-MIN_CASH,'40_PL'!Q47+'40_PL'!R40-'40_PL'!R44-R38)),0)</f>
        <v>11167207.1375761</v>
      </c>
    </row>
    <row r="40">
      <c r="B40" s="36" t="inlineStr">
        <is>
          <t>Dividends paid</t>
        </is>
      </c>
      <c r="C40" s="117" t="str">
        <f>UNIT_LBL</f>
        <v>ETB '000</v>
      </c>
      <c r="D40" s="189">
        <f>SUM(E40:R40)</f>
        <v>-163151553.746626</v>
      </c>
      <c r="E40" s="193">
        <f>-(E38+E39)</f>
        <v>0</v>
      </c>
      <c r="F40" s="193">
        <f>-(F38+F39)</f>
        <v>0</v>
      </c>
      <c r="G40" s="193">
        <f>-(G38+G39)</f>
        <v>0</v>
      </c>
      <c r="H40" s="193">
        <f>-(H38+H39)</f>
        <v>0</v>
      </c>
      <c r="I40" s="193">
        <f>-(I38+I39)</f>
        <v>-9734431.84555842</v>
      </c>
      <c r="J40" s="193">
        <f>-(J38+J39)</f>
        <v>-20041948.1025463</v>
      </c>
      <c r="K40" s="193">
        <f>-(K38+K39)</f>
        <v>-10773156.1969011</v>
      </c>
      <c r="L40" s="193">
        <f>-(L38+L39)</f>
        <v>-12653044.9314323</v>
      </c>
      <c r="M40" s="193">
        <f>-(M38+M39)</f>
        <v>-14676859.6398598</v>
      </c>
      <c r="N40" s="193">
        <f>-(N38+N39)</f>
        <v>-15568997.1935328</v>
      </c>
      <c r="O40" s="193">
        <f>-(O38+O39)</f>
        <v>-17922003.3517958</v>
      </c>
      <c r="P40" s="193">
        <f>-(P38+P39)</f>
        <v>-17935627.1517528</v>
      </c>
      <c r="Q40" s="193">
        <f>-(Q38+Q39)</f>
        <v>-19515583.8319205</v>
      </c>
      <c r="R40" s="193">
        <f>-(R38+R39)</f>
        <v>-24329901.5013262</v>
      </c>
    </row>
    <row r="41">
      <c r="B41" s="36" t="inlineStr">
        <is>
          <t>Return of surplus capital (positive)</t>
        </is>
      </c>
      <c r="C41" s="117" t="str">
        <f>UNIT_LBL</f>
        <v>ETB '000</v>
      </c>
      <c r="D41" s="189">
        <f>SUM(E41:R41)</f>
        <v>176878493.455735</v>
      </c>
      <c r="E41" s="193" t="n">
        <v>0</v>
      </c>
      <c r="F41" s="193" t="n">
        <v>0</v>
      </c>
      <c r="G41" s="193" t="n">
        <v>0</v>
      </c>
      <c r="H41" s="193" t="n">
        <v>0</v>
      </c>
      <c r="I41" s="193">
        <f>IF(AND(PROJECT_MODE&lt;&gt;0,DIST_SURPLUS=1,I37=0),MAX(0,MIN(I36-I38-MIN_CASH,'41_BS'!H34+I28-IF(LAND_TYPE=2,LAND_TOT,0))),0)</f>
        <v>176878493.455735</v>
      </c>
      <c r="J41" s="193">
        <f>IF(AND(PROJECT_MODE&lt;&gt;0,DIST_SURPLUS=1,J37=0),MAX(0,MIN(J36-J38-MIN_CASH,'41_BS'!I34+J28-IF(LAND_TYPE=2,LAND_TOT,0))),0)</f>
        <v>0</v>
      </c>
      <c r="K41" s="193">
        <f>IF(AND(PROJECT_MODE&lt;&gt;0,DIST_SURPLUS=1,K37=0),MAX(0,MIN(K36-K38-MIN_CASH,'41_BS'!J34+K28-IF(LAND_TYPE=2,LAND_TOT,0))),0)</f>
        <v>0</v>
      </c>
      <c r="L41" s="193">
        <f>IF(AND(PROJECT_MODE&lt;&gt;0,DIST_SURPLUS=1,L37=0),MAX(0,MIN(L36-L38-MIN_CASH,'41_BS'!K34+L28-IF(LAND_TYPE=2,LAND_TOT,0))),0)</f>
        <v>0</v>
      </c>
      <c r="M41" s="193">
        <f>IF(AND(PROJECT_MODE&lt;&gt;0,DIST_SURPLUS=1,M37=0),MAX(0,MIN(M36-M38-MIN_CASH,'41_BS'!L34+M28-IF(LAND_TYPE=2,LAND_TOT,0))),0)</f>
        <v>0</v>
      </c>
      <c r="N41" s="193">
        <f>IF(AND(PROJECT_MODE&lt;&gt;0,DIST_SURPLUS=1,N37=0),MAX(0,MIN(N36-N38-MIN_CASH,'41_BS'!M34+N28-IF(LAND_TYPE=2,LAND_TOT,0))),0)</f>
        <v>0</v>
      </c>
      <c r="O41" s="193">
        <f>IF(AND(PROJECT_MODE&lt;&gt;0,DIST_SURPLUS=1,O37=0),MAX(0,MIN(O36-O38-MIN_CASH,'41_BS'!N34+O28-IF(LAND_TYPE=2,LAND_TOT,0))),0)</f>
        <v>0</v>
      </c>
      <c r="P41" s="193">
        <f>IF(AND(PROJECT_MODE&lt;&gt;0,DIST_SURPLUS=1,P37=0),MAX(0,MIN(P36-P38-MIN_CASH,'41_BS'!O34+P28-IF(LAND_TYPE=2,LAND_TOT,0))),0)</f>
        <v>0</v>
      </c>
      <c r="Q41" s="193">
        <f>IF(AND(PROJECT_MODE&lt;&gt;0,DIST_SURPLUS=1,Q37=0),MAX(0,MIN(Q36-Q38-MIN_CASH,'41_BS'!P34+Q28-IF(LAND_TYPE=2,LAND_TOT,0))),0)</f>
        <v>0</v>
      </c>
      <c r="R41" s="193">
        <f>IF(AND(PROJECT_MODE&lt;&gt;0,DIST_SURPLUS=1,R37=0),MAX(0,MIN(R36-R38-MIN_CASH,'41_BS'!Q34+R28-IF(LAND_TYPE=2,LAND_TOT,0))),0)</f>
        <v>0</v>
      </c>
    </row>
    <row r="42">
      <c r="B42" s="36" t="inlineStr">
        <is>
          <t>Capital returned to shareholders</t>
        </is>
      </c>
      <c r="C42" s="117" t="str">
        <f>UNIT_LBL</f>
        <v>ETB '000</v>
      </c>
      <c r="D42" s="189">
        <f>SUM(E42:R42)</f>
        <v>-176878493.455735</v>
      </c>
      <c r="E42" s="193">
        <f>-E41</f>
        <v>0</v>
      </c>
      <c r="F42" s="193">
        <f>-F41</f>
        <v>0</v>
      </c>
      <c r="G42" s="193">
        <f>-G41</f>
        <v>0</v>
      </c>
      <c r="H42" s="193">
        <f>-H41</f>
        <v>0</v>
      </c>
      <c r="I42" s="193">
        <f>-I41</f>
        <v>-176878493.455735</v>
      </c>
      <c r="J42" s="193">
        <f>-J41</f>
        <v>0</v>
      </c>
      <c r="K42" s="193">
        <f>-K41</f>
        <v>0</v>
      </c>
      <c r="L42" s="193">
        <f>-L41</f>
        <v>0</v>
      </c>
      <c r="M42" s="193">
        <f>-M41</f>
        <v>0</v>
      </c>
      <c r="N42" s="193">
        <f>-N41</f>
        <v>0</v>
      </c>
      <c r="O42" s="193">
        <f>-O41</f>
        <v>0</v>
      </c>
      <c r="P42" s="193">
        <f>-P41</f>
        <v>0</v>
      </c>
      <c r="Q42" s="193">
        <f>-Q41</f>
        <v>0</v>
      </c>
      <c r="R42" s="193">
        <f>-R41</f>
        <v>0</v>
      </c>
    </row>
    <row r="43">
      <c r="B43" s="97" t="inlineStr">
        <is>
          <t>Net cash from financing activities</t>
        </is>
      </c>
      <c r="C43" s="180" t="str">
        <f>UNIT_LBL</f>
        <v>ETB '000</v>
      </c>
      <c r="D43" s="191">
        <f>SUM(E43:R43)</f>
        <v>-366268582.777819</v>
      </c>
      <c r="E43" s="192">
        <f>E35+E40+E42</f>
        <v>102968903.509016</v>
      </c>
      <c r="F43" s="192">
        <f>F35+F40+F42</f>
        <v>163758264.016436</v>
      </c>
      <c r="G43" s="192">
        <f>G35+G40+G42</f>
        <v>-1819461.83614239</v>
      </c>
      <c r="H43" s="192">
        <f>H35+H40+H42</f>
        <v>0</v>
      </c>
      <c r="I43" s="192">
        <f>I35+I40+I42</f>
        <v>-298797478.22811</v>
      </c>
      <c r="J43" s="192">
        <f>J35+J40+J42</f>
        <v>-69953988.3112444</v>
      </c>
      <c r="K43" s="192">
        <f>K35+K40+K42</f>
        <v>-28309775.9474682</v>
      </c>
      <c r="L43" s="192">
        <f>L35+L40+L42</f>
        <v>-29874664.6819994</v>
      </c>
      <c r="M43" s="192">
        <f>M35+M40+M42</f>
        <v>-31583479.3904269</v>
      </c>
      <c r="N43" s="192">
        <f>N35+N40+N42</f>
        <v>-32160616.9440999</v>
      </c>
      <c r="O43" s="192">
        <f>O35+O40+O42</f>
        <v>-34198623.1023629</v>
      </c>
      <c r="P43" s="192">
        <f>P35+P40+P42</f>
        <v>-33897246.9023199</v>
      </c>
      <c r="Q43" s="192">
        <f>Q35+Q40+Q42</f>
        <v>-35162203.5824876</v>
      </c>
      <c r="R43" s="192">
        <f>R35+R40+R42</f>
        <v>-37238211.3766098</v>
      </c>
    </row>
    <row r="44">
      <c r="B44" s="97" t="inlineStr">
        <is>
          <t>Net change in cash</t>
        </is>
      </c>
      <c r="C44" s="180" t="str">
        <f>UNIT_LBL</f>
        <v>ETB '000</v>
      </c>
      <c r="D44" s="191">
        <f>SUM(E44:R44)</f>
        <v>1999999.99999999</v>
      </c>
      <c r="E44" s="192">
        <f>E23+E26+E43</f>
        <v>8031506.64316113</v>
      </c>
      <c r="F44" s="192">
        <f>F23+F26+F43</f>
        <v>31778785.9472773</v>
      </c>
      <c r="G44" s="192">
        <f>G23+G26+G43</f>
        <v>157410130.888168</v>
      </c>
      <c r="H44" s="192">
        <f>H23+H26+H43</f>
        <v>-201277.235256292</v>
      </c>
      <c r="I44" s="192">
        <f>I23+I26+I43</f>
        <v>-195019146.24335</v>
      </c>
      <c r="J44" s="192">
        <f>J23+J26+J43</f>
        <v>20314220.1568934</v>
      </c>
      <c r="K44" s="192">
        <f>K23+K26+K43</f>
        <v>-7173977.30460772</v>
      </c>
      <c r="L44" s="192">
        <f>L23+L26+L43</f>
        <v>-3258793.23765185</v>
      </c>
      <c r="M44" s="192">
        <f>M23+M26+M43</f>
        <v>-3706173.90304008</v>
      </c>
      <c r="N44" s="192">
        <f>N23+N26+N43</f>
        <v>-2861667.99633331</v>
      </c>
      <c r="O44" s="192">
        <f>O23+O26+O43</f>
        <v>-2678621.26047776</v>
      </c>
      <c r="P44" s="192">
        <f>P23+P26+P43</f>
        <v>-634986.454782717</v>
      </c>
      <c r="Q44" s="192">
        <f>Q23+Q26+Q43</f>
        <v>0</v>
      </c>
      <c r="R44" s="192">
        <f>R23+R26+R43</f>
        <v>0</v>
      </c>
    </row>
    <row r="45">
      <c r="B45" s="36" t="inlineStr">
        <is>
          <t>Opening cash</t>
        </is>
      </c>
      <c r="C45" s="117" t="str">
        <f>UNIT_LBL</f>
        <v>ETB '000</v>
      </c>
      <c r="D45" s="189">
        <f>E45</f>
        <v>0</v>
      </c>
      <c r="E45" s="193">
        <f>0</f>
        <v>0</v>
      </c>
      <c r="F45" s="190">
        <f>E46</f>
        <v>8031506.64316113</v>
      </c>
      <c r="G45" s="190">
        <f>F46</f>
        <v>39810292.5904384</v>
      </c>
      <c r="H45" s="190">
        <f>G46</f>
        <v>197220423.478607</v>
      </c>
      <c r="I45" s="190">
        <f>H46</f>
        <v>197019146.24335</v>
      </c>
      <c r="J45" s="190">
        <f>I46</f>
        <v>2000000.00000006</v>
      </c>
      <c r="K45" s="190">
        <f>J46</f>
        <v>22314220.1568934</v>
      </c>
      <c r="L45" s="190">
        <f>K46</f>
        <v>15140242.8522857</v>
      </c>
      <c r="M45" s="190">
        <f>L46</f>
        <v>11881449.6146339</v>
      </c>
      <c r="N45" s="190">
        <f>M46</f>
        <v>8175275.71159378</v>
      </c>
      <c r="O45" s="190">
        <f>N46</f>
        <v>5313607.71526048</v>
      </c>
      <c r="P45" s="190">
        <f>O46</f>
        <v>2634986.45478272</v>
      </c>
      <c r="Q45" s="190">
        <f>P46</f>
        <v>2000000</v>
      </c>
      <c r="R45" s="190">
        <f>Q46</f>
        <v>2000000</v>
      </c>
    </row>
    <row r="46">
      <c r="B46" s="183" t="inlineStr">
        <is>
          <t>CLOSING CASH</t>
        </is>
      </c>
      <c r="C46" s="184" t="str">
        <f>UNIT_LBL</f>
        <v>ETB '000</v>
      </c>
      <c r="D46" s="195">
        <f>R46</f>
        <v>2000000</v>
      </c>
      <c r="E46" s="196">
        <f>E45+E44</f>
        <v>8031506.64316113</v>
      </c>
      <c r="F46" s="196">
        <f>F45+F44</f>
        <v>39810292.5904384</v>
      </c>
      <c r="G46" s="196">
        <f>G45+G44</f>
        <v>197220423.478607</v>
      </c>
      <c r="H46" s="196">
        <f>H45+H44</f>
        <v>197019146.24335</v>
      </c>
      <c r="I46" s="196">
        <f>I45+I44</f>
        <v>2000000.00000006</v>
      </c>
      <c r="J46" s="196">
        <f>J45+J44</f>
        <v>22314220.1568934</v>
      </c>
      <c r="K46" s="196">
        <f>K45+K44</f>
        <v>15140242.8522857</v>
      </c>
      <c r="L46" s="196">
        <f>L45+L44</f>
        <v>11881449.6146339</v>
      </c>
      <c r="M46" s="196">
        <f>M45+M44</f>
        <v>8175275.71159378</v>
      </c>
      <c r="N46" s="196">
        <f>N45+N44</f>
        <v>5313607.71526048</v>
      </c>
      <c r="O46" s="196">
        <f>O45+O44</f>
        <v>2634986.45478272</v>
      </c>
      <c r="P46" s="196">
        <f>P45+P44</f>
        <v>2000000</v>
      </c>
      <c r="Q46" s="196">
        <f>Q45+Q44</f>
        <v>2000000</v>
      </c>
      <c r="R46" s="196">
        <f>R45+R44</f>
        <v>2000000</v>
      </c>
    </row>
    <row r="47" ht="20" customHeight="1">
      <c r="B47" s="113" t="inlineStr">
        <is>
          <t>Debt service reserve account (DSRA)</t>
        </is>
      </c>
      <c r="C47" s="37" t="inlineStr">
        <is>
          <t>የዕዳ ክፍያ መጠባበቂያ</t>
        </is>
      </c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</row>
    <row r="48">
      <c r="B48" s="36" t="inlineStr">
        <is>
          <t>DSRA balance (restricted cash)</t>
        </is>
      </c>
      <c r="C48" s="117" t="str">
        <f>UNIT_LBL</f>
        <v>ETB '000</v>
      </c>
      <c r="D48" s="189">
        <f>R48</f>
        <v>0</v>
      </c>
      <c r="E48" s="193" t="n">
        <v>0</v>
      </c>
      <c r="F48" s="193" t="n">
        <v>0</v>
      </c>
      <c r="G48" s="193" t="n">
        <v>0</v>
      </c>
      <c r="H48" s="193" t="n">
        <v>0</v>
      </c>
      <c r="I48" s="193">
        <f>IF('27_Loan'!I20&gt;0,DSRA_M/12*'27_Loan'!J19,0)</f>
        <v>5557799.45341452</v>
      </c>
      <c r="J48" s="193">
        <f>IF('27_Loan'!J20&gt;0,DSRA_M/12*'27_Loan'!K19,0)</f>
        <v>2423309.87528355</v>
      </c>
      <c r="K48" s="193">
        <f>IF('27_Loan'!K20&gt;0,DSRA_M/12*'27_Loan'!L19,0)</f>
        <v>2423309.87528355</v>
      </c>
      <c r="L48" s="193">
        <f>IF('27_Loan'!L20&gt;0,DSRA_M/12*'27_Loan'!M19,0)</f>
        <v>2423309.87528355</v>
      </c>
      <c r="M48" s="193">
        <f>IF('27_Loan'!M20&gt;0,DSRA_M/12*'27_Loan'!N19,0)</f>
        <v>2423309.87528355</v>
      </c>
      <c r="N48" s="193">
        <f>IF('27_Loan'!N20&gt;0,DSRA_M/12*'27_Loan'!O19,0)</f>
        <v>2423309.87528355</v>
      </c>
      <c r="O48" s="193">
        <f>IF('27_Loan'!O20&gt;0,DSRA_M/12*'27_Loan'!P19,0)</f>
        <v>2423309.87528355</v>
      </c>
      <c r="P48" s="193">
        <f>IF('27_Loan'!P20&gt;0,DSRA_M/12*'27_Loan'!Q19,0)</f>
        <v>2423309.87528355</v>
      </c>
      <c r="Q48" s="193">
        <f>IF('27_Loan'!Q20&gt;0,DSRA_M/12*'27_Loan'!R19,0)</f>
        <v>2423309.87528355</v>
      </c>
      <c r="R48" s="193">
        <f>IF('27_Loan'!R20&gt;0,DSRA_M/12*'27_Loan'!R19,0)</f>
        <v>0</v>
      </c>
    </row>
  </sheetData>
  <conditionalFormatting sqref="B5:R5">
    <cfRule type="expression" priority="1" dxfId="7">
      <formula>PROJECT_MODE=0</formula>
    </cfRule>
  </conditionalFormatting>
  <conditionalFormatting sqref="D10:R10 D12:R12 D13:R13 D14:R14 D15:R15 D16:R16 D17:R17 D18:R18 D19:R19 D20:R20 D21:R21 D22:R22 D23:R23 D25:R25 D26:R26 D28:R28 D29:R29 D30:R30 D31:R31 D32:R32 D33:R33 D34:R34 D35:R35 D36:R36 D38:R38 D39:R39 D40:R40 D41:R41 D42:R42 D43:R43 D44:R44 D45:R45 D46:R46 D48:R48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0F2A44"/>
    <outlinePr summaryBelow="1" summaryRight="1"/>
    <pageSetUpPr fitToPage="1"/>
  </sheetPr>
  <dimension ref="A1:R33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43 · Ratios &amp; lender pack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የአፈጻጸም ምጣኔዎችና የባንክ መረጃ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>
      <c r="B10" s="36" t="inlineStr">
        <is>
          <t>Cash flow available for debt service (CFADS)</t>
        </is>
      </c>
      <c r="C10" s="117" t="str">
        <f>UNIT_LBL</f>
        <v>ETB '000</v>
      </c>
      <c r="D10" s="189">
        <f>SUM(E10:R10)</f>
        <v>221658582.777819</v>
      </c>
      <c r="E10" s="193">
        <f>'42_CF'!E23+'42_CF'!E26+'42_CF'!E32+'42_CF'!E33</f>
        <v>-94937396.8658548</v>
      </c>
      <c r="F10" s="193">
        <f>'42_CF'!F23+'42_CF'!F26+'42_CF'!F32+'42_CF'!F33</f>
        <v>-145929478.069159</v>
      </c>
      <c r="G10" s="193">
        <f>'42_CF'!G23+'42_CF'!G26+'42_CF'!G32+'42_CF'!G33</f>
        <v>145594592.72431</v>
      </c>
      <c r="H10" s="193">
        <f>'42_CF'!H23+'42_CF'!H26+'42_CF'!H32+'42_CF'!H33</f>
        <v>-201277.235256292</v>
      </c>
      <c r="I10" s="193">
        <f>'42_CF'!I23+'42_CF'!I26+'42_CF'!I32+'42_CF'!I33</f>
        <v>90458331.9847596</v>
      </c>
      <c r="J10" s="193">
        <f>'42_CF'!J23+'42_CF'!J26+'42_CF'!J32+'42_CF'!J33</f>
        <v>77263208.4681378</v>
      </c>
      <c r="K10" s="193">
        <f>'42_CF'!K23+'42_CF'!K26+'42_CF'!K32+'42_CF'!K33</f>
        <v>8445798.64286046</v>
      </c>
      <c r="L10" s="193">
        <f>'42_CF'!L23+'42_CF'!L26+'42_CF'!L32+'42_CF'!L33</f>
        <v>14240871.4443476</v>
      </c>
      <c r="M10" s="193">
        <f>'42_CF'!M23+'42_CF'!M26+'42_CF'!M32+'42_CF'!M33</f>
        <v>15817305.4873868</v>
      </c>
      <c r="N10" s="193">
        <f>'42_CF'!N23+'42_CF'!N26+'42_CF'!N32+'42_CF'!N33</f>
        <v>17553948.9477666</v>
      </c>
      <c r="O10" s="193">
        <f>'42_CF'!O23+'42_CF'!O26+'42_CF'!O32+'42_CF'!O33</f>
        <v>20090001.8418851</v>
      </c>
      <c r="P10" s="193">
        <f>'42_CF'!P23+'42_CF'!P26+'42_CF'!P32+'42_CF'!P33</f>
        <v>22147260.4475371</v>
      </c>
      <c r="Q10" s="193">
        <f>'42_CF'!Q23+'42_CF'!Q26+'42_CF'!Q32+'42_CF'!Q33</f>
        <v>24362203.5824876</v>
      </c>
      <c r="R10" s="193">
        <f>'42_CF'!R23+'42_CF'!R26+'42_CF'!R32+'42_CF'!R33</f>
        <v>26753211.3766098</v>
      </c>
    </row>
    <row r="11">
      <c r="B11" s="36" t="inlineStr">
        <is>
          <t>Debt service</t>
        </is>
      </c>
      <c r="C11" s="117" t="str">
        <f>UNIT_LBL</f>
        <v>ETB '000</v>
      </c>
      <c r="D11" s="189">
        <f>SUM(E11:R11)</f>
        <v>64458316.3931484</v>
      </c>
      <c r="E11" s="190">
        <f>'27_Loan'!E19</f>
        <v>0</v>
      </c>
      <c r="F11" s="190">
        <f>'27_Loan'!F19</f>
        <v>0</v>
      </c>
      <c r="G11" s="190">
        <f>'27_Loan'!G19</f>
        <v>0</v>
      </c>
      <c r="H11" s="190">
        <f>'27_Loan'!H19</f>
        <v>0</v>
      </c>
      <c r="I11" s="190">
        <f>'27_Loan'!I19</f>
        <v>14569759.4817826</v>
      </c>
      <c r="J11" s="190">
        <f>'27_Loan'!J19</f>
        <v>11115598.906829</v>
      </c>
      <c r="K11" s="190">
        <f>'27_Loan'!K19</f>
        <v>4846619.7505671</v>
      </c>
      <c r="L11" s="190">
        <f>'27_Loan'!L19</f>
        <v>4846619.7505671</v>
      </c>
      <c r="M11" s="190">
        <f>'27_Loan'!M19</f>
        <v>4846619.7505671</v>
      </c>
      <c r="N11" s="190">
        <f>'27_Loan'!N19</f>
        <v>4846619.7505671</v>
      </c>
      <c r="O11" s="190">
        <f>'27_Loan'!O19</f>
        <v>4846619.7505671</v>
      </c>
      <c r="P11" s="190">
        <f>'27_Loan'!P19</f>
        <v>4846619.7505671</v>
      </c>
      <c r="Q11" s="190">
        <f>'27_Loan'!Q19</f>
        <v>4846619.7505671</v>
      </c>
      <c r="R11" s="190">
        <f>'27_Loan'!R19</f>
        <v>4846619.7505671</v>
      </c>
    </row>
    <row r="12">
      <c r="B12" s="141" t="inlineStr">
        <is>
          <t>DSCR</t>
        </is>
      </c>
      <c r="C12" s="117" t="inlineStr">
        <is>
          <t>x</t>
        </is>
      </c>
      <c r="E12" s="199" t="n">
        <v>0</v>
      </c>
      <c r="F12" s="199" t="n">
        <v>0</v>
      </c>
      <c r="G12" s="199" t="n">
        <v>0</v>
      </c>
      <c r="H12" s="199" t="n">
        <v>0</v>
      </c>
      <c r="I12" s="199">
        <f>IF(I11&gt;0,I10/I11,"")</f>
        <v>6.20863591453689</v>
      </c>
      <c r="J12" s="199">
        <f>IF(J11&gt;0,J10/J11,"")</f>
        <v>6.95088128995641</v>
      </c>
      <c r="K12" s="199">
        <f>IF(K11&gt;0,K10/K11,"")</f>
        <v>1.7426163135394</v>
      </c>
      <c r="L12" s="199">
        <f>IF(L11&gt;0,L10/L11,"")</f>
        <v>2.93831003405647</v>
      </c>
      <c r="M12" s="199">
        <f>IF(M11&gt;0,M10/M11,"")</f>
        <v>3.26357467708005</v>
      </c>
      <c r="N12" s="199">
        <f>IF(N11&gt;0,N10/N11,"")</f>
        <v>3.62189522825937</v>
      </c>
      <c r="O12" s="199">
        <f>IF(O11&gt;0,O10/O11,"")</f>
        <v>4.14515742431298</v>
      </c>
      <c r="P12" s="199">
        <f>IF(P11&gt;0,P10/P11,"")</f>
        <v>4.56963029644439</v>
      </c>
      <c r="Q12" s="199">
        <f>IF(Q11&gt;0,Q10/Q11,"")</f>
        <v>5.02663811817237</v>
      </c>
      <c r="R12" s="199">
        <f>IF(R11&gt;0,R10/R11,"")</f>
        <v>5.51997325011508</v>
      </c>
    </row>
    <row r="13">
      <c r="B13" s="36" t="inlineStr">
        <is>
          <t>DSCR (numeric helper, 99 = no debt service)</t>
        </is>
      </c>
      <c r="C13" s="117" t="inlineStr">
        <is>
          <t>x</t>
        </is>
      </c>
      <c r="E13" s="200">
        <f>IF(E11&gt;0,E10/E11,99)</f>
        <v>99</v>
      </c>
      <c r="F13" s="200">
        <f>IF(F11&gt;0,F10/F11,99)</f>
        <v>99</v>
      </c>
      <c r="G13" s="200">
        <f>IF(G11&gt;0,G10/G11,99)</f>
        <v>99</v>
      </c>
      <c r="H13" s="200">
        <f>IF(H11&gt;0,H10/H11,99)</f>
        <v>99</v>
      </c>
      <c r="I13" s="200">
        <f>IF(I11&gt;0,I10/I11,99)</f>
        <v>6.20863591453689</v>
      </c>
      <c r="J13" s="200">
        <f>IF(J11&gt;0,J10/J11,99)</f>
        <v>6.95088128995641</v>
      </c>
      <c r="K13" s="200">
        <f>IF(K11&gt;0,K10/K11,99)</f>
        <v>1.7426163135394</v>
      </c>
      <c r="L13" s="200">
        <f>IF(L11&gt;0,L10/L11,99)</f>
        <v>2.93831003405647</v>
      </c>
      <c r="M13" s="200">
        <f>IF(M11&gt;0,M10/M11,99)</f>
        <v>3.26357467708005</v>
      </c>
      <c r="N13" s="200">
        <f>IF(N11&gt;0,N10/N11,99)</f>
        <v>3.62189522825937</v>
      </c>
      <c r="O13" s="200">
        <f>IF(O11&gt;0,O10/O11,99)</f>
        <v>4.14515742431298</v>
      </c>
      <c r="P13" s="200">
        <f>IF(P11&gt;0,P10/P11,99)</f>
        <v>4.56963029644439</v>
      </c>
      <c r="Q13" s="200">
        <f>IF(Q11&gt;0,Q10/Q11,99)</f>
        <v>5.02663811817237</v>
      </c>
      <c r="R13" s="200">
        <f>IF(R11&gt;0,R10/R11,99)</f>
        <v>5.51997325011508</v>
      </c>
    </row>
    <row r="14">
      <c r="B14" s="36" t="inlineStr">
        <is>
          <t>Covenant</t>
        </is>
      </c>
      <c r="C14" s="117" t="inlineStr">
        <is>
          <t>x</t>
        </is>
      </c>
      <c r="E14" s="188">
        <f>DSCR_COV</f>
        <v>1.3</v>
      </c>
      <c r="F14" s="188">
        <f>DSCR_COV</f>
        <v>1.3</v>
      </c>
      <c r="G14" s="188">
        <f>DSCR_COV</f>
        <v>1.3</v>
      </c>
      <c r="H14" s="188">
        <f>DSCR_COV</f>
        <v>1.3</v>
      </c>
      <c r="I14" s="188">
        <f>DSCR_COV</f>
        <v>1.3</v>
      </c>
      <c r="J14" s="188">
        <f>DSCR_COV</f>
        <v>1.3</v>
      </c>
      <c r="K14" s="188">
        <f>DSCR_COV</f>
        <v>1.3</v>
      </c>
      <c r="L14" s="188">
        <f>DSCR_COV</f>
        <v>1.3</v>
      </c>
      <c r="M14" s="188">
        <f>DSCR_COV</f>
        <v>1.3</v>
      </c>
      <c r="N14" s="188">
        <f>DSCR_COV</f>
        <v>1.3</v>
      </c>
      <c r="O14" s="188">
        <f>DSCR_COV</f>
        <v>1.3</v>
      </c>
      <c r="P14" s="188">
        <f>DSCR_COV</f>
        <v>1.3</v>
      </c>
      <c r="Q14" s="188">
        <f>DSCR_COV</f>
        <v>1.3</v>
      </c>
      <c r="R14" s="188">
        <f>DSCR_COV</f>
        <v>1.3</v>
      </c>
    </row>
    <row r="15">
      <c r="B15" s="36" t="inlineStr">
        <is>
          <t>PV of CFADS over remaining loan life</t>
        </is>
      </c>
      <c r="C15" s="117" t="str">
        <f>UNIT_LBL</f>
        <v>ETB '000</v>
      </c>
      <c r="E15" s="193" t="n">
        <v>0</v>
      </c>
      <c r="F15" s="193" t="n">
        <v>0</v>
      </c>
      <c r="G15" s="193" t="n">
        <v>0</v>
      </c>
      <c r="H15" s="193" t="n">
        <v>0</v>
      </c>
      <c r="I15" s="193">
        <f>IF('27_Loan'!I21&gt;0,(I10+J15)/(1+RATE_EFF),0)</f>
        <v>194560869.93362</v>
      </c>
      <c r="J15" s="193">
        <f>IF('27_Loan'!J21&gt;0,(J10+K15)/(1+RATE_EFF),0)</f>
        <v>133286668.438903</v>
      </c>
      <c r="K15" s="193">
        <f>IF('27_Loan'!K21&gt;0,(K10+L15)/(1+RATE_EFF),0)</f>
        <v>76016460.2366008</v>
      </c>
      <c r="L15" s="193">
        <f>IF('27_Loan'!L21&gt;0,(L10+M15)/(1+RATE_EFF),0)</f>
        <v>78973130.6292305</v>
      </c>
      <c r="M15" s="193">
        <f>IF('27_Loan'!M21&gt;0,(M10+N15)/(1+RATE_EFF),0)</f>
        <v>76578228.7792675</v>
      </c>
      <c r="N15" s="193">
        <f>IF('27_Loan'!N21&gt;0,(N10+O15)/(1+RATE_EFF),0)</f>
        <v>72247657.6087707</v>
      </c>
      <c r="O15" s="193">
        <f>IF('27_Loan'!O21&gt;0,(O10+P15)/(1+RATE_EFF),0)</f>
        <v>65530857.3023198</v>
      </c>
      <c r="P15" s="193">
        <f>IF('27_Loan'!P21&gt;0,(P10+Q15)/(1+RATE_EFF),0)</f>
        <v>55270484.0557826</v>
      </c>
      <c r="Q15" s="193">
        <f>IF('27_Loan'!Q21&gt;0,(Q10+R15)/(1+RATE_EFF),0)</f>
        <v>41413796.2166129</v>
      </c>
      <c r="R15" s="193">
        <f>IF('27_Loan'!R21&gt;0,(R10+0)/(1+RATE_EFF),0)</f>
        <v>23263662.0666172</v>
      </c>
    </row>
    <row r="16">
      <c r="B16" s="36" t="inlineStr">
        <is>
          <t>LLCR</t>
        </is>
      </c>
      <c r="C16" s="117" t="inlineStr">
        <is>
          <t>x</t>
        </is>
      </c>
      <c r="E16" s="200" t="n">
        <v>0</v>
      </c>
      <c r="F16" s="200" t="n">
        <v>0</v>
      </c>
      <c r="G16" s="200" t="n">
        <v>0</v>
      </c>
      <c r="H16" s="200" t="n">
        <v>0</v>
      </c>
      <c r="I16" s="200">
        <f>IF('27_Loan'!I21&gt;0,I15/'27_Loan'!I21,"")</f>
        <v>1.46121685820763</v>
      </c>
      <c r="J16" s="200">
        <f>IF('27_Loan'!J21&gt;0,J15/'27_Loan'!J21,"")</f>
        <v>2.44954171093856</v>
      </c>
      <c r="K16" s="200">
        <f>IF('27_Loan'!K21&gt;0,K15/'27_Loan'!K21,"")</f>
        <v>3.39921141472305</v>
      </c>
      <c r="L16" s="200">
        <f>IF('27_Loan'!L21&gt;0,L15/'27_Loan'!L21,"")</f>
        <v>3.79957233177656</v>
      </c>
      <c r="M16" s="200">
        <f>IF('27_Loan'!M21&gt;0,M15/'27_Loan'!M21,"")</f>
        <v>4.03976103385766</v>
      </c>
      <c r="N16" s="200">
        <f>IF('27_Loan'!N21&gt;0,N15/'27_Loan'!N21,"")</f>
        <v>4.29090230819803</v>
      </c>
      <c r="O16" s="200">
        <f>IF('27_Loan'!O21&gt;0,O15/'27_Loan'!O21,"")</f>
        <v>4.55627717284071</v>
      </c>
      <c r="P16" s="200">
        <f>IF('27_Loan'!P21&gt;0,P15/'27_Loan'!P21,"")</f>
        <v>4.79020926390673</v>
      </c>
      <c r="Q16" s="200">
        <f>IF('27_Loan'!Q21&gt;0,Q15/'27_Loan'!Q21,"")</f>
        <v>5.02433592189828</v>
      </c>
      <c r="R16" s="200">
        <f>IF('27_Loan'!R21&gt;0,R15/'27_Loan'!R21,"")</f>
        <v>5.25825448334118</v>
      </c>
    </row>
    <row r="17">
      <c r="B17" s="36" t="inlineStr">
        <is>
          <t>Interest cover (EBITDA ÷ finance cost)</t>
        </is>
      </c>
      <c r="C17" s="117" t="inlineStr">
        <is>
          <t>x</t>
        </is>
      </c>
      <c r="E17" s="200" t="n">
        <v>0</v>
      </c>
      <c r="F17" s="200" t="n">
        <v>0</v>
      </c>
      <c r="G17" s="200" t="n">
        <v>0</v>
      </c>
      <c r="H17" s="200" t="n">
        <v>0</v>
      </c>
      <c r="I17" s="200">
        <f>IF('27_Loan'!I16+'27_Loan'!I23&gt;0,'40_PL'!I30/('27_Loan'!I16+'27_Loan'!I23),"")</f>
        <v>1.64331476998958</v>
      </c>
      <c r="J17" s="200">
        <f>IF('27_Loan'!J16+'27_Loan'!J23&gt;0,'40_PL'!J30/('27_Loan'!J16+'27_Loan'!J23),"")</f>
        <v>2.73833443435537</v>
      </c>
      <c r="K17" s="200">
        <f>IF('27_Loan'!K16+'27_Loan'!K23&gt;0,'40_PL'!K30/('27_Loan'!K16+'27_Loan'!K23),"")</f>
        <v>2.66585348336538</v>
      </c>
      <c r="L17" s="200">
        <f>IF('27_Loan'!L16+'27_Loan'!L23&gt;0,'40_PL'!L30/('27_Loan'!L16+'27_Loan'!L23),"")</f>
        <v>3.01056733721011</v>
      </c>
      <c r="M17" s="200">
        <f>IF('27_Loan'!M16+'27_Loan'!M23&gt;0,'40_PL'!M30/('27_Loan'!M16+'27_Loan'!M23),"")</f>
        <v>3.42319876858682</v>
      </c>
      <c r="N17" s="200">
        <f>IF('27_Loan'!N16+'27_Loan'!N23&gt;0,'40_PL'!N30/('27_Loan'!N16+'27_Loan'!N23),"")</f>
        <v>3.72546356587971</v>
      </c>
      <c r="O17" s="200">
        <f>IF('27_Loan'!O16+'27_Loan'!O23&gt;0,'40_PL'!O30/('27_Loan'!O16+'27_Loan'!O23),"")</f>
        <v>4.33461255001195</v>
      </c>
      <c r="P17" s="200">
        <f>IF('27_Loan'!P16+'27_Loan'!P23&gt;0,'40_PL'!P30/('27_Loan'!P16+'27_Loan'!P23),"")</f>
        <v>5.11318275853699</v>
      </c>
      <c r="Q17" s="200">
        <f>IF('27_Loan'!Q16+'27_Loan'!Q23&gt;0,'40_PL'!Q30/('27_Loan'!Q16+'27_Loan'!Q23),"")</f>
        <v>6.14444486468373</v>
      </c>
      <c r="R17" s="200">
        <f>IF('27_Loan'!R16+'27_Loan'!R23&gt;0,'40_PL'!R30/('27_Loan'!R16+'27_Loan'!R23),"")</f>
        <v>7.57812342925325</v>
      </c>
    </row>
    <row r="18">
      <c r="B18" s="36" t="inlineStr">
        <is>
          <t>Gearing (loan ÷ (loan + equity))</t>
        </is>
      </c>
      <c r="C18" s="117" t="inlineStr">
        <is>
          <t>%</t>
        </is>
      </c>
      <c r="D18" s="145">
        <f>MAX(E18:R18)</f>
        <v>0.953350004111246</v>
      </c>
      <c r="E18" s="154">
        <f>IF('41_BS'!E24+'41_BS'!E39&gt;0,'41_BS'!E24/('41_BS'!E24+'41_BS'!E39),0)</f>
        <v>0</v>
      </c>
      <c r="F18" s="154">
        <f>IF('41_BS'!F24+'41_BS'!F39&gt;0,'41_BS'!F24/('41_BS'!F24+'41_BS'!F39),0)</f>
        <v>0.398536007202619</v>
      </c>
      <c r="G18" s="154">
        <f>IF('41_BS'!G24+'41_BS'!G39&gt;0,'41_BS'!G24/('41_BS'!G24+'41_BS'!G39),0)</f>
        <v>0.421833620140072</v>
      </c>
      <c r="H18" s="154">
        <f>IF('41_BS'!H24+'41_BS'!H39&gt;0,'41_BS'!H24/('41_BS'!H24+'41_BS'!H39),0)</f>
        <v>0.421833620140072</v>
      </c>
      <c r="I18" s="154">
        <f>IF('41_BS'!I24+'41_BS'!I39&gt;0,'41_BS'!I24/('41_BS'!I24+'41_BS'!I39),0)</f>
        <v>0.932233535244883</v>
      </c>
      <c r="J18" s="154">
        <f>IF('41_BS'!J24+'41_BS'!J39&gt;0,'41_BS'!J24/('41_BS'!J24+'41_BS'!J39),0)</f>
        <v>0.953350004111246</v>
      </c>
      <c r="K18" s="154">
        <f>IF('41_BS'!K24+'41_BS'!K39&gt;0,'41_BS'!K24/('41_BS'!K24+'41_BS'!K39),0)</f>
        <v>0.949984940938069</v>
      </c>
      <c r="L18" s="154">
        <f>IF('41_BS'!L24+'41_BS'!L39&gt;0,'41_BS'!L24/('41_BS'!L24+'41_BS'!L39),0)</f>
        <v>0.945423526837227</v>
      </c>
      <c r="M18" s="154">
        <f>IF('41_BS'!M24+'41_BS'!M39&gt;0,'41_BS'!M24/('41_BS'!M24+'41_BS'!M39),0)</f>
        <v>0.93897502635169</v>
      </c>
      <c r="N18" s="154">
        <f>IF('41_BS'!N24+'41_BS'!N39&gt;0,'41_BS'!N24/('41_BS'!N24+'41_BS'!N39),0)</f>
        <v>0.929295535118211</v>
      </c>
      <c r="O18" s="154">
        <f>IF('41_BS'!O24+'41_BS'!O39&gt;0,'41_BS'!O24/('41_BS'!O24+'41_BS'!O39),0)</f>
        <v>0.913375766263615</v>
      </c>
      <c r="P18" s="154">
        <f>IF('41_BS'!P24+'41_BS'!P39&gt;0,'41_BS'!P24/('41_BS'!P24+'41_BS'!P39),0)</f>
        <v>0.686530769612949</v>
      </c>
      <c r="Q18" s="154">
        <f>IF('41_BS'!Q24+'41_BS'!Q39&gt;0,'41_BS'!Q24/('41_BS'!Q24+'41_BS'!Q39),0)</f>
        <v>0.367936500533021</v>
      </c>
      <c r="R18" s="154">
        <f>IF('41_BS'!R24+'41_BS'!R39&gt;0,'41_BS'!R24/('41_BS'!R24+'41_BS'!R39),0)</f>
        <v>0</v>
      </c>
    </row>
    <row r="19">
      <c r="B19" s="36" t="inlineStr">
        <is>
          <t>Net debt ÷ EBITDA</t>
        </is>
      </c>
      <c r="C19" s="117" t="inlineStr">
        <is>
          <t>x</t>
        </is>
      </c>
      <c r="E19" s="200">
        <f>IF('40_PL'!E30&gt;0,('41_BS'!E24-'41_BS'!E20)/'40_PL'!E30,"")</f>
      </c>
      <c r="F19" s="200">
        <f>IF('40_PL'!F30&gt;0,('41_BS'!F24-'41_BS'!F20)/'40_PL'!F30,"")</f>
      </c>
      <c r="G19" s="200">
        <f>IF('40_PL'!G30&gt;0,('41_BS'!G24-'41_BS'!G20)/'40_PL'!G30,"")</f>
        <v>-2.14965549865264</v>
      </c>
      <c r="H19" s="200">
        <f>IF('40_PL'!H30&gt;0,('41_BS'!H24-'41_BS'!H20)/'40_PL'!H30,"")</f>
      </c>
      <c r="I19" s="200">
        <f>IF('40_PL'!I30&gt;0,('41_BS'!I24-'41_BS'!I20)/'40_PL'!I30,"")</f>
        <v>1.36361470560337</v>
      </c>
      <c r="J19" s="200">
        <f>IF('40_PL'!J30&gt;0,('41_BS'!J24-'41_BS'!J20)/'40_PL'!J30,"")</f>
        <v>0.00107915881559012</v>
      </c>
      <c r="K19" s="200">
        <f>IF('40_PL'!K30&gt;0,('41_BS'!K24-'41_BS'!K20)/'40_PL'!K30,"")</f>
        <v>0.184784457515657</v>
      </c>
      <c r="L19" s="200">
        <f>IF('40_PL'!L30&gt;0,('41_BS'!L24-'41_BS'!L20)/'40_PL'!L30,"")</f>
        <v>0.215730043689806</v>
      </c>
      <c r="M19" s="200">
        <f>IF('40_PL'!M30&gt;0,('41_BS'!M24-'41_BS'!M20)/'40_PL'!M30,"")</f>
        <v>0.24596083512538</v>
      </c>
      <c r="N19" s="200">
        <f>IF('40_PL'!N30&gt;0,('41_BS'!N24-'41_BS'!N20)/'40_PL'!N30,"")</f>
        <v>0.252606789207254</v>
      </c>
      <c r="O19" s="200">
        <f>IF('40_PL'!O30&gt;0,('41_BS'!O24-'41_BS'!O20)/'40_PL'!O30,"")</f>
        <v>0.229950517567735</v>
      </c>
      <c r="P19" s="200">
        <f>IF('40_PL'!P30&gt;0,('41_BS'!P24-'41_BS'!P20)/'40_PL'!P30,"")</f>
        <v>0.149508350768629</v>
      </c>
      <c r="Q19" s="200">
        <f>IF('40_PL'!Q30&gt;0,('41_BS'!Q24-'41_BS'!Q20)/'40_PL'!Q30,"")</f>
        <v>0.0538383621577641</v>
      </c>
      <c r="R19" s="200">
        <f>IF('40_PL'!R30&gt;0,('41_BS'!R24-'41_BS'!R20)/'40_PL'!R30,"")</f>
        <v>-0.041189482813426</v>
      </c>
    </row>
    <row r="20">
      <c r="B20" s="36" t="inlineStr">
        <is>
          <t>Cash balance in operating years</t>
        </is>
      </c>
      <c r="C20" s="117" t="str">
        <f>UNIT_LBL</f>
        <v>ETB '000</v>
      </c>
      <c r="E20" s="193" t="n">
        <v>0</v>
      </c>
      <c r="F20" s="193" t="n">
        <v>0</v>
      </c>
      <c r="G20" s="193" t="n">
        <v>0</v>
      </c>
      <c r="H20" s="193" t="n">
        <v>0</v>
      </c>
      <c r="I20" s="190">
        <f>'42_CF'!I46</f>
        <v>2000000.00000006</v>
      </c>
      <c r="J20" s="190">
        <f>'42_CF'!J46</f>
        <v>22314220.1568934</v>
      </c>
      <c r="K20" s="190">
        <f>'42_CF'!K46</f>
        <v>15140242.8522857</v>
      </c>
      <c r="L20" s="190">
        <f>'42_CF'!L46</f>
        <v>11881449.6146339</v>
      </c>
      <c r="M20" s="190">
        <f>'42_CF'!M46</f>
        <v>8175275.71159378</v>
      </c>
      <c r="N20" s="190">
        <f>'42_CF'!N46</f>
        <v>5313607.71526048</v>
      </c>
      <c r="O20" s="190">
        <f>'42_CF'!O46</f>
        <v>2634986.45478272</v>
      </c>
      <c r="P20" s="190">
        <f>'42_CF'!P46</f>
        <v>2000000</v>
      </c>
      <c r="Q20" s="190">
        <f>'42_CF'!Q46</f>
        <v>2000000</v>
      </c>
      <c r="R20" s="190">
        <f>'42_CF'!R46</f>
        <v>2000000</v>
      </c>
    </row>
    <row r="21">
      <c r="B21" s="36" t="inlineStr">
        <is>
          <t>Covenant breach flag</t>
        </is>
      </c>
      <c r="C21" s="117" t="inlineStr">
        <is>
          <t>flag</t>
        </is>
      </c>
      <c r="D21" s="147">
        <f>SUM(E21:R21)</f>
        <v>0</v>
      </c>
      <c r="E21" s="148">
        <f>IF(AND(E11&gt;0,E13&lt;DSCR_COV),1,0)</f>
        <v>0</v>
      </c>
      <c r="F21" s="148">
        <f>IF(AND(F11&gt;0,F13&lt;DSCR_COV),1,0)</f>
        <v>0</v>
      </c>
      <c r="G21" s="148">
        <f>IF(AND(G11&gt;0,G13&lt;DSCR_COV),1,0)</f>
        <v>0</v>
      </c>
      <c r="H21" s="148">
        <f>IF(AND(H11&gt;0,H13&lt;DSCR_COV),1,0)</f>
        <v>0</v>
      </c>
      <c r="I21" s="148">
        <f>IF(AND(I11&gt;0,I13&lt;DSCR_COV),1,0)</f>
        <v>0</v>
      </c>
      <c r="J21" s="148">
        <f>IF(AND(J11&gt;0,J13&lt;DSCR_COV),1,0)</f>
        <v>0</v>
      </c>
      <c r="K21" s="148">
        <f>IF(AND(K11&gt;0,K13&lt;DSCR_COV),1,0)</f>
        <v>0</v>
      </c>
      <c r="L21" s="148">
        <f>IF(AND(L11&gt;0,L13&lt;DSCR_COV),1,0)</f>
        <v>0</v>
      </c>
      <c r="M21" s="148">
        <f>IF(AND(M11&gt;0,M13&lt;DSCR_COV),1,0)</f>
        <v>0</v>
      </c>
      <c r="N21" s="148">
        <f>IF(AND(N11&gt;0,N13&lt;DSCR_COV),1,0)</f>
        <v>0</v>
      </c>
      <c r="O21" s="148">
        <f>IF(AND(O11&gt;0,O13&lt;DSCR_COV),1,0)</f>
        <v>0</v>
      </c>
      <c r="P21" s="148">
        <f>IF(AND(P11&gt;0,P13&lt;DSCR_COV),1,0)</f>
        <v>0</v>
      </c>
      <c r="Q21" s="148">
        <f>IF(AND(Q11&gt;0,Q13&lt;DSCR_COV),1,0)</f>
        <v>0</v>
      </c>
      <c r="R21" s="148">
        <f>IF(AND(R11&gt;0,R13&lt;DSCR_COV),1,0)</f>
        <v>0</v>
      </c>
    </row>
    <row r="22">
      <c r="B22" s="36" t="inlineStr">
        <is>
          <t>Below minimum cash flag (operating years)</t>
        </is>
      </c>
      <c r="C22" s="117" t="inlineStr">
        <is>
          <t>flag</t>
        </is>
      </c>
      <c r="D22" s="147">
        <f>SUM(E22:R22)</f>
        <v>0</v>
      </c>
      <c r="E22" s="148" t="n">
        <v>0</v>
      </c>
      <c r="F22" s="148" t="n">
        <v>0</v>
      </c>
      <c r="G22" s="148" t="n">
        <v>0</v>
      </c>
      <c r="H22" s="148" t="n">
        <v>0</v>
      </c>
      <c r="I22" s="148">
        <f>IF('42_CF'!I46&lt;MIN_CASH-0.5,1,0)</f>
        <v>0</v>
      </c>
      <c r="J22" s="148">
        <f>IF('42_CF'!J46&lt;MIN_CASH-0.5,1,0)</f>
        <v>0</v>
      </c>
      <c r="K22" s="148">
        <f>IF('42_CF'!K46&lt;MIN_CASH-0.5,1,0)</f>
        <v>0</v>
      </c>
      <c r="L22" s="148">
        <f>IF('42_CF'!L46&lt;MIN_CASH-0.5,1,0)</f>
        <v>0</v>
      </c>
      <c r="M22" s="148">
        <f>IF('42_CF'!M46&lt;MIN_CASH-0.5,1,0)</f>
        <v>0</v>
      </c>
      <c r="N22" s="148">
        <f>IF('42_CF'!N46&lt;MIN_CASH-0.5,1,0)</f>
        <v>0</v>
      </c>
      <c r="O22" s="148">
        <f>IF('42_CF'!O46&lt;MIN_CASH-0.5,1,0)</f>
        <v>0</v>
      </c>
      <c r="P22" s="148">
        <f>IF('42_CF'!P46&lt;MIN_CASH-0.5,1,0)</f>
        <v>0</v>
      </c>
      <c r="Q22" s="148">
        <f>IF('42_CF'!Q46&lt;MIN_CASH-0.5,1,0)</f>
        <v>0</v>
      </c>
      <c r="R22" s="148">
        <f>IF('42_CF'!R46&lt;MIN_CASH-0.5,1,0)</f>
        <v>0</v>
      </c>
    </row>
    <row r="24" ht="20" customHeight="1">
      <c r="B24" s="113" t="inlineStr">
        <is>
          <t>Summary</t>
        </is>
      </c>
      <c r="C24" s="37" t="inlineStr">
        <is>
          <t>ማጠቃለያ</t>
        </is>
      </c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B25" s="36" t="inlineStr">
        <is>
          <t>Minimum DSCR</t>
        </is>
      </c>
      <c r="C25" s="117" t="inlineStr">
        <is>
          <t>x</t>
        </is>
      </c>
      <c r="D25" s="199">
        <f>IF(COUNT($I$12:$R$12)&gt;0,MIN($I$12:$R$12),0)</f>
        <v>1.7426163135394</v>
      </c>
    </row>
    <row r="26">
      <c r="B26" s="36" t="inlineStr">
        <is>
          <t>Average DSCR</t>
        </is>
      </c>
      <c r="C26" s="117" t="inlineStr">
        <is>
          <t>x</t>
        </is>
      </c>
      <c r="D26" s="200">
        <f>IF(COUNT($I$12:$R$12)&gt;0,AVERAGE($I$12:$R$12),0)</f>
        <v>4.39873125464734</v>
      </c>
    </row>
    <row r="27">
      <c r="B27" s="36" t="inlineStr">
        <is>
          <t>Years with debt service</t>
        </is>
      </c>
      <c r="C27" s="117" t="inlineStr">
        <is>
          <t>no.</t>
        </is>
      </c>
      <c r="D27" s="148">
        <f>COUNT($I$12:$R$12)</f>
        <v>10</v>
      </c>
    </row>
    <row r="28">
      <c r="B28" s="36" t="inlineStr">
        <is>
          <t>LLCR at first operating year</t>
        </is>
      </c>
      <c r="C28" s="117" t="inlineStr">
        <is>
          <t>x</t>
        </is>
      </c>
      <c r="D28" s="200">
        <f>IF(ISNUMBER($I$16),$I$16,0)</f>
        <v>1.46121685820763</v>
      </c>
    </row>
    <row r="29">
      <c r="B29" s="36" t="inlineStr">
        <is>
          <t>Minimum ICR</t>
        </is>
      </c>
      <c r="C29" s="117" t="inlineStr">
        <is>
          <t>x</t>
        </is>
      </c>
      <c r="D29" s="200">
        <f>IF(COUNT($I$17:$R$17)&gt;0,MIN($I$17:$R$17),0)</f>
        <v>1.64331476998958</v>
      </c>
    </row>
    <row r="30">
      <c r="B30" s="36" t="inlineStr">
        <is>
          <t>Maximum gearing</t>
        </is>
      </c>
      <c r="C30" s="117" t="inlineStr">
        <is>
          <t>%</t>
        </is>
      </c>
      <c r="D30" s="154">
        <f>$D$18</f>
        <v>0.953350004111246</v>
      </c>
    </row>
    <row r="31">
      <c r="B31" s="36" t="inlineStr">
        <is>
          <t>Years below DSCR covenant</t>
        </is>
      </c>
      <c r="C31" s="117" t="inlineStr">
        <is>
          <t>no.</t>
        </is>
      </c>
      <c r="D31" s="148">
        <f>$D$21</f>
        <v>0</v>
      </c>
    </row>
    <row r="32">
      <c r="B32" s="36" t="inlineStr">
        <is>
          <t>Minimum cash in operating years</t>
        </is>
      </c>
      <c r="C32" s="117" t="str">
        <f>UNIT_LBL</f>
        <v>ETB '000</v>
      </c>
      <c r="D32" s="173">
        <f>MIN($I$20:$R$20)</f>
        <v>2000000</v>
      </c>
    </row>
    <row r="33">
      <c r="B33" s="36" t="inlineStr">
        <is>
          <t>Years below minimum cash</t>
        </is>
      </c>
      <c r="C33" s="117" t="inlineStr">
        <is>
          <t>no.</t>
        </is>
      </c>
      <c r="D33" s="148">
        <f>$D$22</f>
        <v>0</v>
      </c>
    </row>
  </sheetData>
  <conditionalFormatting sqref="B5:R5">
    <cfRule type="expression" priority="1" dxfId="7">
      <formula>PROJECT_MODE=0</formula>
    </cfRule>
  </conditionalFormatting>
  <conditionalFormatting sqref="D10:R10 D11:R11 D15:R15 D20:R20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57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50 · Returns – NPV, IRR, MOIC, margins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ተመላሽ – NPV፣ IRR፣ ትርፋማነት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Terminal value at O10</t>
        </is>
      </c>
      <c r="C10" s="37" t="inlineStr">
        <is>
          <t>የመጨረሻ ዋጋ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NOI in O10</t>
        </is>
      </c>
      <c r="C11" s="117" t="inlineStr">
        <is>
          <t>ETB</t>
        </is>
      </c>
      <c r="D11" s="170">
        <f>'24_Revenue'!$R$62</f>
        <v>52146933.1612517</v>
      </c>
    </row>
    <row r="12">
      <c r="B12" s="36" t="inlineStr">
        <is>
          <t>Stabilised NOI (O3)</t>
        </is>
      </c>
      <c r="C12" s="117" t="inlineStr">
        <is>
          <t>ETB</t>
        </is>
      </c>
      <c r="D12" s="170">
        <f>'24_Revenue'!$K$62</f>
        <v>30460282.3821797</v>
      </c>
    </row>
    <row r="13">
      <c r="B13" s="36" t="inlineStr">
        <is>
          <t>Terminal value (gross)</t>
        </is>
      </c>
      <c r="C13" s="117" t="inlineStr">
        <is>
          <t>ETB</t>
        </is>
      </c>
      <c r="D13" s="173">
        <f>IF(PROJECT_MODE=0,0,MAX(0,IF(EXIT_METHOD=1,NOI_O10*(1+RESC_EFF)/EXIT_CAP_EFF,NOI_O10*EXIT_MULT)))</f>
        <v>625763197.93502</v>
      </c>
    </row>
    <row r="14">
      <c r="B14" s="36" t="inlineStr">
        <is>
          <t>Terminal value net of exit costs</t>
        </is>
      </c>
      <c r="C14" s="117" t="inlineStr">
        <is>
          <t>ETB</t>
        </is>
      </c>
      <c r="D14" s="172">
        <f>TV_GROSS*(1-EXIT_COST)</f>
        <v>613247933.97632</v>
      </c>
    </row>
    <row r="15">
      <c r="B15" s="36" t="inlineStr">
        <is>
          <t>Equity exit value (owners' book equity + TV uplift)</t>
        </is>
      </c>
      <c r="C15" s="117" t="inlineStr">
        <is>
          <t>ETB</t>
        </is>
      </c>
      <c r="D15" s="173">
        <f>'41_BS'!$R$37+(TV_NET-'41_BS'!$R$11-'41_BS'!$R$12)*(1-NCI_PCT)</f>
        <v>515597008.940653</v>
      </c>
    </row>
    <row r="17" ht="20" customHeight="1">
      <c r="B17" s="113" t="inlineStr">
        <is>
          <t>Project cash flow (unlevered, after tax paid)</t>
        </is>
      </c>
      <c r="C17" s="37" t="inlineStr">
        <is>
          <t>የፕሮጀክት የገንዘብ ፍሰት</t>
        </is>
      </c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</row>
    <row r="18">
      <c r="B18" s="36" t="inlineStr">
        <is>
          <t>Operating + investing cash flow</t>
        </is>
      </c>
      <c r="C18" s="117" t="str">
        <f>UNIT_LBL</f>
        <v>ETB '000</v>
      </c>
      <c r="D18" s="189">
        <f>SUM(E18:R18)</f>
        <v>368268582.777819</v>
      </c>
      <c r="E18" s="193">
        <f>'42_CF'!E23+'42_CF'!E26</f>
        <v>-94937396.8658548</v>
      </c>
      <c r="F18" s="193">
        <f>'42_CF'!F23+'42_CF'!F26</f>
        <v>-131979478.069159</v>
      </c>
      <c r="G18" s="193">
        <f>'42_CF'!G23+'42_CF'!G26</f>
        <v>159229592.72431</v>
      </c>
      <c r="H18" s="193">
        <f>'42_CF'!H23+'42_CF'!H26</f>
        <v>-201277.235256292</v>
      </c>
      <c r="I18" s="193">
        <f>'42_CF'!I23+'42_CF'!I26</f>
        <v>103778331.98476</v>
      </c>
      <c r="J18" s="193">
        <f>'42_CF'!J23+'42_CF'!J26</f>
        <v>90268208.4681378</v>
      </c>
      <c r="K18" s="193">
        <f>'42_CF'!K23+'42_CF'!K26</f>
        <v>21135798.6428605</v>
      </c>
      <c r="L18" s="193">
        <f>'42_CF'!L23+'42_CF'!L26</f>
        <v>26615871.4443476</v>
      </c>
      <c r="M18" s="193">
        <f>'42_CF'!M23+'42_CF'!M26</f>
        <v>27877305.4873868</v>
      </c>
      <c r="N18" s="193">
        <f>'42_CF'!N23+'42_CF'!N26</f>
        <v>29298948.9477666</v>
      </c>
      <c r="O18" s="193">
        <f>'42_CF'!O23+'42_CF'!O26</f>
        <v>31520001.8418851</v>
      </c>
      <c r="P18" s="193">
        <f>'42_CF'!P23+'42_CF'!P26</f>
        <v>33262260.4475371</v>
      </c>
      <c r="Q18" s="193">
        <f>'42_CF'!Q23+'42_CF'!Q26</f>
        <v>35162203.5824876</v>
      </c>
      <c r="R18" s="193">
        <f>'42_CF'!R23+'42_CF'!R26</f>
        <v>37238211.3766098</v>
      </c>
    </row>
    <row r="19">
      <c r="B19" s="36" t="inlineStr">
        <is>
          <t>Add back: financing fees paid</t>
        </is>
      </c>
      <c r="C19" s="117" t="str">
        <f>UNIT_LBL</f>
        <v>ETB '000</v>
      </c>
      <c r="D19" s="189">
        <f>SUM(E19:R19)</f>
        <v>6799092.37664789</v>
      </c>
      <c r="E19" s="193">
        <f>SUMIFS('23_Construction'!$E$40:$AZ$40,'23_Construction'!$E$12:$AZ$12,'20_Timeline'!E11)</f>
        <v>5306354.80367206</v>
      </c>
      <c r="F19" s="193">
        <f>SUMIFS('23_Construction'!$E$40:$AZ$40,'23_Construction'!$E$12:$AZ$12,'20_Timeline'!F11)</f>
        <v>1113555.61219915</v>
      </c>
      <c r="G19" s="193">
        <f>SUMIFS('23_Construction'!$E$40:$AZ$40,'23_Construction'!$E$12:$AZ$12,'20_Timeline'!G11)</f>
        <v>379181.960776679</v>
      </c>
      <c r="H19" s="193">
        <f>SUMIFS('23_Construction'!$E$40:$AZ$40,'23_Construction'!$E$12:$AZ$12,'20_Timeline'!H11)</f>
        <v>0</v>
      </c>
      <c r="I19" s="193">
        <f>SUMIFS('23_Construction'!$E$40:$AZ$40,'23_Construction'!$E$12:$AZ$12,'20_Timeline'!I11)</f>
        <v>0</v>
      </c>
      <c r="J19" s="193">
        <f>SUMIFS('23_Construction'!$E$40:$AZ$40,'23_Construction'!$E$12:$AZ$12,'20_Timeline'!J11)</f>
        <v>0</v>
      </c>
      <c r="K19" s="193">
        <f>SUMIFS('23_Construction'!$E$40:$AZ$40,'23_Construction'!$E$12:$AZ$12,'20_Timeline'!K11)</f>
        <v>0</v>
      </c>
      <c r="L19" s="193">
        <f>SUMIFS('23_Construction'!$E$40:$AZ$40,'23_Construction'!$E$12:$AZ$12,'20_Timeline'!L11)</f>
        <v>0</v>
      </c>
      <c r="M19" s="193">
        <f>SUMIFS('23_Construction'!$E$40:$AZ$40,'23_Construction'!$E$12:$AZ$12,'20_Timeline'!M11)</f>
        <v>0</v>
      </c>
      <c r="N19" s="193">
        <f>SUMIFS('23_Construction'!$E$40:$AZ$40,'23_Construction'!$E$12:$AZ$12,'20_Timeline'!N11)</f>
        <v>0</v>
      </c>
      <c r="O19" s="193">
        <f>SUMIFS('23_Construction'!$E$40:$AZ$40,'23_Construction'!$E$12:$AZ$12,'20_Timeline'!O11)</f>
        <v>0</v>
      </c>
      <c r="P19" s="193">
        <f>SUMIFS('23_Construction'!$E$40:$AZ$40,'23_Construction'!$E$12:$AZ$12,'20_Timeline'!P11)</f>
        <v>0</v>
      </c>
      <c r="Q19" s="193">
        <f>SUMIFS('23_Construction'!$E$40:$AZ$40,'23_Construction'!$E$12:$AZ$12,'20_Timeline'!Q11)</f>
        <v>0</v>
      </c>
      <c r="R19" s="193">
        <f>SUMIFS('23_Construction'!$E$40:$AZ$40,'23_Construction'!$E$12:$AZ$12,'20_Timeline'!R11)</f>
        <v>0</v>
      </c>
    </row>
    <row r="20">
      <c r="B20" s="36" t="inlineStr">
        <is>
          <t>Less: land lease payments</t>
        </is>
      </c>
      <c r="C20" s="117" t="str">
        <f>UNIT_LBL</f>
        <v>ETB '000</v>
      </c>
      <c r="D20" s="189">
        <f>SUM(E20:R20)</f>
        <v>-146610000</v>
      </c>
      <c r="E20" s="193">
        <f>'42_CF'!E32+'42_CF'!E33</f>
        <v>0</v>
      </c>
      <c r="F20" s="193">
        <f>'42_CF'!F32+'42_CF'!F33</f>
        <v>-13950000</v>
      </c>
      <c r="G20" s="193">
        <f>'42_CF'!G32+'42_CF'!G33</f>
        <v>-13635000</v>
      </c>
      <c r="H20" s="193">
        <f>'42_CF'!H32+'42_CF'!H33</f>
        <v>0</v>
      </c>
      <c r="I20" s="193">
        <f>'42_CF'!I32+'42_CF'!I33</f>
        <v>-13320000</v>
      </c>
      <c r="J20" s="193">
        <f>'42_CF'!J32+'42_CF'!J33</f>
        <v>-13005000</v>
      </c>
      <c r="K20" s="193">
        <f>'42_CF'!K32+'42_CF'!K33</f>
        <v>-12690000</v>
      </c>
      <c r="L20" s="193">
        <f>'42_CF'!L32+'42_CF'!L33</f>
        <v>-12375000</v>
      </c>
      <c r="M20" s="193">
        <f>'42_CF'!M32+'42_CF'!M33</f>
        <v>-12060000</v>
      </c>
      <c r="N20" s="193">
        <f>'42_CF'!N32+'42_CF'!N33</f>
        <v>-11745000</v>
      </c>
      <c r="O20" s="193">
        <f>'42_CF'!O32+'42_CF'!O33</f>
        <v>-11430000</v>
      </c>
      <c r="P20" s="193">
        <f>'42_CF'!P32+'42_CF'!P33</f>
        <v>-11115000</v>
      </c>
      <c r="Q20" s="193">
        <f>'42_CF'!Q32+'42_CF'!Q33</f>
        <v>-10800000</v>
      </c>
      <c r="R20" s="193">
        <f>'42_CF'!R32+'42_CF'!R33</f>
        <v>-10485000</v>
      </c>
    </row>
    <row r="21">
      <c r="B21" s="36" t="inlineStr">
        <is>
          <t>Terminal value</t>
        </is>
      </c>
      <c r="C21" s="117" t="str">
        <f>UNIT_LBL</f>
        <v>ETB '000</v>
      </c>
      <c r="D21" s="189">
        <f>SUM(E21:R21)</f>
        <v>613247933.97632</v>
      </c>
      <c r="E21" s="193" t="n">
        <v>0</v>
      </c>
      <c r="F21" s="193" t="n">
        <v>0</v>
      </c>
      <c r="G21" s="193" t="n">
        <v>0</v>
      </c>
      <c r="H21" s="193" t="n">
        <v>0</v>
      </c>
      <c r="I21" s="193" t="n">
        <v>0</v>
      </c>
      <c r="J21" s="193" t="n">
        <v>0</v>
      </c>
      <c r="K21" s="193" t="n">
        <v>0</v>
      </c>
      <c r="L21" s="193" t="n">
        <v>0</v>
      </c>
      <c r="M21" s="193" t="n">
        <v>0</v>
      </c>
      <c r="N21" s="193" t="n">
        <v>0</v>
      </c>
      <c r="O21" s="193" t="n">
        <v>0</v>
      </c>
      <c r="P21" s="193" t="n">
        <v>0</v>
      </c>
      <c r="Q21" s="193" t="n">
        <v>0</v>
      </c>
      <c r="R21" s="190">
        <f>TV_NET</f>
        <v>613247933.97632</v>
      </c>
    </row>
    <row r="22">
      <c r="B22" s="97" t="inlineStr">
        <is>
          <t>PROJECT CASH FLOW</t>
        </is>
      </c>
      <c r="C22" s="180" t="str">
        <f>UNIT_LBL</f>
        <v>ETB '000</v>
      </c>
      <c r="D22" s="191">
        <f>SUM(E22:R22)</f>
        <v>841705609.130787</v>
      </c>
      <c r="E22" s="192">
        <f>E18+E19+E20+E21</f>
        <v>-89631042.0621827</v>
      </c>
      <c r="F22" s="192">
        <f>F18+F19+F20+F21</f>
        <v>-144815922.45696</v>
      </c>
      <c r="G22" s="192">
        <f>G18+G19+G20+G21</f>
        <v>145973774.685087</v>
      </c>
      <c r="H22" s="192">
        <f>H18+H19+H20+H21</f>
        <v>-201277.235256292</v>
      </c>
      <c r="I22" s="192">
        <f>I18+I19+I20+I21</f>
        <v>90458331.9847596</v>
      </c>
      <c r="J22" s="192">
        <f>J18+J19+J20+J21</f>
        <v>77263208.4681378</v>
      </c>
      <c r="K22" s="192">
        <f>K18+K19+K20+K21</f>
        <v>8445798.64286046</v>
      </c>
      <c r="L22" s="192">
        <f>L18+L19+L20+L21</f>
        <v>14240871.4443476</v>
      </c>
      <c r="M22" s="192">
        <f>M18+M19+M20+M21</f>
        <v>15817305.4873868</v>
      </c>
      <c r="N22" s="192">
        <f>N18+N19+N20+N21</f>
        <v>17553948.9477666</v>
      </c>
      <c r="O22" s="192">
        <f>O18+O19+O20+O21</f>
        <v>20090001.8418851</v>
      </c>
      <c r="P22" s="192">
        <f>P18+P19+P20+P21</f>
        <v>22147260.4475371</v>
      </c>
      <c r="Q22" s="192">
        <f>Q18+Q19+Q20+Q21</f>
        <v>24362203.5824876</v>
      </c>
      <c r="R22" s="192">
        <f>R18+R19+R20+R21</f>
        <v>640001145.35293</v>
      </c>
    </row>
    <row r="23">
      <c r="B23" s="36" t="inlineStr">
        <is>
          <t>Discounted @ project rate</t>
        </is>
      </c>
      <c r="C23" s="117" t="str">
        <f>UNIT_LBL</f>
        <v>ETB '000</v>
      </c>
      <c r="D23" s="189">
        <f>SUM(E23:R23)</f>
        <v>113471472.582939</v>
      </c>
      <c r="E23" s="193">
        <f>E22*'20_Timeline'!E27</f>
        <v>-75958510.2221887</v>
      </c>
      <c r="F23" s="193">
        <f>F22*'20_Timeline'!F27</f>
        <v>-103957389.044345</v>
      </c>
      <c r="G23" s="193">
        <f>G22*'20_Timeline'!G27</f>
        <v>96531329.7274956</v>
      </c>
      <c r="H23" s="193">
        <f>H22*'20_Timeline'!H27</f>
        <v>-133103.08105055</v>
      </c>
      <c r="I23" s="193">
        <f>I22*'20_Timeline'!I27</f>
        <v>50694403.6099657</v>
      </c>
      <c r="J23" s="193">
        <f>J22*'20_Timeline'!J27</f>
        <v>36694601.4038124</v>
      </c>
      <c r="K23" s="193">
        <f>K22*'20_Timeline'!K27</f>
        <v>3397748.38303611</v>
      </c>
      <c r="L23" s="193">
        <f>L22*'20_Timeline'!L27</f>
        <v>4855176.80819561</v>
      </c>
      <c r="M23" s="193">
        <f>M22*'20_Timeline'!M27</f>
        <v>4570029.2438134</v>
      </c>
      <c r="N23" s="193">
        <f>N22*'20_Timeline'!N27</f>
        <v>4298127.56000934</v>
      </c>
      <c r="O23" s="193">
        <f>O22*'20_Timeline'!O27</f>
        <v>4166827.30730042</v>
      </c>
      <c r="P23" s="193">
        <f>P22*'20_Timeline'!P27</f>
        <v>3892812.89932413</v>
      </c>
      <c r="Q23" s="193">
        <f>Q22*'20_Timeline'!Q27</f>
        <v>3628925.71787451</v>
      </c>
      <c r="R23" s="193">
        <f>R22*'20_Timeline'!R27</f>
        <v>80790492.2696956</v>
      </c>
    </row>
    <row r="24" ht="20" customHeight="1">
      <c r="B24" s="113" t="inlineStr">
        <is>
          <t>Equity cash flow</t>
        </is>
      </c>
      <c r="C24" s="37" t="inlineStr">
        <is>
          <t>የባለቤት የገንዘብ ፍሰት</t>
        </is>
      </c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</row>
    <row r="25">
      <c r="B25" s="36" t="inlineStr">
        <is>
          <t>Equity injected</t>
        </is>
      </c>
      <c r="C25" s="117" t="str">
        <f>UNIT_LBL</f>
        <v>ETB '000</v>
      </c>
      <c r="D25" s="189">
        <f>SUM(E25:R25)</f>
        <v>-176878493.455735</v>
      </c>
      <c r="E25" s="193">
        <f>-'42_CF'!E28</f>
        <v>-102968903.509016</v>
      </c>
      <c r="F25" s="193">
        <f>-'42_CF'!F28</f>
        <v>-73909589.9467194</v>
      </c>
      <c r="G25" s="193">
        <f>-'42_CF'!G28</f>
        <v>0</v>
      </c>
      <c r="H25" s="193">
        <f>-'42_CF'!H28</f>
        <v>0</v>
      </c>
      <c r="I25" s="193">
        <f>-'42_CF'!I28</f>
        <v>0</v>
      </c>
      <c r="J25" s="193">
        <f>-'42_CF'!J28</f>
        <v>0</v>
      </c>
      <c r="K25" s="193">
        <f>-'42_CF'!K28</f>
        <v>0</v>
      </c>
      <c r="L25" s="193">
        <f>-'42_CF'!L28</f>
        <v>0</v>
      </c>
      <c r="M25" s="193">
        <f>-'42_CF'!M28</f>
        <v>0</v>
      </c>
      <c r="N25" s="193">
        <f>-'42_CF'!N28</f>
        <v>0</v>
      </c>
      <c r="O25" s="193">
        <f>-'42_CF'!O28</f>
        <v>0</v>
      </c>
      <c r="P25" s="193">
        <f>-'42_CF'!P28</f>
        <v>0</v>
      </c>
      <c r="Q25" s="193">
        <f>-'42_CF'!Q28</f>
        <v>0</v>
      </c>
      <c r="R25" s="193">
        <f>-'42_CF'!R28</f>
        <v>0</v>
      </c>
    </row>
    <row r="26">
      <c r="B26" s="36" t="inlineStr">
        <is>
          <t>Dividends + capital returned</t>
        </is>
      </c>
      <c r="C26" s="117" t="str">
        <f>UNIT_LBL</f>
        <v>ETB '000</v>
      </c>
      <c r="D26" s="189">
        <f>SUM(E26:R26)</f>
        <v>340030047.202361</v>
      </c>
      <c r="E26" s="193">
        <f>-'42_CF'!E40+'42_CF'!E41</f>
        <v>0</v>
      </c>
      <c r="F26" s="193">
        <f>-'42_CF'!F40+'42_CF'!F41</f>
        <v>0</v>
      </c>
      <c r="G26" s="193">
        <f>-'42_CF'!G40+'42_CF'!G41</f>
        <v>0</v>
      </c>
      <c r="H26" s="193">
        <f>-'42_CF'!H40+'42_CF'!H41</f>
        <v>0</v>
      </c>
      <c r="I26" s="193">
        <f>-'42_CF'!I40+'42_CF'!I41</f>
        <v>186612925.301294</v>
      </c>
      <c r="J26" s="193">
        <f>-'42_CF'!J40+'42_CF'!J41</f>
        <v>20041948.1025463</v>
      </c>
      <c r="K26" s="193">
        <f>-'42_CF'!K40+'42_CF'!K41</f>
        <v>10773156.1969011</v>
      </c>
      <c r="L26" s="193">
        <f>-'42_CF'!L40+'42_CF'!L41</f>
        <v>12653044.9314323</v>
      </c>
      <c r="M26" s="193">
        <f>-'42_CF'!M40+'42_CF'!M41</f>
        <v>14676859.6398598</v>
      </c>
      <c r="N26" s="193">
        <f>-'42_CF'!N40+'42_CF'!N41</f>
        <v>15568997.1935328</v>
      </c>
      <c r="O26" s="193">
        <f>-'42_CF'!O40+'42_CF'!O41</f>
        <v>17922003.3517958</v>
      </c>
      <c r="P26" s="193">
        <f>-'42_CF'!P40+'42_CF'!P41</f>
        <v>17935627.1517528</v>
      </c>
      <c r="Q26" s="193">
        <f>-'42_CF'!Q40+'42_CF'!Q41</f>
        <v>19515583.8319205</v>
      </c>
      <c r="R26" s="193">
        <f>-'42_CF'!R40+'42_CF'!R41</f>
        <v>24329901.5013262</v>
      </c>
    </row>
    <row r="27">
      <c r="B27" s="36" t="inlineStr">
        <is>
          <t>Equity exit value</t>
        </is>
      </c>
      <c r="C27" s="117" t="str">
        <f>UNIT_LBL</f>
        <v>ETB '000</v>
      </c>
      <c r="D27" s="189">
        <f>SUM(E27:R27)</f>
        <v>515597008.940653</v>
      </c>
      <c r="E27" s="193" t="n">
        <v>0</v>
      </c>
      <c r="F27" s="193" t="n">
        <v>0</v>
      </c>
      <c r="G27" s="193" t="n">
        <v>0</v>
      </c>
      <c r="H27" s="193" t="n">
        <v>0</v>
      </c>
      <c r="I27" s="193" t="n">
        <v>0</v>
      </c>
      <c r="J27" s="193" t="n">
        <v>0</v>
      </c>
      <c r="K27" s="193" t="n">
        <v>0</v>
      </c>
      <c r="L27" s="193" t="n">
        <v>0</v>
      </c>
      <c r="M27" s="193" t="n">
        <v>0</v>
      </c>
      <c r="N27" s="193" t="n">
        <v>0</v>
      </c>
      <c r="O27" s="193" t="n">
        <v>0</v>
      </c>
      <c r="P27" s="193" t="n">
        <v>0</v>
      </c>
      <c r="Q27" s="193" t="n">
        <v>0</v>
      </c>
      <c r="R27" s="190">
        <f>EQ_EXIT</f>
        <v>515597008.940653</v>
      </c>
    </row>
    <row r="28">
      <c r="B28" s="97" t="inlineStr">
        <is>
          <t>EQUITY CASH FLOW</t>
        </is>
      </c>
      <c r="C28" s="180" t="str">
        <f>UNIT_LBL</f>
        <v>ETB '000</v>
      </c>
      <c r="D28" s="191">
        <f>SUM(E28:R28)</f>
        <v>678748562.687279</v>
      </c>
      <c r="E28" s="192">
        <f>E25+E26+E27</f>
        <v>-102968903.509016</v>
      </c>
      <c r="F28" s="192">
        <f>F25+F26+F27</f>
        <v>-73909589.9467194</v>
      </c>
      <c r="G28" s="192">
        <f>G25+G26+G27</f>
        <v>0</v>
      </c>
      <c r="H28" s="192">
        <f>H25+H26+H27</f>
        <v>0</v>
      </c>
      <c r="I28" s="192">
        <f>I25+I26+I27</f>
        <v>186612925.301294</v>
      </c>
      <c r="J28" s="192">
        <f>J25+J26+J27</f>
        <v>20041948.1025463</v>
      </c>
      <c r="K28" s="192">
        <f>K25+K26+K27</f>
        <v>10773156.1969011</v>
      </c>
      <c r="L28" s="192">
        <f>L25+L26+L27</f>
        <v>12653044.9314323</v>
      </c>
      <c r="M28" s="192">
        <f>M25+M26+M27</f>
        <v>14676859.6398598</v>
      </c>
      <c r="N28" s="192">
        <f>N25+N26+N27</f>
        <v>15568997.1935328</v>
      </c>
      <c r="O28" s="192">
        <f>O25+O26+O27</f>
        <v>17922003.3517958</v>
      </c>
      <c r="P28" s="192">
        <f>P25+P26+P27</f>
        <v>17935627.1517528</v>
      </c>
      <c r="Q28" s="192">
        <f>Q25+Q26+Q27</f>
        <v>19515583.8319205</v>
      </c>
      <c r="R28" s="192">
        <f>R25+R26+R27</f>
        <v>539926910.441979</v>
      </c>
    </row>
    <row r="29">
      <c r="B29" s="36" t="inlineStr">
        <is>
          <t>Discounted @ cost of equity</t>
        </is>
      </c>
      <c r="C29" s="117" t="str">
        <f>UNIT_LBL</f>
        <v>ETB '000</v>
      </c>
      <c r="D29" s="189">
        <f>SUM(E29:R29)</f>
        <v>32319293.7184143</v>
      </c>
      <c r="E29" s="193">
        <f>E28*'20_Timeline'!E28</f>
        <v>-84400740.5811606</v>
      </c>
      <c r="F29" s="193">
        <f>F28*'20_Timeline'!F28</f>
        <v>-49630029.0241449</v>
      </c>
      <c r="G29" s="193">
        <f>G28*'20_Timeline'!G28</f>
        <v>0</v>
      </c>
      <c r="H29" s="193">
        <f>H28*'20_Timeline'!H28</f>
        <v>0</v>
      </c>
      <c r="I29" s="193">
        <f>I28*'20_Timeline'!I28</f>
        <v>93068050.024226</v>
      </c>
      <c r="J29" s="193">
        <f>J28*'20_Timeline'!J28</f>
        <v>8192925.32214186</v>
      </c>
      <c r="K29" s="193">
        <f>K28*'20_Timeline'!K28</f>
        <v>3607826.02280816</v>
      </c>
      <c r="L29" s="193">
        <f>L28*'20_Timeline'!L28</f>
        <v>3473264.43806461</v>
      </c>
      <c r="M29" s="193">
        <f>M28*'20_Timeline'!M28</f>
        <v>3302296.84593296</v>
      </c>
      <c r="N29" s="193">
        <f>N28*'20_Timeline'!N28</f>
        <v>2871334.42935943</v>
      </c>
      <c r="O29" s="193">
        <f>O28*'20_Timeline'!O28</f>
        <v>2707779.27191219</v>
      </c>
      <c r="P29" s="193">
        <f>P28*'20_Timeline'!P28</f>
        <v>2221178.40091395</v>
      </c>
      <c r="Q29" s="193">
        <f>Q28*'20_Timeline'!Q28</f>
        <v>1981018.77734356</v>
      </c>
      <c r="R29" s="193">
        <f>R28*'20_Timeline'!R28</f>
        <v>44924389.7910171</v>
      </c>
    </row>
    <row r="30">
      <c r="B30" s="36" t="inlineStr">
        <is>
          <t>Cash flow date (period end)</t>
        </is>
      </c>
      <c r="C30" s="117" t="inlineStr">
        <is>
          <t>date</t>
        </is>
      </c>
      <c r="E30" s="201">
        <f>'20_Timeline'!E22</f>
        <v>46752.0</v>
      </c>
      <c r="F30" s="201">
        <f>'20_Timeline'!F22</f>
        <v>47118.0</v>
      </c>
      <c r="G30" s="201">
        <f>'20_Timeline'!G22</f>
        <v>47299.0</v>
      </c>
      <c r="H30" s="201">
        <f>'20_Timeline'!H22</f>
        <v>47299.0</v>
      </c>
      <c r="I30" s="201">
        <f>'20_Timeline'!I22</f>
        <v>47664.0</v>
      </c>
      <c r="J30" s="201">
        <f>'20_Timeline'!J22</f>
        <v>48029.0</v>
      </c>
      <c r="K30" s="201">
        <f>'20_Timeline'!K22</f>
        <v>48395.0</v>
      </c>
      <c r="L30" s="201">
        <f>'20_Timeline'!L22</f>
        <v>48760.0</v>
      </c>
      <c r="M30" s="201">
        <f>'20_Timeline'!M22</f>
        <v>49125.0</v>
      </c>
      <c r="N30" s="201">
        <f>'20_Timeline'!N22</f>
        <v>49490.0</v>
      </c>
      <c r="O30" s="201">
        <f>'20_Timeline'!O22</f>
        <v>49856.0</v>
      </c>
      <c r="P30" s="201">
        <f>'20_Timeline'!P22</f>
        <v>50221.0</v>
      </c>
      <c r="Q30" s="201">
        <f>'20_Timeline'!Q22</f>
        <v>50586.0</v>
      </c>
      <c r="R30" s="201">
        <f>'20_Timeline'!R22</f>
        <v>50951.0</v>
      </c>
    </row>
    <row r="32" ht="20" customHeight="1">
      <c r="B32" s="113" t="inlineStr">
        <is>
          <t>Return metrics</t>
        </is>
      </c>
      <c r="C32" s="37" t="inlineStr">
        <is>
          <t>የተመላሽ መለኪያዎች</t>
        </is>
      </c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</row>
    <row r="33">
      <c r="B33" s="36" t="inlineStr">
        <is>
          <t>Project cash flow valid for IRR (has + and −)</t>
        </is>
      </c>
      <c r="C33" s="117" t="inlineStr">
        <is>
          <t>flag</t>
        </is>
      </c>
      <c r="D33" s="148">
        <f>IF(AND(MIN($E$22:$R$22)&lt;0,MAX($E$22:$R$22)&gt;0),1,0)</f>
        <v>1</v>
      </c>
    </row>
    <row r="34">
      <c r="B34" s="36" t="inlineStr">
        <is>
          <t>Equity cash flow valid for IRR</t>
        </is>
      </c>
      <c r="C34" s="117" t="inlineStr">
        <is>
          <t>flag</t>
        </is>
      </c>
      <c r="D34" s="148">
        <f>IF(AND(MIN($E$28:$R$28)&lt;0,MAX($E$28:$R$28)&gt;0),1,0)</f>
        <v>1</v>
      </c>
    </row>
    <row r="35">
      <c r="B35" s="36" t="inlineStr">
        <is>
          <t>Project NPV @ discount rate</t>
        </is>
      </c>
      <c r="C35" s="117" t="inlineStr">
        <is>
          <t>ETB</t>
        </is>
      </c>
      <c r="D35" s="172">
        <f>$D$23</f>
        <v>113471472.582939</v>
      </c>
    </row>
    <row r="36">
      <c r="B36" s="36" t="inlineStr">
        <is>
          <t>Project IRR (XIRR, dated)</t>
        </is>
      </c>
      <c r="C36" s="117" t="inlineStr">
        <is>
          <t>%</t>
        </is>
      </c>
      <c r="D36" s="202">
        <f>IF(PCF_OK=1,IFERROR(XIRR($E$22:$R$22,$E$30:$R$30,0.15),IFERROR(XIRR($E$22:$R$22,$E$30:$R$30,-0.05),0)),0)</f>
        <v>0.347833268529815</v>
      </c>
    </row>
    <row r="37">
      <c r="B37" s="36" t="inlineStr">
        <is>
          <t>Equity NPV @ cost of equity</t>
        </is>
      </c>
      <c r="C37" s="117" t="inlineStr">
        <is>
          <t>ETB</t>
        </is>
      </c>
      <c r="D37" s="172">
        <f>$D$29</f>
        <v>32319293.7184143</v>
      </c>
    </row>
    <row r="38">
      <c r="B38" s="36" t="inlineStr">
        <is>
          <t>Equity IRR (XIRR, dated)</t>
        </is>
      </c>
      <c r="C38" s="117" t="inlineStr">
        <is>
          <t>%</t>
        </is>
      </c>
      <c r="D38" s="202">
        <f>IF(ECF_OK=1,IFERROR(XIRR($E$28:$R$28,$E$30:$R$30,0.2),IFERROR(XIRR($E$28:$R$28,$E$30:$R$30,-0.05),0)),0)</f>
        <v>0.275726230589801</v>
      </c>
    </row>
    <row r="39">
      <c r="B39" s="36" t="inlineStr">
        <is>
          <t>Memo: project IRR per period (IRR on columns)</t>
        </is>
      </c>
      <c r="C39" s="117" t="inlineStr">
        <is>
          <t>%</t>
        </is>
      </c>
      <c r="D39" s="154">
        <f>IF(PCF_OK=1,IFERROR(IRR($E$22:$R$22,0.15),0),0)</f>
        <v>0.251783204351369</v>
      </c>
    </row>
    <row r="40">
      <c r="B40" s="36" t="inlineStr">
        <is>
          <t>Equity multiple (MOIC)</t>
        </is>
      </c>
      <c r="C40" s="117" t="inlineStr">
        <is>
          <t>x</t>
        </is>
      </c>
      <c r="D40" s="199">
        <f>IF(SUMIF($E$28:$R$28,"&lt;0")&lt;0,SUMIF($E$28:$R$28,"&gt;0")/-SUMIF($E$28:$R$28,"&lt;0"),0)</f>
        <v>4.83737191235823</v>
      </c>
    </row>
    <row r="41">
      <c r="B41" s="36" t="inlineStr">
        <is>
          <t>Project multiple</t>
        </is>
      </c>
      <c r="C41" s="117" t="inlineStr">
        <is>
          <t>x</t>
        </is>
      </c>
      <c r="D41" s="200">
        <f>IF(SUMIF($E$22:$R$22,"&lt;0")&lt;0,SUMIF($E$22:$R$22,"&gt;0")/-SUMIF($E$22:$R$22,"&lt;0"),0)</f>
        <v>4.58709531696292</v>
      </c>
    </row>
    <row r="42">
      <c r="B42" s="36" t="inlineStr">
        <is>
          <t>Sales revenue (nominal, net)</t>
        </is>
      </c>
      <c r="C42" s="117" t="inlineStr">
        <is>
          <t>ETB</t>
        </is>
      </c>
      <c r="D42" s="170">
        <f>'24_Revenue'!$D$40</f>
        <v>498363811.796824</v>
      </c>
    </row>
    <row r="43">
      <c r="B43" s="36" t="inlineStr">
        <is>
          <t>Value of retained property at stabilisation (NOI O3 ÷ exit cap)</t>
        </is>
      </c>
      <c r="C43" s="117" t="inlineStr">
        <is>
          <t>ETB</t>
        </is>
      </c>
      <c r="D43" s="173">
        <f>IF(PROJECT_MODE=0,0,MAX(0,NOI_STAB/EXIT_CAP_EFF))</f>
        <v>338447582.024218</v>
      </c>
    </row>
    <row r="44">
      <c r="B44" s="36" t="inlineStr">
        <is>
          <t>Gross development value (GDV)</t>
        </is>
      </c>
      <c r="C44" s="117" t="inlineStr">
        <is>
          <t>ETB</t>
        </is>
      </c>
      <c r="D44" s="172">
        <f>SALES_NOM+RET_VALUE</f>
        <v>836811393.821043</v>
      </c>
    </row>
    <row r="45">
      <c r="B45" s="36" t="inlineStr">
        <is>
          <t>Profit on cost</t>
        </is>
      </c>
      <c r="C45" s="117" t="inlineStr">
        <is>
          <t>%</t>
        </is>
      </c>
      <c r="D45" s="202">
        <f>IF(TDC&gt;0,(GDV-TDC)/TDC,0)</f>
        <v>0.519650489143043</v>
      </c>
    </row>
    <row r="46">
      <c r="B46" s="36" t="inlineStr">
        <is>
          <t>Development margin (profit ÷ GDV)</t>
        </is>
      </c>
      <c r="C46" s="117" t="inlineStr">
        <is>
          <t>%</t>
        </is>
      </c>
      <c r="D46" s="154">
        <f>IF(GDV&gt;0,(GDV-TDC)/GDV,0)</f>
        <v>0.341953951158916</v>
      </c>
    </row>
    <row r="47">
      <c r="B47" s="36" t="inlineStr">
        <is>
          <t>Yield on cost (stabilised NOI ÷ retained cost)</t>
        </is>
      </c>
      <c r="C47" s="117" t="inlineStr">
        <is>
          <t>%</t>
        </is>
      </c>
      <c r="D47" s="154">
        <f>IF(RET_COST&gt;0,NOI_STAB/RET_COST,0)</f>
        <v>0.223516320611687</v>
      </c>
    </row>
    <row r="48">
      <c r="B48" s="36" t="inlineStr">
        <is>
          <t>GDV ÷ TDC</t>
        </is>
      </c>
      <c r="C48" s="117" t="inlineStr">
        <is>
          <t>x</t>
        </is>
      </c>
      <c r="D48" s="200">
        <f>IF(TDC&gt;0,GDV/TDC,0)</f>
        <v>1.51965048914304</v>
      </c>
    </row>
    <row r="49">
      <c r="B49" s="36" t="inlineStr">
        <is>
          <t>Total profit after tax (C1–O10)</t>
        </is>
      </c>
      <c r="C49" s="117" t="inlineStr">
        <is>
          <t>ETB</t>
        </is>
      </c>
      <c r="D49" s="170">
        <f>'40_PL'!$D$40</f>
        <v>172747228.665384</v>
      </c>
    </row>
    <row r="50">
      <c r="B50" s="36" t="inlineStr">
        <is>
          <t>Peak equity (committed + top-up)</t>
        </is>
      </c>
      <c r="C50" s="117" t="inlineStr">
        <is>
          <t>ETB</t>
        </is>
      </c>
      <c r="D50" s="173">
        <f>EQ_DRAWN+FUND_GAP</f>
        <v>176878493.455735</v>
      </c>
    </row>
    <row r="51">
      <c r="B51" s="36" t="inlineStr">
        <is>
          <t>DSCR test passed (or no debt service)</t>
        </is>
      </c>
      <c r="C51" s="117" t="inlineStr">
        <is>
          <t>flag</t>
        </is>
      </c>
      <c r="D51" s="148">
        <f>IF(N_DS_YEARS=0,1,IF(MIN_DSCR&gt;=DSCR_COV,1,0))</f>
        <v>1</v>
      </c>
    </row>
    <row r="52">
      <c r="B52" s="36" t="inlineStr">
        <is>
          <t>VERDICT</t>
        </is>
      </c>
      <c r="C52" s="117" t="inlineStr"/>
      <c r="D52" s="203" t="str">
        <f>IF(PROJECT_MODE=0,"HOME ESTIMATE",IF(TDC&lt;=0,"NO DATA",IF(AND(EIRR&gt;=HURDLE,POC&gt;0,DSCR_OK=1),"VIABLE",IF(AND(EIRR&gt;=HURDLE-MARGIN_BAND,GDV&gt;=TDC),"MARGINAL","NOT VIABLE"))))</f>
        <v>VIABLE</v>
      </c>
    </row>
    <row r="53">
      <c r="B53" s="36" t="inlineStr">
        <is>
          <t>ውሳኔ</t>
        </is>
      </c>
      <c r="C53" s="117" t="inlineStr"/>
      <c r="D53" s="36" t="str">
        <f>IF(VERDICT="VIABLE","አዋጭ",IF(VERDICT="MARGINAL","በድንበር ላይ",IF(VERDICT="NOT VIABLE","አዋጭ አይደለም",IF(VERDICT="NO DATA","መረጃ የለም","የቤት ወጪ ግምት"))))</f>
        <v>አዋጭ</v>
      </c>
    </row>
    <row r="55" ht="20" customHeight="1">
      <c r="B55" s="113" t="inlineStr">
        <is>
          <t>IAS 36 – impairment test summary</t>
        </is>
      </c>
      <c r="C55" s="37" t="inlineStr">
        <is>
          <t>የንብረት ዋጋ መቀነስ ፈተና</t>
        </is>
      </c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</row>
    <row r="56">
      <c r="B56" s="36" t="inlineStr">
        <is>
          <t>Years with impairment indicator</t>
        </is>
      </c>
      <c r="C56" s="117" t="inlineStr">
        <is>
          <t>no.</t>
        </is>
      </c>
      <c r="D56" s="174">
        <f>'26_Assets'!$D$40</f>
        <v>0</v>
      </c>
    </row>
    <row r="57">
      <c r="B57" s="36" t="inlineStr">
        <is>
          <t>Lowest headroom (value in use − carrying amount)</t>
        </is>
      </c>
      <c r="C57" s="117" t="inlineStr">
        <is>
          <t>ETB</t>
        </is>
      </c>
      <c r="D57" s="170">
        <f>'26_Assets'!$D$39</f>
        <v>0</v>
      </c>
    </row>
  </sheetData>
  <conditionalFormatting sqref="B5:R5">
    <cfRule type="expression" priority="1" dxfId="7">
      <formula>PROJECT_MODE=0</formula>
    </cfRule>
  </conditionalFormatting>
  <conditionalFormatting sqref="D18:R18 D19:R19 D20:R20 D21:R21 D22:R22 D23:R23 D25:R25 D26:R26 D27:R27 D28:R28 D29:R29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31"/>
  <sheetViews>
    <sheetView showGridLines="0" tabSelected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9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51 · Payback – simple and discounted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" t="str">
        <f>HYPERLINK("#'00_Start'!A1","◂ Start")</f>
        <v>◂ Start</v>
      </c>
    </row>
    <row r="2" ht="20" customHeight="1">
      <c r="A2" s="1" t="n"/>
      <c r="B2" s="4" t="inlineStr">
        <is>
          <t>የመመለሻ ጊዜ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6">
      <c r="B6" s="78" t="inlineStr">
        <is>
          <t>Period</t>
        </is>
      </c>
      <c r="D6" s="108" t="inlineStr">
        <is>
          <t>Total</t>
        </is>
      </c>
      <c r="E6" s="163" t="str">
        <f>'20_Timeline'!E12</f>
        <v>C1</v>
      </c>
      <c r="F6" s="163" t="str">
        <f>'20_Timeline'!F12</f>
        <v>C2</v>
      </c>
      <c r="G6" s="163" t="str">
        <f>'20_Timeline'!G12</f>
        <v>C3</v>
      </c>
      <c r="H6" s="163" t="str">
        <f>'20_Timeline'!H12</f>
        <v>C4</v>
      </c>
      <c r="I6" s="163" t="str">
        <f>'20_Timeline'!I12</f>
        <v>O1</v>
      </c>
      <c r="J6" s="163" t="str">
        <f>'20_Timeline'!J12</f>
        <v>O2</v>
      </c>
      <c r="K6" s="163" t="str">
        <f>'20_Timeline'!K12</f>
        <v>O3</v>
      </c>
      <c r="L6" s="163" t="str">
        <f>'20_Timeline'!L12</f>
        <v>O4</v>
      </c>
      <c r="M6" s="163" t="str">
        <f>'20_Timeline'!M12</f>
        <v>O5</v>
      </c>
      <c r="N6" s="163" t="str">
        <f>'20_Timeline'!N12</f>
        <v>O6</v>
      </c>
      <c r="O6" s="163" t="str">
        <f>'20_Timeline'!O12</f>
        <v>O7</v>
      </c>
      <c r="P6" s="163" t="str">
        <f>'20_Timeline'!P12</f>
        <v>O8</v>
      </c>
      <c r="Q6" s="163" t="str">
        <f>'20_Timeline'!Q12</f>
        <v>O9</v>
      </c>
      <c r="R6" s="163" t="str">
        <f>'20_Timeline'!R12</f>
        <v>O10</v>
      </c>
    </row>
    <row r="7">
      <c r="B7" s="117" t="inlineStr">
        <is>
          <t>Period end (Gregorian)</t>
        </is>
      </c>
      <c r="E7" s="164">
        <f>'20_Timeline'!E22</f>
        <v>46752.0</v>
      </c>
      <c r="F7" s="164">
        <f>'20_Timeline'!F22</f>
        <v>47118.0</v>
      </c>
      <c r="G7" s="164">
        <f>'20_Timeline'!G22</f>
        <v>47299.0</v>
      </c>
      <c r="H7" s="164">
        <f>'20_Timeline'!H22</f>
        <v>47299.0</v>
      </c>
      <c r="I7" s="164">
        <f>'20_Timeline'!I22</f>
        <v>47664.0</v>
      </c>
      <c r="J7" s="164">
        <f>'20_Timeline'!J22</f>
        <v>48029.0</v>
      </c>
      <c r="K7" s="164">
        <f>'20_Timeline'!K22</f>
        <v>48395.0</v>
      </c>
      <c r="L7" s="164">
        <f>'20_Timeline'!L22</f>
        <v>48760.0</v>
      </c>
      <c r="M7" s="164">
        <f>'20_Timeline'!M22</f>
        <v>49125.0</v>
      </c>
      <c r="N7" s="164">
        <f>'20_Timeline'!N22</f>
        <v>49490.0</v>
      </c>
      <c r="O7" s="164">
        <f>'20_Timeline'!O22</f>
        <v>49856.0</v>
      </c>
      <c r="P7" s="164">
        <f>'20_Timeline'!P22</f>
        <v>50221.0</v>
      </c>
      <c r="Q7" s="164">
        <f>'20_Timeline'!Q22</f>
        <v>50586.0</v>
      </c>
      <c r="R7" s="164">
        <f>'20_Timeline'!R22</f>
        <v>50951.0</v>
      </c>
    </row>
    <row r="8">
      <c r="B8" s="117" t="inlineStr">
        <is>
          <t>Ethiopian calendar year</t>
        </is>
      </c>
      <c r="E8" s="165" t="str">
        <f>'20_Timeline'!E26</f>
        <v>EC 2020</v>
      </c>
      <c r="F8" s="165" t="str">
        <f>'20_Timeline'!F26</f>
        <v>EC 2021</v>
      </c>
      <c r="G8" s="165" t="str">
        <f>'20_Timeline'!G26</f>
        <v>EC 2021</v>
      </c>
      <c r="H8" s="165" t="str">
        <f>'20_Timeline'!H26</f>
        <v>EC 2021</v>
      </c>
      <c r="I8" s="165" t="str">
        <f>'20_Timeline'!I26</f>
        <v>EC 2022</v>
      </c>
      <c r="J8" s="165" t="str">
        <f>'20_Timeline'!J26</f>
        <v>EC 2023</v>
      </c>
      <c r="K8" s="165" t="str">
        <f>'20_Timeline'!K26</f>
        <v>EC 2024</v>
      </c>
      <c r="L8" s="165" t="str">
        <f>'20_Timeline'!L26</f>
        <v>EC 2025</v>
      </c>
      <c r="M8" s="165" t="str">
        <f>'20_Timeline'!M26</f>
        <v>EC 2026</v>
      </c>
      <c r="N8" s="165" t="str">
        <f>'20_Timeline'!N26</f>
        <v>EC 2027</v>
      </c>
      <c r="O8" s="165" t="str">
        <f>'20_Timeline'!O26</f>
        <v>EC 2028</v>
      </c>
      <c r="P8" s="165" t="str">
        <f>'20_Timeline'!P26</f>
        <v>EC 2029</v>
      </c>
      <c r="Q8" s="165" t="str">
        <f>'20_Timeline'!Q26</f>
        <v>EC 2030</v>
      </c>
      <c r="R8" s="165" t="str">
        <f>'20_Timeline'!R26</f>
        <v>EC 2031</v>
      </c>
    </row>
    <row r="10" ht="20" customHeight="1">
      <c r="B10" s="113" t="inlineStr">
        <is>
          <t>Project – simple</t>
        </is>
      </c>
      <c r="C10" s="115" t="n"/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</row>
    <row r="11">
      <c r="B11" s="36" t="inlineStr">
        <is>
          <t>Cash flow</t>
        </is>
      </c>
      <c r="C11" s="117" t="str">
        <f>UNIT_LBL</f>
        <v>ETB '000</v>
      </c>
      <c r="D11" s="189">
        <f>SUM(E11:R11)</f>
        <v>841705609.130787</v>
      </c>
      <c r="E11" s="190">
        <f>'50_Returns'!E22</f>
        <v>-89631042.0621827</v>
      </c>
      <c r="F11" s="190">
        <f>'50_Returns'!F22</f>
        <v>-144815922.45696</v>
      </c>
      <c r="G11" s="190">
        <f>'50_Returns'!G22</f>
        <v>145973774.685087</v>
      </c>
      <c r="H11" s="190">
        <f>'50_Returns'!H22</f>
        <v>-201277.235256292</v>
      </c>
      <c r="I11" s="190">
        <f>'50_Returns'!I22</f>
        <v>90458331.9847596</v>
      </c>
      <c r="J11" s="190">
        <f>'50_Returns'!J22</f>
        <v>77263208.4681378</v>
      </c>
      <c r="K11" s="190">
        <f>'50_Returns'!K22</f>
        <v>8445798.64286046</v>
      </c>
      <c r="L11" s="190">
        <f>'50_Returns'!L22</f>
        <v>14240871.4443476</v>
      </c>
      <c r="M11" s="190">
        <f>'50_Returns'!M22</f>
        <v>15817305.4873868</v>
      </c>
      <c r="N11" s="190">
        <f>'50_Returns'!N22</f>
        <v>17553948.9477666</v>
      </c>
      <c r="O11" s="190">
        <f>'50_Returns'!O22</f>
        <v>20090001.8418851</v>
      </c>
      <c r="P11" s="190">
        <f>'50_Returns'!P22</f>
        <v>22147260.4475371</v>
      </c>
      <c r="Q11" s="190">
        <f>'50_Returns'!Q22</f>
        <v>24362203.5824876</v>
      </c>
      <c r="R11" s="190">
        <f>'50_Returns'!R22</f>
        <v>640001145.35293</v>
      </c>
    </row>
    <row r="12">
      <c r="B12" s="36" t="inlineStr">
        <is>
          <t>Cumulative</t>
        </is>
      </c>
      <c r="C12" s="117" t="str">
        <f>UNIT_LBL</f>
        <v>ETB '000</v>
      </c>
      <c r="D12" s="189">
        <f>R12</f>
        <v>841705609.130787</v>
      </c>
      <c r="E12" s="193">
        <f>0+E11</f>
        <v>-89631042.0621827</v>
      </c>
      <c r="F12" s="193">
        <f>E12+F11</f>
        <v>-234446964.519142</v>
      </c>
      <c r="G12" s="193">
        <f>F12+G11</f>
        <v>-88473189.8340552</v>
      </c>
      <c r="H12" s="193">
        <f>G12+H11</f>
        <v>-88674467.0693115</v>
      </c>
      <c r="I12" s="193">
        <f>H12+I11</f>
        <v>1783864.91544801</v>
      </c>
      <c r="J12" s="193">
        <f>I12+J11</f>
        <v>79047073.3835858</v>
      </c>
      <c r="K12" s="193">
        <f>J12+K11</f>
        <v>87492872.0264463</v>
      </c>
      <c r="L12" s="193">
        <f>K12+L11</f>
        <v>101733743.470794</v>
      </c>
      <c r="M12" s="193">
        <f>L12+M11</f>
        <v>117551048.958181</v>
      </c>
      <c r="N12" s="193">
        <f>M12+N11</f>
        <v>135104997.905947</v>
      </c>
      <c r="O12" s="193">
        <f>N12+O11</f>
        <v>155194999.747832</v>
      </c>
      <c r="P12" s="193">
        <f>O12+P11</f>
        <v>177342260.195369</v>
      </c>
      <c r="Q12" s="193">
        <f>P12+Q11</f>
        <v>201704463.777857</v>
      </c>
      <c r="R12" s="193">
        <f>Q12+R11</f>
        <v>841705609.130787</v>
      </c>
    </row>
    <row r="13">
      <c r="B13" s="36" t="inlineStr">
        <is>
          <t>Crossing point (years from start)</t>
        </is>
      </c>
      <c r="C13" s="117" t="inlineStr">
        <is>
          <t>years</t>
        </is>
      </c>
      <c r="D13" s="167">
        <f>MAX(E13:R13)</f>
        <v>3.47890984283199</v>
      </c>
      <c r="E13" s="149">
        <f>IF(AND(0&lt;0,E12&gt;=0,E11&gt;0),0+(-0/E11)*'20_Timeline'!E24,0)</f>
        <v>0</v>
      </c>
      <c r="F13" s="149">
        <f>IF(AND(E12&lt;0,F12&gt;=0,F11&gt;0),'20_Timeline'!E23+(-E12/F11)*'20_Timeline'!F24,0)</f>
        <v>0</v>
      </c>
      <c r="G13" s="149">
        <f>IF(AND(F12&lt;0,G12&gt;=0,G11&gt;0),'20_Timeline'!F23+(-F12/G11)*'20_Timeline'!G24,0)</f>
        <v>0</v>
      </c>
      <c r="H13" s="149">
        <f>IF(AND(G12&lt;0,H12&gt;=0,H11&gt;0),'20_Timeline'!G23+(-G12/H11)*'20_Timeline'!H24,0)</f>
        <v>0</v>
      </c>
      <c r="I13" s="149">
        <f>IF(AND(H12&lt;0,I12&gt;=0,I11&gt;0),'20_Timeline'!H23+(-H12/I11)*'20_Timeline'!I24,0)</f>
        <v>3.47890984283199</v>
      </c>
      <c r="J13" s="149">
        <f>IF(AND(I12&lt;0,J12&gt;=0,J11&gt;0),'20_Timeline'!I23+(-I12/J11)*'20_Timeline'!J24,0)</f>
        <v>0</v>
      </c>
      <c r="K13" s="149">
        <f>IF(AND(J12&lt;0,K12&gt;=0,K11&gt;0),'20_Timeline'!J23+(-J12/K11)*'20_Timeline'!K24,0)</f>
        <v>0</v>
      </c>
      <c r="L13" s="149">
        <f>IF(AND(K12&lt;0,L12&gt;=0,L11&gt;0),'20_Timeline'!K23+(-K12/L11)*'20_Timeline'!L24,0)</f>
        <v>0</v>
      </c>
      <c r="M13" s="149">
        <f>IF(AND(L12&lt;0,M12&gt;=0,M11&gt;0),'20_Timeline'!L23+(-L12/M11)*'20_Timeline'!M24,0)</f>
        <v>0</v>
      </c>
      <c r="N13" s="149">
        <f>IF(AND(M12&lt;0,N12&gt;=0,N11&gt;0),'20_Timeline'!M23+(-M12/N11)*'20_Timeline'!N24,0)</f>
        <v>0</v>
      </c>
      <c r="O13" s="149">
        <f>IF(AND(N12&lt;0,O12&gt;=0,O11&gt;0),'20_Timeline'!N23+(-N12/O11)*'20_Timeline'!O24,0)</f>
        <v>0</v>
      </c>
      <c r="P13" s="149">
        <f>IF(AND(O12&lt;0,P12&gt;=0,P11&gt;0),'20_Timeline'!O23+(-O12/P11)*'20_Timeline'!P24,0)</f>
        <v>0</v>
      </c>
      <c r="Q13" s="149">
        <f>IF(AND(P12&lt;0,Q12&gt;=0,Q11&gt;0),'20_Timeline'!P23+(-P12/Q11)*'20_Timeline'!Q24,0)</f>
        <v>0</v>
      </c>
      <c r="R13" s="149">
        <f>IF(AND(Q12&lt;0,R12&gt;=0,R11&gt;0),'20_Timeline'!Q23+(-Q12/R11)*'20_Timeline'!R24,0)</f>
        <v>0</v>
      </c>
    </row>
    <row r="14" ht="20" customHeight="1">
      <c r="B14" s="113" t="inlineStr">
        <is>
          <t>Project – discounted</t>
        </is>
      </c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  <c r="O14" s="115" t="n"/>
      <c r="P14" s="115" t="n"/>
      <c r="Q14" s="115" t="n"/>
      <c r="R14" s="115" t="n"/>
    </row>
    <row r="15">
      <c r="B15" s="36" t="inlineStr">
        <is>
          <t>Cash flow</t>
        </is>
      </c>
      <c r="C15" s="117" t="str">
        <f>UNIT_LBL</f>
        <v>ETB '000</v>
      </c>
      <c r="D15" s="189">
        <f>SUM(E15:R15)</f>
        <v>113471472.582939</v>
      </c>
      <c r="E15" s="190">
        <f>'50_Returns'!E23</f>
        <v>-75958510.2221887</v>
      </c>
      <c r="F15" s="190">
        <f>'50_Returns'!F23</f>
        <v>-103957389.044345</v>
      </c>
      <c r="G15" s="190">
        <f>'50_Returns'!G23</f>
        <v>96531329.7274956</v>
      </c>
      <c r="H15" s="190">
        <f>'50_Returns'!H23</f>
        <v>-133103.08105055</v>
      </c>
      <c r="I15" s="190">
        <f>'50_Returns'!I23</f>
        <v>50694403.6099657</v>
      </c>
      <c r="J15" s="190">
        <f>'50_Returns'!J23</f>
        <v>36694601.4038124</v>
      </c>
      <c r="K15" s="190">
        <f>'50_Returns'!K23</f>
        <v>3397748.38303611</v>
      </c>
      <c r="L15" s="190">
        <f>'50_Returns'!L23</f>
        <v>4855176.80819561</v>
      </c>
      <c r="M15" s="190">
        <f>'50_Returns'!M23</f>
        <v>4570029.2438134</v>
      </c>
      <c r="N15" s="190">
        <f>'50_Returns'!N23</f>
        <v>4298127.56000934</v>
      </c>
      <c r="O15" s="190">
        <f>'50_Returns'!O23</f>
        <v>4166827.30730042</v>
      </c>
      <c r="P15" s="190">
        <f>'50_Returns'!P23</f>
        <v>3892812.89932413</v>
      </c>
      <c r="Q15" s="190">
        <f>'50_Returns'!Q23</f>
        <v>3628925.71787451</v>
      </c>
      <c r="R15" s="190">
        <f>'50_Returns'!R23</f>
        <v>80790492.2696956</v>
      </c>
    </row>
    <row r="16">
      <c r="B16" s="36" t="inlineStr">
        <is>
          <t>Cumulative</t>
        </is>
      </c>
      <c r="C16" s="117" t="str">
        <f>UNIT_LBL</f>
        <v>ETB '000</v>
      </c>
      <c r="D16" s="189">
        <f>R16</f>
        <v>113471472.582939</v>
      </c>
      <c r="E16" s="193">
        <f>0+E15</f>
        <v>-75958510.2221887</v>
      </c>
      <c r="F16" s="193">
        <f>E16+F15</f>
        <v>-179915899.266534</v>
      </c>
      <c r="G16" s="193">
        <f>F16+G15</f>
        <v>-83384569.5390382</v>
      </c>
      <c r="H16" s="193">
        <f>G16+H15</f>
        <v>-83517672.6200887</v>
      </c>
      <c r="I16" s="193">
        <f>H16+I15</f>
        <v>-32823269.010123</v>
      </c>
      <c r="J16" s="193">
        <f>I16+J15</f>
        <v>3871332.39368942</v>
      </c>
      <c r="K16" s="193">
        <f>J16+K15</f>
        <v>7269080.77672553</v>
      </c>
      <c r="L16" s="193">
        <f>K16+L15</f>
        <v>12124257.5849211</v>
      </c>
      <c r="M16" s="193">
        <f>L16+M15</f>
        <v>16694286.8287345</v>
      </c>
      <c r="N16" s="193">
        <f>M16+N15</f>
        <v>20992414.3887439</v>
      </c>
      <c r="O16" s="193">
        <f>N16+O15</f>
        <v>25159241.6960443</v>
      </c>
      <c r="P16" s="193">
        <f>O16+P15</f>
        <v>29052054.5953684</v>
      </c>
      <c r="Q16" s="193">
        <f>P16+Q15</f>
        <v>32680980.3132429</v>
      </c>
      <c r="R16" s="193">
        <f>Q16+R15</f>
        <v>113471472.582939</v>
      </c>
    </row>
    <row r="17">
      <c r="B17" s="36" t="inlineStr">
        <is>
          <t>Crossing point (years from start)</t>
        </is>
      </c>
      <c r="C17" s="117" t="inlineStr">
        <is>
          <t>years</t>
        </is>
      </c>
      <c r="D17" s="167">
        <f>MAX(E17:R17)</f>
        <v>4.39312872136697</v>
      </c>
      <c r="E17" s="149">
        <f>IF(AND(0&lt;0,E16&gt;=0,E15&gt;0),0+(-0/E15)*'20_Timeline'!E24,0)</f>
        <v>0</v>
      </c>
      <c r="F17" s="149">
        <f>IF(AND(E16&lt;0,F16&gt;=0,F15&gt;0),'20_Timeline'!E23+(-E16/F15)*'20_Timeline'!F24,0)</f>
        <v>0</v>
      </c>
      <c r="G17" s="149">
        <f>IF(AND(F16&lt;0,G16&gt;=0,G15&gt;0),'20_Timeline'!F23+(-F16/G15)*'20_Timeline'!G24,0)</f>
        <v>0</v>
      </c>
      <c r="H17" s="149">
        <f>IF(AND(G16&lt;0,H16&gt;=0,H15&gt;0),'20_Timeline'!G23+(-G16/H15)*'20_Timeline'!H24,0)</f>
        <v>0</v>
      </c>
      <c r="I17" s="149">
        <f>IF(AND(H16&lt;0,I16&gt;=0,I15&gt;0),'20_Timeline'!H23+(-H16/I15)*'20_Timeline'!I24,0)</f>
        <v>0</v>
      </c>
      <c r="J17" s="149">
        <f>IF(AND(I16&lt;0,J16&gt;=0,J15&gt;0),'20_Timeline'!I23+(-I16/J15)*'20_Timeline'!J24,0)</f>
        <v>4.39312872136697</v>
      </c>
      <c r="K17" s="149">
        <f>IF(AND(J16&lt;0,K16&gt;=0,K15&gt;0),'20_Timeline'!J23+(-J16/K15)*'20_Timeline'!K24,0)</f>
        <v>0</v>
      </c>
      <c r="L17" s="149">
        <f>IF(AND(K16&lt;0,L16&gt;=0,L15&gt;0),'20_Timeline'!K23+(-K16/L15)*'20_Timeline'!L24,0)</f>
        <v>0</v>
      </c>
      <c r="M17" s="149">
        <f>IF(AND(L16&lt;0,M16&gt;=0,M15&gt;0),'20_Timeline'!L23+(-L16/M15)*'20_Timeline'!M24,0)</f>
        <v>0</v>
      </c>
      <c r="N17" s="149">
        <f>IF(AND(M16&lt;0,N16&gt;=0,N15&gt;0),'20_Timeline'!M23+(-M16/N15)*'20_Timeline'!N24,0)</f>
        <v>0</v>
      </c>
      <c r="O17" s="149">
        <f>IF(AND(N16&lt;0,O16&gt;=0,O15&gt;0),'20_Timeline'!N23+(-N16/O15)*'20_Timeline'!O24,0)</f>
        <v>0</v>
      </c>
      <c r="P17" s="149">
        <f>IF(AND(O16&lt;0,P16&gt;=0,P15&gt;0),'20_Timeline'!O23+(-O16/P15)*'20_Timeline'!P24,0)</f>
        <v>0</v>
      </c>
      <c r="Q17" s="149">
        <f>IF(AND(P16&lt;0,Q16&gt;=0,Q15&gt;0),'20_Timeline'!P23+(-P16/Q15)*'20_Timeline'!Q24,0)</f>
        <v>0</v>
      </c>
      <c r="R17" s="149">
        <f>IF(AND(Q16&lt;0,R16&gt;=0,R15&gt;0),'20_Timeline'!Q23+(-Q16/R15)*'20_Timeline'!R24,0)</f>
        <v>0</v>
      </c>
    </row>
    <row r="18" ht="20" customHeight="1">
      <c r="B18" s="113" t="inlineStr">
        <is>
          <t>Equity – simple</t>
        </is>
      </c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  <c r="O18" s="115" t="n"/>
      <c r="P18" s="115" t="n"/>
      <c r="Q18" s="115" t="n"/>
      <c r="R18" s="115" t="n"/>
    </row>
    <row r="19">
      <c r="B19" s="36" t="inlineStr">
        <is>
          <t>Cash flow</t>
        </is>
      </c>
      <c r="C19" s="117" t="str">
        <f>UNIT_LBL</f>
        <v>ETB '000</v>
      </c>
      <c r="D19" s="189">
        <f>SUM(E19:R19)</f>
        <v>678748562.687279</v>
      </c>
      <c r="E19" s="190">
        <f>'50_Returns'!E28</f>
        <v>-102968903.509016</v>
      </c>
      <c r="F19" s="190">
        <f>'50_Returns'!F28</f>
        <v>-73909589.9467194</v>
      </c>
      <c r="G19" s="190">
        <f>'50_Returns'!G28</f>
        <v>0</v>
      </c>
      <c r="H19" s="190">
        <f>'50_Returns'!H28</f>
        <v>0</v>
      </c>
      <c r="I19" s="190">
        <f>'50_Returns'!I28</f>
        <v>186612925.301294</v>
      </c>
      <c r="J19" s="190">
        <f>'50_Returns'!J28</f>
        <v>20041948.1025463</v>
      </c>
      <c r="K19" s="190">
        <f>'50_Returns'!K28</f>
        <v>10773156.1969011</v>
      </c>
      <c r="L19" s="190">
        <f>'50_Returns'!L28</f>
        <v>12653044.9314323</v>
      </c>
      <c r="M19" s="190">
        <f>'50_Returns'!M28</f>
        <v>14676859.6398598</v>
      </c>
      <c r="N19" s="190">
        <f>'50_Returns'!N28</f>
        <v>15568997.1935328</v>
      </c>
      <c r="O19" s="190">
        <f>'50_Returns'!O28</f>
        <v>17922003.3517958</v>
      </c>
      <c r="P19" s="190">
        <f>'50_Returns'!P28</f>
        <v>17935627.1517528</v>
      </c>
      <c r="Q19" s="190">
        <f>'50_Returns'!Q28</f>
        <v>19515583.8319205</v>
      </c>
      <c r="R19" s="190">
        <f>'50_Returns'!R28</f>
        <v>539926910.441979</v>
      </c>
    </row>
    <row r="20">
      <c r="B20" s="36" t="inlineStr">
        <is>
          <t>Cumulative</t>
        </is>
      </c>
      <c r="C20" s="117" t="str">
        <f>UNIT_LBL</f>
        <v>ETB '000</v>
      </c>
      <c r="D20" s="189">
        <f>R20</f>
        <v>678748562.687279</v>
      </c>
      <c r="E20" s="193">
        <f>0+E19</f>
        <v>-102968903.509016</v>
      </c>
      <c r="F20" s="193">
        <f>E20+F19</f>
        <v>-176878493.455735</v>
      </c>
      <c r="G20" s="193">
        <f>F20+G19</f>
        <v>-176878493.455735</v>
      </c>
      <c r="H20" s="193">
        <f>G20+H19</f>
        <v>-176878493.455735</v>
      </c>
      <c r="I20" s="193">
        <f>H20+I19</f>
        <v>9734431.84555841</v>
      </c>
      <c r="J20" s="193">
        <f>I20+J19</f>
        <v>29776379.9481047</v>
      </c>
      <c r="K20" s="193">
        <f>J20+K19</f>
        <v>40549536.1450058</v>
      </c>
      <c r="L20" s="193">
        <f>K20+L19</f>
        <v>53202581.0764382</v>
      </c>
      <c r="M20" s="193">
        <f>L20+M19</f>
        <v>67879440.716298</v>
      </c>
      <c r="N20" s="193">
        <f>M20+N19</f>
        <v>83448437.9098307</v>
      </c>
      <c r="O20" s="193">
        <f>N20+O19</f>
        <v>101370441.261627</v>
      </c>
      <c r="P20" s="193">
        <f>O20+P19</f>
        <v>119306068.413379</v>
      </c>
      <c r="Q20" s="193">
        <f>P20+Q19</f>
        <v>138821652.2453</v>
      </c>
      <c r="R20" s="193">
        <f>Q20+R19</f>
        <v>678748562.687279</v>
      </c>
    </row>
    <row r="21">
      <c r="B21" s="36" t="inlineStr">
        <is>
          <t>Crossing point (years from start)</t>
        </is>
      </c>
      <c r="C21" s="117" t="inlineStr">
        <is>
          <t>years</t>
        </is>
      </c>
      <c r="D21" s="167">
        <f>MAX(E21:R21)</f>
        <v>3.44646637700107</v>
      </c>
      <c r="E21" s="149">
        <f>IF(AND(0&lt;0,E20&gt;=0,E19&gt;0),0+(-0/E19)*'20_Timeline'!E24,0)</f>
        <v>0</v>
      </c>
      <c r="F21" s="149">
        <f>IF(AND(E20&lt;0,F20&gt;=0,F19&gt;0),'20_Timeline'!E23+(-E20/F19)*'20_Timeline'!F24,0)</f>
        <v>0</v>
      </c>
      <c r="G21" s="149">
        <f>IF(AND(F20&lt;0,G20&gt;=0,G19&gt;0),'20_Timeline'!F23+(-F20/G19)*'20_Timeline'!G24,0)</f>
        <v>0</v>
      </c>
      <c r="H21" s="149">
        <f>IF(AND(G20&lt;0,H20&gt;=0,H19&gt;0),'20_Timeline'!G23+(-G20/H19)*'20_Timeline'!H24,0)</f>
        <v>0</v>
      </c>
      <c r="I21" s="149">
        <f>IF(AND(H20&lt;0,I20&gt;=0,I19&gt;0),'20_Timeline'!H23+(-H20/I19)*'20_Timeline'!I24,0)</f>
        <v>3.44646637700107</v>
      </c>
      <c r="J21" s="149">
        <f>IF(AND(I20&lt;0,J20&gt;=0,J19&gt;0),'20_Timeline'!I23+(-I20/J19)*'20_Timeline'!J24,0)</f>
        <v>0</v>
      </c>
      <c r="K21" s="149">
        <f>IF(AND(J20&lt;0,K20&gt;=0,K19&gt;0),'20_Timeline'!J23+(-J20/K19)*'20_Timeline'!K24,0)</f>
        <v>0</v>
      </c>
      <c r="L21" s="149">
        <f>IF(AND(K20&lt;0,L20&gt;=0,L19&gt;0),'20_Timeline'!K23+(-K20/L19)*'20_Timeline'!L24,0)</f>
        <v>0</v>
      </c>
      <c r="M21" s="149">
        <f>IF(AND(L20&lt;0,M20&gt;=0,M19&gt;0),'20_Timeline'!L23+(-L20/M19)*'20_Timeline'!M24,0)</f>
        <v>0</v>
      </c>
      <c r="N21" s="149">
        <f>IF(AND(M20&lt;0,N20&gt;=0,N19&gt;0),'20_Timeline'!M23+(-M20/N19)*'20_Timeline'!N24,0)</f>
        <v>0</v>
      </c>
      <c r="O21" s="149">
        <f>IF(AND(N20&lt;0,O20&gt;=0,O19&gt;0),'20_Timeline'!N23+(-N20/O19)*'20_Timeline'!O24,0)</f>
        <v>0</v>
      </c>
      <c r="P21" s="149">
        <f>IF(AND(O20&lt;0,P20&gt;=0,P19&gt;0),'20_Timeline'!O23+(-O20/P19)*'20_Timeline'!P24,0)</f>
        <v>0</v>
      </c>
      <c r="Q21" s="149">
        <f>IF(AND(P20&lt;0,Q20&gt;=0,Q19&gt;0),'20_Timeline'!P23+(-P20/Q19)*'20_Timeline'!Q24,0)</f>
        <v>0</v>
      </c>
      <c r="R21" s="149">
        <f>IF(AND(Q20&lt;0,R20&gt;=0,R19&gt;0),'20_Timeline'!Q23+(-Q20/R19)*'20_Timeline'!R24,0)</f>
        <v>0</v>
      </c>
    </row>
    <row r="22" ht="20" customHeight="1">
      <c r="B22" s="113" t="inlineStr">
        <is>
          <t>Equity – discounted</t>
        </is>
      </c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</row>
    <row r="23">
      <c r="B23" s="36" t="inlineStr">
        <is>
          <t>Cash flow</t>
        </is>
      </c>
      <c r="C23" s="117" t="str">
        <f>UNIT_LBL</f>
        <v>ETB '000</v>
      </c>
      <c r="D23" s="189">
        <f>SUM(E23:R23)</f>
        <v>32319293.7184143</v>
      </c>
      <c r="E23" s="190">
        <f>'50_Returns'!E29</f>
        <v>-84400740.5811606</v>
      </c>
      <c r="F23" s="190">
        <f>'50_Returns'!F29</f>
        <v>-49630029.0241449</v>
      </c>
      <c r="G23" s="190">
        <f>'50_Returns'!G29</f>
        <v>0</v>
      </c>
      <c r="H23" s="190">
        <f>'50_Returns'!H29</f>
        <v>0</v>
      </c>
      <c r="I23" s="190">
        <f>'50_Returns'!I29</f>
        <v>93068050.024226</v>
      </c>
      <c r="J23" s="190">
        <f>'50_Returns'!J29</f>
        <v>8192925.32214186</v>
      </c>
      <c r="K23" s="190">
        <f>'50_Returns'!K29</f>
        <v>3607826.02280816</v>
      </c>
      <c r="L23" s="190">
        <f>'50_Returns'!L29</f>
        <v>3473264.43806461</v>
      </c>
      <c r="M23" s="190">
        <f>'50_Returns'!M29</f>
        <v>3302296.84593296</v>
      </c>
      <c r="N23" s="190">
        <f>'50_Returns'!N29</f>
        <v>2871334.42935943</v>
      </c>
      <c r="O23" s="190">
        <f>'50_Returns'!O29</f>
        <v>2707779.27191219</v>
      </c>
      <c r="P23" s="190">
        <f>'50_Returns'!P29</f>
        <v>2221178.40091395</v>
      </c>
      <c r="Q23" s="190">
        <f>'50_Returns'!Q29</f>
        <v>1981018.77734356</v>
      </c>
      <c r="R23" s="190">
        <f>'50_Returns'!R29</f>
        <v>44924389.7910171</v>
      </c>
    </row>
    <row r="24">
      <c r="B24" s="36" t="inlineStr">
        <is>
          <t>Cumulative</t>
        </is>
      </c>
      <c r="C24" s="117" t="str">
        <f>UNIT_LBL</f>
        <v>ETB '000</v>
      </c>
      <c r="D24" s="189">
        <f>R24</f>
        <v>32319293.7184143</v>
      </c>
      <c r="E24" s="193">
        <f>0+E23</f>
        <v>-84400740.5811606</v>
      </c>
      <c r="F24" s="193">
        <f>E24+F23</f>
        <v>-134030769.605306</v>
      </c>
      <c r="G24" s="193">
        <f>F24+G23</f>
        <v>-134030769.605306</v>
      </c>
      <c r="H24" s="193">
        <f>G24+H23</f>
        <v>-134030769.605306</v>
      </c>
      <c r="I24" s="193">
        <f>H24+I23</f>
        <v>-40962719.5810795</v>
      </c>
      <c r="J24" s="193">
        <f>I24+J23</f>
        <v>-32769794.2589377</v>
      </c>
      <c r="K24" s="193">
        <f>J24+K23</f>
        <v>-29161968.2361295</v>
      </c>
      <c r="L24" s="193">
        <f>K24+L23</f>
        <v>-25688703.7980649</v>
      </c>
      <c r="M24" s="193">
        <f>L24+M23</f>
        <v>-22386406.9521319</v>
      </c>
      <c r="N24" s="193">
        <f>M24+N23</f>
        <v>-19515072.5227725</v>
      </c>
      <c r="O24" s="193">
        <f>N24+O23</f>
        <v>-16807293.2508603</v>
      </c>
      <c r="P24" s="193">
        <f>O24+P23</f>
        <v>-14586114.8499464</v>
      </c>
      <c r="Q24" s="193">
        <f>P24+Q23</f>
        <v>-12605096.0726028</v>
      </c>
      <c r="R24" s="193">
        <f>Q24+R23</f>
        <v>32319293.7184143</v>
      </c>
    </row>
    <row r="25">
      <c r="B25" s="36" t="inlineStr">
        <is>
          <t>Crossing point (years from start)</t>
        </is>
      </c>
      <c r="C25" s="117" t="inlineStr">
        <is>
          <t>years</t>
        </is>
      </c>
      <c r="D25" s="167">
        <f>MAX(E25:R25)</f>
        <v>11.7846942810367</v>
      </c>
      <c r="E25" s="149">
        <f>IF(AND(0&lt;0,E24&gt;=0,E23&gt;0),0+(-0/E23)*'20_Timeline'!E24,0)</f>
        <v>0</v>
      </c>
      <c r="F25" s="149">
        <f>IF(AND(E24&lt;0,F24&gt;=0,F23&gt;0),'20_Timeline'!E23+(-E24/F23)*'20_Timeline'!F24,0)</f>
        <v>0</v>
      </c>
      <c r="G25" s="149">
        <f>IF(AND(F24&lt;0,G24&gt;=0,G23&gt;0),'20_Timeline'!F23+(-F24/G23)*'20_Timeline'!G24,0)</f>
        <v>0</v>
      </c>
      <c r="H25" s="149">
        <f>IF(AND(G24&lt;0,H24&gt;=0,H23&gt;0),'20_Timeline'!G23+(-G24/H23)*'20_Timeline'!H24,0)</f>
        <v>0</v>
      </c>
      <c r="I25" s="149">
        <f>IF(AND(H24&lt;0,I24&gt;=0,I23&gt;0),'20_Timeline'!H23+(-H24/I23)*'20_Timeline'!I24,0)</f>
        <v>0</v>
      </c>
      <c r="J25" s="149">
        <f>IF(AND(I24&lt;0,J24&gt;=0,J23&gt;0),'20_Timeline'!I23+(-I24/J23)*'20_Timeline'!J24,0)</f>
        <v>0</v>
      </c>
      <c r="K25" s="149">
        <f>IF(AND(J24&lt;0,K24&gt;=0,K23&gt;0),'20_Timeline'!J23+(-J24/K23)*'20_Timeline'!K24,0)</f>
        <v>0</v>
      </c>
      <c r="L25" s="149">
        <f>IF(AND(K24&lt;0,L24&gt;=0,L23&gt;0),'20_Timeline'!K23+(-K24/L23)*'20_Timeline'!L24,0)</f>
        <v>0</v>
      </c>
      <c r="M25" s="149">
        <f>IF(AND(L24&lt;0,M24&gt;=0,M23&gt;0),'20_Timeline'!L23+(-L24/M23)*'20_Timeline'!M24,0)</f>
        <v>0</v>
      </c>
      <c r="N25" s="149">
        <f>IF(AND(M24&lt;0,N24&gt;=0,N23&gt;0),'20_Timeline'!M23+(-M24/N23)*'20_Timeline'!N24,0)</f>
        <v>0</v>
      </c>
      <c r="O25" s="149">
        <f>IF(AND(N24&lt;0,O24&gt;=0,O23&gt;0),'20_Timeline'!N23+(-N24/O23)*'20_Timeline'!O24,0)</f>
        <v>0</v>
      </c>
      <c r="P25" s="149">
        <f>IF(AND(O24&lt;0,P24&gt;=0,P23&gt;0),'20_Timeline'!O23+(-O24/P23)*'20_Timeline'!P24,0)</f>
        <v>0</v>
      </c>
      <c r="Q25" s="149">
        <f>IF(AND(P24&lt;0,Q24&gt;=0,Q23&gt;0),'20_Timeline'!P23+(-P24/Q23)*'20_Timeline'!Q24,0)</f>
        <v>0</v>
      </c>
      <c r="R25" s="149">
        <f>IF(AND(Q24&lt;0,R24&gt;=0,R23&gt;0),'20_Timeline'!Q23+(-Q24/R23)*'20_Timeline'!R24,0)</f>
        <v>11.7846942810367</v>
      </c>
    </row>
    <row r="27" ht="20" customHeight="1">
      <c r="B27" s="113" t="inlineStr">
        <is>
          <t>Payback results (years from construction start; fractional-year method)</t>
        </is>
      </c>
      <c r="C27" s="37" t="inlineStr">
        <is>
          <t>ውጤት</t>
        </is>
      </c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</row>
    <row r="28">
      <c r="B28" s="36" t="inlineStr">
        <is>
          <t>Project payback – simple</t>
        </is>
      </c>
      <c r="C28" s="117" t="inlineStr">
        <is>
          <t>years</t>
        </is>
      </c>
      <c r="D28" s="204">
        <f>$D$13</f>
        <v>3.47890984283199</v>
      </c>
      <c r="E28" s="8" t="inlineStr">
        <is>
          <t>0 = not reached within the horizon</t>
        </is>
      </c>
    </row>
    <row r="29">
      <c r="B29" s="36" t="inlineStr">
        <is>
          <t>Project payback – discounted</t>
        </is>
      </c>
      <c r="C29" s="117" t="inlineStr">
        <is>
          <t>years</t>
        </is>
      </c>
      <c r="D29" s="204">
        <f>$D$17</f>
        <v>4.39312872136697</v>
      </c>
      <c r="E29" s="8" t="inlineStr">
        <is>
          <t>0 = not reached within the horizon</t>
        </is>
      </c>
    </row>
    <row r="30">
      <c r="B30" s="36" t="inlineStr">
        <is>
          <t>Equity payback – simple</t>
        </is>
      </c>
      <c r="C30" s="117" t="inlineStr">
        <is>
          <t>years</t>
        </is>
      </c>
      <c r="D30" s="204">
        <f>$D$21</f>
        <v>3.44646637700107</v>
      </c>
      <c r="E30" s="8" t="inlineStr">
        <is>
          <t>0 = not reached within the horizon</t>
        </is>
      </c>
    </row>
    <row r="31">
      <c r="B31" s="36" t="inlineStr">
        <is>
          <t>Equity payback – discounted</t>
        </is>
      </c>
      <c r="C31" s="117" t="inlineStr">
        <is>
          <t>years</t>
        </is>
      </c>
      <c r="D31" s="204">
        <f>$D$25</f>
        <v>11.7846942810367</v>
      </c>
      <c r="E31" s="8" t="inlineStr">
        <is>
          <t>0 = not reached within the horizon</t>
        </is>
      </c>
    </row>
  </sheetData>
  <conditionalFormatting sqref="B5:R5">
    <cfRule type="expression" priority="1" dxfId="7">
      <formula>PROJECT_MODE=0</formula>
    </cfRule>
  </conditionalFormatting>
  <conditionalFormatting sqref="D11:R11 D12:R12 D15:R15 D16:R16 D19:R19 D20:R20 D23:R23 D24:R24">
    <cfRule type="expression" priority="2" dxfId="8">
      <formula>UNIT_SEL=1</formula>
    </cfRule>
    <cfRule type="expression" priority="3" dxfId="9">
      <formula>UNIT_SEL=3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7A5195"/>
    <outlinePr summaryBelow="1" summaryRight="1"/>
    <pageSetUpPr fitToPage="1"/>
  </sheetPr>
  <dimension ref="A1:R224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8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</cols>
  <sheetData>
    <row r="1" ht="30" customHeight="1">
      <c r="A1" s="1" t="n"/>
      <c r="B1" s="2" t="inlineStr">
        <is>
          <t>52 · Sensitivity &amp; break-even (LIVE)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3" t="str">
        <f>HYPERLINK("#'00_Start'!A1","◂ Start")</f>
        <v>◂ Start</v>
      </c>
    </row>
    <row r="2" ht="20" customHeight="1">
      <c r="A2" s="1" t="n"/>
      <c r="B2" s="4" t="inlineStr">
        <is>
          <t>የስጋት ትንተናና የትርፍ-ኪሳራ ሚዛን ነጥብ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B5" s="161">
        <f>IF(PROJECT_MODE=0,"Not needed for personal projects — switch mode to Commercial (1–3) on the Start sheet to see profitability.  ·  ለግል ፕሮጀክት አያስፈልግም — ትርፋማነትን ለማየት በመጀመሪያ ገጽ ላይ ዓይነቱን ወደ ንግድ (1–3) ይቀይሩ።","")</f>
      </c>
    </row>
    <row r="10" ht="20" customHeight="1">
      <c r="B10" s="113" t="inlineStr">
        <is>
          <t>Flex cells – change one and every output updates (100% = as input)</t>
        </is>
      </c>
      <c r="C10" s="37" t="inlineStr">
        <is>
          <t>የማስተካከያ ሕዋሶች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36" t="inlineStr">
        <is>
          <t>Sale price</t>
        </is>
      </c>
      <c r="C11" s="117" t="inlineStr">
        <is>
          <t>x</t>
        </is>
      </c>
      <c r="D11" s="144" t="n">
        <v>1</v>
      </c>
    </row>
    <row r="12">
      <c r="B12" s="36" t="inlineStr">
        <is>
          <t>Construction cost</t>
        </is>
      </c>
      <c r="C12" s="117" t="inlineStr">
        <is>
          <t>x</t>
        </is>
      </c>
      <c r="D12" s="144" t="n">
        <v>1</v>
      </c>
    </row>
    <row r="13">
      <c r="B13" s="36" t="inlineStr">
        <is>
          <t>Rent</t>
        </is>
      </c>
      <c r="C13" s="117" t="inlineStr">
        <is>
          <t>x</t>
        </is>
      </c>
      <c r="D13" s="144" t="n">
        <v>1</v>
      </c>
    </row>
    <row r="14">
      <c r="B14" s="36" t="inlineStr">
        <is>
          <t>Occupancy</t>
        </is>
      </c>
      <c r="C14" s="117" t="inlineStr">
        <is>
          <t>x</t>
        </is>
      </c>
      <c r="D14" s="144" t="n">
        <v>1</v>
      </c>
    </row>
    <row r="15">
      <c r="B15" s="36" t="inlineStr">
        <is>
          <t>Interest rate</t>
        </is>
      </c>
      <c r="C15" s="117" t="inlineStr">
        <is>
          <t>x</t>
        </is>
      </c>
      <c r="D15" s="144" t="n">
        <v>1</v>
      </c>
    </row>
    <row r="16">
      <c r="B16" s="36" t="inlineStr">
        <is>
          <t>Operating costs</t>
        </is>
      </c>
      <c r="C16" s="117" t="inlineStr">
        <is>
          <t>x</t>
        </is>
      </c>
      <c r="D16" s="144" t="n">
        <v>1</v>
      </c>
    </row>
    <row r="17">
      <c r="B17" s="36" t="inlineStr">
        <is>
          <t>Extra construction delay (months)</t>
        </is>
      </c>
      <c r="C17" s="117" t="inlineStr">
        <is>
          <t>#</t>
        </is>
      </c>
      <c r="D17" s="146" t="n">
        <v>0</v>
      </c>
    </row>
    <row r="18">
      <c r="B18" s="36" t="inlineStr">
        <is>
          <t>Scenario override for the scenario grid (0 = use Start)</t>
        </is>
      </c>
      <c r="C18" s="117" t="inlineStr">
        <is>
          <t>#</t>
        </is>
      </c>
      <c r="D18" s="146" t="n">
        <v>0</v>
      </c>
    </row>
    <row r="20" ht="20" customHeight="1">
      <c r="B20" s="113" t="inlineStr">
        <is>
          <t>Live outputs</t>
        </is>
      </c>
      <c r="C20" s="37" t="inlineStr">
        <is>
          <t>ውጤቶች</t>
        </is>
      </c>
      <c r="D20" s="115" t="n"/>
      <c r="E20" s="115" t="n"/>
      <c r="F20" s="115" t="n"/>
      <c r="G20" s="115" t="n"/>
      <c r="H20" s="115" t="n"/>
      <c r="I20" s="115" t="n"/>
      <c r="J20" s="115" t="n"/>
    </row>
    <row r="21">
      <c r="B21" s="36" t="inlineStr">
        <is>
          <t>Equity IRR</t>
        </is>
      </c>
      <c r="C21" s="117" t="inlineStr"/>
      <c r="D21" s="205">
        <f>EIRR</f>
        <v>0.275726230589801</v>
      </c>
    </row>
    <row r="22">
      <c r="B22" s="36" t="inlineStr">
        <is>
          <t>Project IRR</t>
        </is>
      </c>
      <c r="C22" s="117" t="inlineStr"/>
      <c r="D22" s="205">
        <f>PIRR</f>
        <v>0.347833268529815</v>
      </c>
    </row>
    <row r="23">
      <c r="B23" s="36" t="inlineStr">
        <is>
          <t>Project NPV</t>
        </is>
      </c>
      <c r="C23" s="117" t="inlineStr">
        <is>
          <t>ETB</t>
        </is>
      </c>
      <c r="D23" s="206">
        <f>PNPV</f>
        <v>113471472.582939</v>
      </c>
    </row>
    <row r="24">
      <c r="B24" s="36" t="inlineStr">
        <is>
          <t>Profit on cost</t>
        </is>
      </c>
      <c r="C24" s="117" t="inlineStr"/>
      <c r="D24" s="205">
        <f>POC</f>
        <v>0.519650489143043</v>
      </c>
    </row>
    <row r="25">
      <c r="B25" s="36" t="inlineStr">
        <is>
          <t>Minimum DSCR</t>
        </is>
      </c>
      <c r="C25" s="117" t="inlineStr"/>
      <c r="D25" s="207">
        <f>MIN_DSCR</f>
        <v>1.7426163135394</v>
      </c>
    </row>
    <row r="26">
      <c r="B26" s="36" t="inlineStr">
        <is>
          <t>Peak debt</t>
        </is>
      </c>
      <c r="C26" s="117" t="inlineStr">
        <is>
          <t>ETB</t>
        </is>
      </c>
      <c r="D26" s="206">
        <f>PEAK_DEBT</f>
        <v>133149894.104201</v>
      </c>
    </row>
    <row r="27">
      <c r="B27" s="36" t="inlineStr">
        <is>
          <t>Total development cost</t>
        </is>
      </c>
      <c r="C27" s="117" t="inlineStr">
        <is>
          <t>ETB</t>
        </is>
      </c>
      <c r="D27" s="206">
        <f>TDC</f>
        <v>550660431.329137</v>
      </c>
    </row>
    <row r="28">
      <c r="B28" s="36" t="inlineStr">
        <is>
          <t>Verdict</t>
        </is>
      </c>
      <c r="C28" s="117" t="inlineStr"/>
      <c r="D28" s="208" t="str">
        <f>VERDICT</f>
        <v>VIABLE</v>
      </c>
    </row>
    <row r="30" ht="20" customHeight="1">
      <c r="B30" s="113" t="inlineStr">
        <is>
          <t>One-way: Sale price (−30% … +30%)</t>
        </is>
      </c>
      <c r="C30" s="115" t="n"/>
      <c r="D30" s="115" t="n"/>
      <c r="E30" s="115" t="n"/>
      <c r="F30" s="115" t="n"/>
      <c r="G30" s="115" t="n"/>
      <c r="H30" s="115" t="n"/>
      <c r="I30" s="115" t="n"/>
      <c r="J30" s="115" t="n"/>
    </row>
    <row r="31">
      <c r="B31" s="8" t="inlineStr">
        <is>
          <t>Live Data Table – recalculates automatically (press F9 if Excel is set to 'except tables')</t>
        </is>
      </c>
      <c r="C31" s="78" t="inlineStr">
        <is>
          <t>Input value</t>
        </is>
      </c>
      <c r="D31" s="209" t="inlineStr">
        <is>
          <t>Equity IRR</t>
        </is>
      </c>
      <c r="E31" s="209" t="inlineStr">
        <is>
          <t>Min DSCR</t>
        </is>
      </c>
      <c r="F31" s="209" t="inlineStr">
        <is>
          <t>Profit on cost</t>
        </is>
      </c>
    </row>
    <row r="32">
      <c r="C32" s="117" t="inlineStr">
        <is>
          <t>base →</t>
        </is>
      </c>
      <c r="D32" s="210">
        <f>$D$21</f>
        <v>0.275726230589801</v>
      </c>
      <c r="E32" s="211">
        <f>$D$25</f>
        <v>1.7426163135394</v>
      </c>
      <c r="F32" s="210">
        <f>$D$24</f>
        <v>0.519650489143043</v>
      </c>
    </row>
    <row r="33">
      <c r="C33" s="212" t="n">
        <v>0.7</v>
      </c>
      <c r="D33" s="213">
        <f t="dataTable" ref="D33:F39" r1="D11"/>
        <v>0.177803942025028</v>
      </c>
      <c r="E33" s="214">
        <v>0.735018617912554</v>
      </c>
      <c r="F33" s="213">
        <v>0.233516852634129</v>
      </c>
    </row>
    <row r="34">
      <c r="C34" s="212" t="n">
        <v>0.8</v>
      </c>
      <c r="D34" s="213">
        <v>0.211282144971069</v>
      </c>
      <c r="E34" s="214">
        <v>0.979677008904335</v>
      </c>
      <c r="F34" s="213">
        <v>0.328209064705104</v>
      </c>
    </row>
    <row r="35">
      <c r="C35" s="212" t="n">
        <v>0.9</v>
      </c>
      <c r="D35" s="213">
        <v>0.240317740471033</v>
      </c>
      <c r="E35" s="214">
        <v>1.46326747591889</v>
      </c>
      <c r="F35" s="213">
        <v>0.423655781381015</v>
      </c>
    </row>
    <row r="36">
      <c r="C36" s="212" t="n">
        <v>1</v>
      </c>
      <c r="D36" s="213">
        <v>0.275726230589801</v>
      </c>
      <c r="E36" s="214">
        <v>1.7426163135394</v>
      </c>
      <c r="F36" s="213">
        <v>0.519650489143043</v>
      </c>
    </row>
    <row r="37">
      <c r="C37" s="212" t="n">
        <v>1.1</v>
      </c>
      <c r="D37" s="213">
        <v>0.310607435397328</v>
      </c>
      <c r="E37" s="214">
        <v>8.5385690245419</v>
      </c>
      <c r="F37" s="213">
        <v>0.616385296365062</v>
      </c>
    </row>
    <row r="38">
      <c r="C38" s="212" t="n">
        <v>1.2</v>
      </c>
      <c r="D38" s="213">
        <v>0.34711499452481</v>
      </c>
      <c r="E38" s="214">
        <v>12.3696646880891</v>
      </c>
      <c r="F38" s="213">
        <v>0.713871810767815</v>
      </c>
    </row>
    <row r="39">
      <c r="C39" s="212" t="n">
        <v>1.3</v>
      </c>
      <c r="D39" s="213">
        <v>0.389039171119255</v>
      </c>
      <c r="E39" s="214">
        <v>19.8058487529297</v>
      </c>
      <c r="F39" s="213">
        <v>0.811874239669986</v>
      </c>
    </row>
    <row r="40" ht="20" customHeight="1">
      <c r="B40" s="113" t="inlineStr">
        <is>
          <t>One-way: Construction cost (−30% … +30%)</t>
        </is>
      </c>
      <c r="C40" s="115" t="n"/>
      <c r="D40" s="115" t="n"/>
      <c r="E40" s="115" t="n"/>
      <c r="F40" s="115" t="n"/>
      <c r="G40" s="115" t="n"/>
      <c r="H40" s="115" t="n"/>
      <c r="I40" s="115" t="n"/>
      <c r="J40" s="115" t="n"/>
    </row>
    <row r="41">
      <c r="B41" s="8" t="inlineStr">
        <is>
          <t>Live Data Table – recalculates automatically (press F9 if Excel is set to 'except tables')</t>
        </is>
      </c>
      <c r="C41" s="78" t="inlineStr">
        <is>
          <t>Input value</t>
        </is>
      </c>
      <c r="D41" s="209" t="inlineStr">
        <is>
          <t>Equity IRR</t>
        </is>
      </c>
      <c r="E41" s="209" t="inlineStr">
        <is>
          <t>Min DSCR</t>
        </is>
      </c>
      <c r="F41" s="209" t="inlineStr">
        <is>
          <t>Profit on cost</t>
        </is>
      </c>
    </row>
    <row r="42">
      <c r="C42" s="117" t="inlineStr">
        <is>
          <t>base →</t>
        </is>
      </c>
      <c r="D42" s="210">
        <f>$D$21</f>
        <v>0.275726230589801</v>
      </c>
      <c r="E42" s="211">
        <f>$D$25</f>
        <v>1.7426163135394</v>
      </c>
      <c r="F42" s="210">
        <f>$D$24</f>
        <v>0.519650489143043</v>
      </c>
    </row>
    <row r="43">
      <c r="C43" s="212" t="n">
        <v>0.7</v>
      </c>
      <c r="D43" s="213">
        <f t="dataTable" ref="D43:F49" r1="D12"/>
        <v>0.429909560689278</v>
      </c>
      <c r="E43" s="214">
        <v>32.5512639962874</v>
      </c>
      <c r="F43" s="213">
        <v>0.962372794676359</v>
      </c>
    </row>
    <row r="44">
      <c r="C44" s="212" t="n">
        <v>0.8</v>
      </c>
      <c r="D44" s="213">
        <v>0.364869361979975</v>
      </c>
      <c r="E44" s="214">
        <v>13.7856864652359</v>
      </c>
      <c r="F44" s="213">
        <v>0.789262955472711</v>
      </c>
    </row>
    <row r="45">
      <c r="C45" s="212" t="n">
        <v>0.9</v>
      </c>
      <c r="D45" s="213">
        <v>0.318159375795303</v>
      </c>
      <c r="E45" s="214">
        <v>8.62052721858691</v>
      </c>
      <c r="F45" s="213">
        <v>0.643634266349599</v>
      </c>
    </row>
    <row r="46">
      <c r="C46" s="212" t="n">
        <v>1</v>
      </c>
      <c r="D46" s="213">
        <v>0.275726230589801</v>
      </c>
      <c r="E46" s="214">
        <v>1.7426163135394</v>
      </c>
      <c r="F46" s="213">
        <v>0.519650489143043</v>
      </c>
    </row>
    <row r="47">
      <c r="C47" s="212" t="n">
        <v>1.1</v>
      </c>
      <c r="D47" s="213">
        <v>0.238522312315786</v>
      </c>
      <c r="E47" s="214">
        <v>1.45933850371589</v>
      </c>
      <c r="F47" s="213">
        <v>0.412819785091188</v>
      </c>
    </row>
    <row r="48">
      <c r="C48" s="212" t="n">
        <v>1.2</v>
      </c>
      <c r="D48" s="213">
        <v>0.208527566300036</v>
      </c>
      <c r="E48" s="214">
        <v>0.968901092386425</v>
      </c>
      <c r="F48" s="213">
        <v>0.31974705605327</v>
      </c>
    </row>
    <row r="49">
      <c r="C49" s="212" t="n">
        <v>1.3</v>
      </c>
      <c r="D49" s="213">
        <v>0.177480289881747</v>
      </c>
      <c r="E49" s="214">
        <v>0.72890357056744</v>
      </c>
      <c r="F49" s="213">
        <v>0.237950746670536</v>
      </c>
    </row>
    <row r="50" ht="20" customHeight="1">
      <c r="B50" s="113" t="inlineStr">
        <is>
          <t>One-way: Occupancy (−30% … +30%)</t>
        </is>
      </c>
      <c r="C50" s="115" t="n"/>
      <c r="D50" s="115" t="n"/>
      <c r="E50" s="115" t="n"/>
      <c r="F50" s="115" t="n"/>
      <c r="G50" s="115" t="n"/>
      <c r="H50" s="115" t="n"/>
      <c r="I50" s="115" t="n"/>
      <c r="J50" s="115" t="n"/>
    </row>
    <row r="51">
      <c r="B51" s="8" t="inlineStr">
        <is>
          <t>Live Data Table – recalculates automatically (press F9 if Excel is set to 'except tables')</t>
        </is>
      </c>
      <c r="C51" s="78" t="inlineStr">
        <is>
          <t>Input value</t>
        </is>
      </c>
      <c r="D51" s="209" t="inlineStr">
        <is>
          <t>Equity IRR</t>
        </is>
      </c>
      <c r="E51" s="209" t="inlineStr">
        <is>
          <t>Min DSCR</t>
        </is>
      </c>
      <c r="F51" s="209" t="inlineStr">
        <is>
          <t>Profit on cost</t>
        </is>
      </c>
    </row>
    <row r="52">
      <c r="C52" s="117" t="inlineStr">
        <is>
          <t>base →</t>
        </is>
      </c>
      <c r="D52" s="210">
        <f>$D$21</f>
        <v>0.275726230589801</v>
      </c>
      <c r="E52" s="211">
        <f>$D$25</f>
        <v>1.7426163135394</v>
      </c>
      <c r="F52" s="210">
        <f>$D$24</f>
        <v>0.519650489143043</v>
      </c>
    </row>
    <row r="53">
      <c r="C53" s="212" t="n">
        <v>0.7</v>
      </c>
      <c r="D53" s="213">
        <f t="dataTable" ref="D53:F59" r1="D14"/>
        <v>0.221034097795757</v>
      </c>
      <c r="E53" s="214">
        <v>0.416796855683512</v>
      </c>
      <c r="F53" s="213">
        <v>0.333804527674765</v>
      </c>
    </row>
    <row r="54">
      <c r="C54" s="212" t="n">
        <v>0.8</v>
      </c>
      <c r="D54" s="213">
        <v>0.24090007862146</v>
      </c>
      <c r="E54" s="214">
        <v>0.858736674968808</v>
      </c>
      <c r="F54" s="213">
        <v>0.395753181497525</v>
      </c>
    </row>
    <row r="55">
      <c r="C55" s="212" t="n">
        <v>0.9</v>
      </c>
      <c r="D55" s="213">
        <v>0.259586780166562</v>
      </c>
      <c r="E55" s="214">
        <v>1.3006764942541</v>
      </c>
      <c r="F55" s="213">
        <v>0.457701835320284</v>
      </c>
    </row>
    <row r="56">
      <c r="C56" s="212" t="n">
        <v>1</v>
      </c>
      <c r="D56" s="213">
        <v>0.275726230589801</v>
      </c>
      <c r="E56" s="214">
        <v>1.7426163135394</v>
      </c>
      <c r="F56" s="213">
        <v>0.519650489143043</v>
      </c>
    </row>
    <row r="57">
      <c r="C57" s="212" t="n">
        <v>1.1</v>
      </c>
      <c r="D57" s="213">
        <v>0.289017824761069</v>
      </c>
      <c r="E57" s="214">
        <v>2.10803526811203</v>
      </c>
      <c r="F57" s="213">
        <v>0.573518883771529</v>
      </c>
    </row>
    <row r="58">
      <c r="C58" s="212" t="n">
        <v>1.2</v>
      </c>
      <c r="D58" s="213">
        <v>0.291938514524578</v>
      </c>
      <c r="E58" s="214">
        <v>1.96331512460029</v>
      </c>
      <c r="F58" s="213">
        <v>0.573518883771529</v>
      </c>
    </row>
    <row r="59">
      <c r="C59" s="212" t="n">
        <v>1.3</v>
      </c>
      <c r="D59" s="213">
        <v>0.294018681755867</v>
      </c>
      <c r="E59" s="214">
        <v>1.88435395769683</v>
      </c>
      <c r="F59" s="213">
        <v>0.573518883771529</v>
      </c>
    </row>
    <row r="60" ht="20" customHeight="1">
      <c r="B60" s="113" t="inlineStr">
        <is>
          <t>One-way: Interest rate (−30% … +30%)</t>
        </is>
      </c>
      <c r="C60" s="115" t="n"/>
      <c r="D60" s="115" t="n"/>
      <c r="E60" s="115" t="n"/>
      <c r="F60" s="115" t="n"/>
      <c r="G60" s="115" t="n"/>
      <c r="H60" s="115" t="n"/>
      <c r="I60" s="115" t="n"/>
      <c r="J60" s="115" t="n"/>
    </row>
    <row r="61">
      <c r="B61" s="8" t="inlineStr">
        <is>
          <t>Live Data Table – recalculates automatically (press F9 if Excel is set to 'except tables')</t>
        </is>
      </c>
      <c r="C61" s="78" t="inlineStr">
        <is>
          <t>Input value</t>
        </is>
      </c>
      <c r="D61" s="209" t="inlineStr">
        <is>
          <t>Equity IRR</t>
        </is>
      </c>
      <c r="E61" s="209" t="inlineStr">
        <is>
          <t>Min DSCR</t>
        </is>
      </c>
      <c r="F61" s="209" t="inlineStr">
        <is>
          <t>Profit on cost</t>
        </is>
      </c>
    </row>
    <row r="62">
      <c r="C62" s="117" t="inlineStr">
        <is>
          <t>base →</t>
        </is>
      </c>
      <c r="D62" s="210">
        <f>$D$21</f>
        <v>0.275726230589801</v>
      </c>
      <c r="E62" s="211">
        <f>$D$25</f>
        <v>1.7426163135394</v>
      </c>
      <c r="F62" s="210">
        <f>$D$24</f>
        <v>0.519650489143043</v>
      </c>
    </row>
    <row r="63">
      <c r="C63" s="212" t="n">
        <v>0.7</v>
      </c>
      <c r="D63" s="213">
        <f t="dataTable" ref="D63:F69" r1="D15"/>
        <v>0.284878444720971</v>
      </c>
      <c r="E63" s="214">
        <v>2.35875655274526</v>
      </c>
      <c r="F63" s="213">
        <v>0.535025197759231</v>
      </c>
    </row>
    <row r="64">
      <c r="C64" s="212" t="n">
        <v>0.8</v>
      </c>
      <c r="D64" s="213">
        <v>0.281992479768278</v>
      </c>
      <c r="E64" s="214">
        <v>2.11022814970986</v>
      </c>
      <c r="F64" s="213">
        <v>0.529936083627113</v>
      </c>
    </row>
    <row r="65">
      <c r="C65" s="212" t="n">
        <v>0.9</v>
      </c>
      <c r="D65" s="213">
        <v>0.278942392667358</v>
      </c>
      <c r="E65" s="214">
        <v>1.90876371779285</v>
      </c>
      <c r="F65" s="213">
        <v>0.524811132535761</v>
      </c>
    </row>
    <row r="66">
      <c r="C66" s="212" t="n">
        <v>1</v>
      </c>
      <c r="D66" s="213">
        <v>0.275726230589801</v>
      </c>
      <c r="E66" s="214">
        <v>1.7426163135394</v>
      </c>
      <c r="F66" s="213">
        <v>0.519650489143043</v>
      </c>
    </row>
    <row r="67">
      <c r="C67" s="212" t="n">
        <v>1.1</v>
      </c>
      <c r="D67" s="213">
        <v>0.272348893886232</v>
      </c>
      <c r="E67" s="214">
        <v>1.60359928280936</v>
      </c>
      <c r="F67" s="213">
        <v>0.514454306957127</v>
      </c>
    </row>
    <row r="68">
      <c r="C68" s="212" t="n">
        <v>1.2</v>
      </c>
      <c r="D68" s="213">
        <v>0.268807180411862</v>
      </c>
      <c r="E68" s="214">
        <v>1.48583890767935</v>
      </c>
      <c r="F68" s="213">
        <v>0.509222748393085</v>
      </c>
    </row>
    <row r="69">
      <c r="C69" s="212" t="n">
        <v>1.3</v>
      </c>
      <c r="D69" s="213">
        <v>0.265098071380325</v>
      </c>
      <c r="E69" s="214">
        <v>1.40779395531952</v>
      </c>
      <c r="F69" s="213">
        <v>0.503955984825582</v>
      </c>
    </row>
    <row r="70" ht="20" customHeight="1">
      <c r="B70" s="113" t="inlineStr">
        <is>
          <t>One-way: Rent (−30% … +30%)</t>
        </is>
      </c>
      <c r="C70" s="115" t="n"/>
      <c r="D70" s="115" t="n"/>
      <c r="E70" s="115" t="n"/>
      <c r="F70" s="115" t="n"/>
      <c r="G70" s="115" t="n"/>
      <c r="H70" s="115" t="n"/>
      <c r="I70" s="115" t="n"/>
      <c r="J70" s="115" t="n"/>
    </row>
    <row r="71">
      <c r="B71" s="8" t="inlineStr">
        <is>
          <t>Live Data Table – recalculates automatically (press F9 if Excel is set to 'except tables')</t>
        </is>
      </c>
      <c r="C71" s="78" t="inlineStr">
        <is>
          <t>Input value</t>
        </is>
      </c>
      <c r="D71" s="209" t="inlineStr">
        <is>
          <t>Equity IRR</t>
        </is>
      </c>
      <c r="E71" s="209" t="inlineStr">
        <is>
          <t>Min DSCR</t>
        </is>
      </c>
      <c r="F71" s="209" t="inlineStr">
        <is>
          <t>Profit on cost</t>
        </is>
      </c>
    </row>
    <row r="72">
      <c r="C72" s="117" t="inlineStr">
        <is>
          <t>base →</t>
        </is>
      </c>
      <c r="D72" s="210">
        <f>$D$21</f>
        <v>0.275726230589801</v>
      </c>
      <c r="E72" s="211">
        <f>$D$25</f>
        <v>1.7426163135394</v>
      </c>
      <c r="F72" s="210">
        <f>$D$24</f>
        <v>0.519650489143043</v>
      </c>
    </row>
    <row r="73">
      <c r="C73" s="212" t="n">
        <v>0.7</v>
      </c>
      <c r="D73" s="213">
        <f t="dataTable" ref="D73:F79" r1="D13"/>
        <v>0.221034097795757</v>
      </c>
      <c r="E73" s="214">
        <v>0.416796855683512</v>
      </c>
      <c r="F73" s="213">
        <v>0.333804527674765</v>
      </c>
    </row>
    <row r="74">
      <c r="C74" s="212" t="n">
        <v>0.8</v>
      </c>
      <c r="D74" s="213">
        <v>0.240900078621461</v>
      </c>
      <c r="E74" s="214">
        <v>0.858736674968808</v>
      </c>
      <c r="F74" s="213">
        <v>0.395753181497525</v>
      </c>
    </row>
    <row r="75">
      <c r="C75" s="212" t="n">
        <v>0.9</v>
      </c>
      <c r="D75" s="213">
        <v>0.259586780166562</v>
      </c>
      <c r="E75" s="214">
        <v>1.3006764942541</v>
      </c>
      <c r="F75" s="213">
        <v>0.457701835320284</v>
      </c>
    </row>
    <row r="76">
      <c r="C76" s="212" t="n">
        <v>1</v>
      </c>
      <c r="D76" s="213">
        <v>0.275726230589801</v>
      </c>
      <c r="E76" s="214">
        <v>1.7426163135394</v>
      </c>
      <c r="F76" s="213">
        <v>0.519650489143043</v>
      </c>
    </row>
    <row r="77">
      <c r="C77" s="212" t="n">
        <v>1.1</v>
      </c>
      <c r="D77" s="213">
        <v>0.290499352361054</v>
      </c>
      <c r="E77" s="214">
        <v>2.18455613282469</v>
      </c>
      <c r="F77" s="213">
        <v>0.581599142965802</v>
      </c>
    </row>
    <row r="78">
      <c r="C78" s="212" t="n">
        <v>1.2</v>
      </c>
      <c r="D78" s="213">
        <v>0.304188364675635</v>
      </c>
      <c r="E78" s="214">
        <v>2.62649595210999</v>
      </c>
      <c r="F78" s="213">
        <v>0.643547796788562</v>
      </c>
    </row>
    <row r="79">
      <c r="C79" s="212" t="n">
        <v>1.3</v>
      </c>
      <c r="D79" s="213">
        <v>0.316692633473105</v>
      </c>
      <c r="E79" s="214">
        <v>3.06843577139528</v>
      </c>
      <c r="F79" s="213">
        <v>0.705496450611321</v>
      </c>
    </row>
    <row r="80" ht="20" customHeight="1">
      <c r="B80" s="113" t="inlineStr">
        <is>
          <t>One-way: construction delay (months)</t>
        </is>
      </c>
      <c r="C80" s="115" t="n"/>
      <c r="D80" s="115" t="n"/>
      <c r="E80" s="115" t="n"/>
      <c r="F80" s="115" t="n"/>
      <c r="G80" s="115" t="n"/>
      <c r="H80" s="115" t="n"/>
      <c r="I80" s="115" t="n"/>
      <c r="J80" s="115" t="n"/>
    </row>
    <row r="81">
      <c r="B81" s="8" t="inlineStr">
        <is>
          <t>Live Data Table – recalculates automatically (press F9 if Excel is set to 'except tables')</t>
        </is>
      </c>
      <c r="C81" s="78" t="inlineStr">
        <is>
          <t>Input value</t>
        </is>
      </c>
      <c r="D81" s="209" t="inlineStr">
        <is>
          <t>Equity IRR</t>
        </is>
      </c>
      <c r="E81" s="209" t="inlineStr">
        <is>
          <t>Min DSCR</t>
        </is>
      </c>
      <c r="F81" s="209" t="inlineStr">
        <is>
          <t>Profit on cost</t>
        </is>
      </c>
    </row>
    <row r="82">
      <c r="C82" s="117" t="inlineStr">
        <is>
          <t>base →</t>
        </is>
      </c>
      <c r="D82" s="210">
        <f>$D$21</f>
        <v>0.275726230589801</v>
      </c>
      <c r="E82" s="211">
        <f>$D$25</f>
        <v>1.7426163135394</v>
      </c>
      <c r="F82" s="210">
        <f>$D$24</f>
        <v>0.519650489143043</v>
      </c>
    </row>
    <row r="83">
      <c r="C83" s="215" t="n">
        <v>0</v>
      </c>
      <c r="D83" s="213">
        <f t="dataTable" ref="D83:F89" r1="D17"/>
        <v>0.275726230589801</v>
      </c>
      <c r="E83" s="214">
        <v>1.7426163135394</v>
      </c>
      <c r="F83" s="213">
        <v>0.519650489143043</v>
      </c>
    </row>
    <row r="84">
      <c r="C84" s="215" t="n">
        <v>3</v>
      </c>
      <c r="D84" s="213">
        <v>0.267669714986302</v>
      </c>
      <c r="E84" s="214">
        <v>2.84102375213471</v>
      </c>
      <c r="F84" s="213">
        <v>0.520569756739889</v>
      </c>
    </row>
    <row r="85">
      <c r="C85" s="215" t="n">
        <v>6</v>
      </c>
      <c r="D85" s="213">
        <v>0.257374406112822</v>
      </c>
      <c r="E85" s="214">
        <v>3.6818835675382</v>
      </c>
      <c r="F85" s="213">
        <v>0.520070082313241</v>
      </c>
    </row>
    <row r="86">
      <c r="C86" s="215" t="n">
        <v>9</v>
      </c>
      <c r="D86" s="213">
        <v>0.238253720528718</v>
      </c>
      <c r="E86" s="214">
        <v>6.84400070979713</v>
      </c>
      <c r="F86" s="213">
        <v>0.520914898172529</v>
      </c>
    </row>
    <row r="87">
      <c r="C87" s="215" t="n">
        <v>12</v>
      </c>
      <c r="D87" s="213">
        <v>0.228239416596294</v>
      </c>
      <c r="E87" s="214">
        <v>4.15903959518951</v>
      </c>
      <c r="F87" s="213">
        <v>0.51762726948566</v>
      </c>
    </row>
    <row r="88">
      <c r="C88" s="215" t="n">
        <v>18</v>
      </c>
      <c r="D88" s="213">
        <v>0.217087956604008</v>
      </c>
      <c r="E88" s="214">
        <v>2.98577654627752</v>
      </c>
      <c r="F88" s="213">
        <v>0.509350273784555</v>
      </c>
    </row>
    <row r="89">
      <c r="C89" s="215" t="n">
        <v>24</v>
      </c>
      <c r="D89" s="213">
        <v>0.217087956604008</v>
      </c>
      <c r="E89" s="214">
        <v>2.98577654627752</v>
      </c>
      <c r="F89" s="213">
        <v>0.509350273784555</v>
      </c>
    </row>
    <row r="90" ht="20" customHeight="1">
      <c r="B90" s="113" t="inlineStr">
        <is>
          <t>Two-way: Equity IRR – sale price (across) × construction cost (down)</t>
        </is>
      </c>
      <c r="C90" s="37" t="inlineStr">
        <is>
          <t>ሁለት-አቅጣጫ</t>
        </is>
      </c>
      <c r="D90" s="115" t="n"/>
      <c r="E90" s="115" t="n"/>
      <c r="F90" s="115" t="n"/>
      <c r="G90" s="115" t="n"/>
      <c r="H90" s="115" t="n"/>
      <c r="I90" s="115" t="n"/>
      <c r="J90" s="115" t="n"/>
    </row>
    <row r="91">
      <c r="B91" s="8" t="inlineStr">
        <is>
          <t>Corner = Equity IRR; price → across, cost ↓ down</t>
        </is>
      </c>
      <c r="C91" s="216">
        <f>$D$21</f>
        <v>0.275726230589801</v>
      </c>
      <c r="D91" s="217" t="n">
        <v>0.8</v>
      </c>
      <c r="E91" s="217" t="n">
        <v>0.9</v>
      </c>
      <c r="F91" s="217" t="n">
        <v>1</v>
      </c>
      <c r="G91" s="217" t="n">
        <v>1.1</v>
      </c>
      <c r="H91" s="217" t="n">
        <v>1.2</v>
      </c>
    </row>
    <row r="92">
      <c r="C92" s="217" t="n">
        <v>0.8</v>
      </c>
      <c r="D92" s="213">
        <f t="dataTable" ref="D92:H96" dt2D="1" r1="D11" r2="D12"/>
        <v>0.280367174254724</v>
      </c>
      <c r="E92" s="213">
        <v>0.323921976660639</v>
      </c>
      <c r="F92" s="213">
        <v>0.364869361979975</v>
      </c>
      <c r="G92" s="213">
        <v>0.414671444962007</v>
      </c>
      <c r="H92" s="213">
        <v>0.470754290592752</v>
      </c>
    </row>
    <row r="93">
      <c r="C93" s="217" t="n">
        <v>0.9</v>
      </c>
      <c r="D93" s="213">
        <v>0.243135927448948</v>
      </c>
      <c r="E93" s="213">
        <v>0.277860072376193</v>
      </c>
      <c r="F93" s="213">
        <v>0.318159375795303</v>
      </c>
      <c r="G93" s="213">
        <v>0.35607630987445</v>
      </c>
      <c r="H93" s="213">
        <v>0.401146975676636</v>
      </c>
    </row>
    <row r="94">
      <c r="C94" s="217" t="n">
        <v>1</v>
      </c>
      <c r="D94" s="213">
        <v>0.211282144971069</v>
      </c>
      <c r="E94" s="213">
        <v>0.240317740471033</v>
      </c>
      <c r="F94" s="213">
        <v>0.275726230589801</v>
      </c>
      <c r="G94" s="213">
        <v>0.310607435397328</v>
      </c>
      <c r="H94" s="213">
        <v>0.34711499452481</v>
      </c>
    </row>
    <row r="95">
      <c r="C95" s="217" t="n">
        <v>1.1</v>
      </c>
      <c r="D95" s="213">
        <v>0.177780240418443</v>
      </c>
      <c r="E95" s="213">
        <v>0.210016575253289</v>
      </c>
      <c r="F95" s="213">
        <v>0.238522312315786</v>
      </c>
      <c r="G95" s="213">
        <v>0.271786300094287</v>
      </c>
      <c r="H95" s="213">
        <v>0.302071618427854</v>
      </c>
    </row>
    <row r="96">
      <c r="C96" s="217" t="n">
        <v>1.2</v>
      </c>
      <c r="D96" s="213">
        <v>0.150292868314121</v>
      </c>
      <c r="E96" s="213">
        <v>0.17744229431323</v>
      </c>
      <c r="F96" s="213">
        <v>0.208527566300036</v>
      </c>
      <c r="G96" s="213">
        <v>0.236458478583709</v>
      </c>
      <c r="H96" s="213">
        <v>0.266526569919879</v>
      </c>
    </row>
    <row r="98" ht="20" customHeight="1">
      <c r="B98" s="113" t="inlineStr">
        <is>
          <t>Scenario grid – all four scenarios side by side (live)</t>
        </is>
      </c>
      <c r="C98" s="115" t="n"/>
      <c r="D98" s="115" t="n"/>
      <c r="E98" s="115" t="n"/>
      <c r="F98" s="115" t="n"/>
      <c r="G98" s="115" t="n"/>
      <c r="H98" s="115" t="n"/>
      <c r="I98" s="115" t="n"/>
      <c r="J98" s="115" t="n"/>
    </row>
    <row r="99">
      <c r="B99" s="8" t="inlineStr">
        <is>
          <t>Live Data Table – recalculates automatically (press F9 if Excel is set to 'except tables')</t>
        </is>
      </c>
      <c r="C99" s="78" t="inlineStr">
        <is>
          <t>Input value</t>
        </is>
      </c>
      <c r="D99" s="209" t="inlineStr">
        <is>
          <t>Equity IRR</t>
        </is>
      </c>
      <c r="E99" s="209" t="inlineStr">
        <is>
          <t>Project NPV (ETB m)</t>
        </is>
      </c>
      <c r="F99" s="209" t="inlineStr">
        <is>
          <t>Profit on cost</t>
        </is>
      </c>
      <c r="G99" s="209" t="inlineStr">
        <is>
          <t>Min DSCR</t>
        </is>
      </c>
      <c r="H99" s="209" t="inlineStr">
        <is>
          <t>Peak debt (ETB m)</t>
        </is>
      </c>
    </row>
    <row r="100">
      <c r="C100" s="117" t="inlineStr">
        <is>
          <t>base →</t>
        </is>
      </c>
      <c r="D100" s="210">
        <f>$D$21</f>
        <v>0.275726230589801</v>
      </c>
      <c r="E100" s="218">
        <f>$D$23</f>
        <v>113471472.582939</v>
      </c>
      <c r="F100" s="210">
        <f>$D$24</f>
        <v>0.519650489143043</v>
      </c>
      <c r="G100" s="211">
        <f>$D$25</f>
        <v>1.7426163135394</v>
      </c>
      <c r="H100" s="218">
        <f>$D$26</f>
        <v>133149894.104201</v>
      </c>
    </row>
    <row r="101">
      <c r="C101" s="215" t="n">
        <v>1</v>
      </c>
      <c r="D101" s="213">
        <f t="dataTable" ref="D101:H104" r1="D18"/>
        <v>0.275726230589801</v>
      </c>
      <c r="E101" s="219">
        <v>113471472.582939</v>
      </c>
      <c r="F101" s="213">
        <v>0.519650489143043</v>
      </c>
      <c r="G101" s="214">
        <v>1.7426163135394</v>
      </c>
      <c r="H101" s="219">
        <v>133149894.104201</v>
      </c>
    </row>
    <row r="102">
      <c r="C102" s="215" t="n">
        <v>2</v>
      </c>
      <c r="D102" s="213">
        <v>0.401177165056794</v>
      </c>
      <c r="E102" s="219">
        <v>202775951.1185</v>
      </c>
      <c r="F102" s="213">
        <v>0.918734456992008</v>
      </c>
      <c r="G102" s="214">
        <v>23.4521228578879</v>
      </c>
      <c r="H102" s="219">
        <v>76809899.8256398</v>
      </c>
    </row>
    <row r="103">
      <c r="C103" s="215" t="n">
        <v>3</v>
      </c>
      <c r="D103" s="213">
        <v>0.0335834042265209</v>
      </c>
      <c r="E103" s="219">
        <v>-69607798.7654561</v>
      </c>
      <c r="F103" s="213">
        <v>0.0254296703550336</v>
      </c>
      <c r="G103" s="214">
        <v>0.210028102604387</v>
      </c>
      <c r="H103" s="219">
        <v>249112795.698022</v>
      </c>
    </row>
    <row r="104">
      <c r="C104" s="215" t="n">
        <v>4</v>
      </c>
      <c r="D104" s="213">
        <v>0</v>
      </c>
      <c r="E104" s="219">
        <v>-150365202.902047</v>
      </c>
      <c r="F104" s="213">
        <v>-0.154206762132673</v>
      </c>
      <c r="G104" s="214">
        <v>0.066458767593329</v>
      </c>
      <c r="H104" s="219">
        <v>305238698.808015</v>
      </c>
    </row>
    <row r="105">
      <c r="B105" s="8" t="inlineStr">
        <is>
          <t>Rows 1–4 = Base, Upside, Downside, Lender. Values recalculate automatically; in Excel set calculation to Automatic (not 'except tables') or press F9.</t>
        </is>
      </c>
    </row>
    <row r="107" ht="20" customHeight="1">
      <c r="B107" s="113" t="inlineStr">
        <is>
          <t>Tornado – Equity IRR swing for ±20% (delay: +6 months)</t>
        </is>
      </c>
      <c r="C107" s="37" t="inlineStr">
        <is>
          <t>የቶርኔዶ ሰንጠረዥ</t>
        </is>
      </c>
      <c r="D107" s="115" t="n"/>
      <c r="E107" s="115" t="n"/>
      <c r="F107" s="115" t="n"/>
      <c r="G107" s="115" t="n"/>
      <c r="H107" s="115" t="n"/>
      <c r="I107" s="115" t="n"/>
      <c r="J107" s="115" t="n"/>
    </row>
    <row r="108">
      <c r="B108" s="177" t="inlineStr">
        <is>
          <t>Driver</t>
        </is>
      </c>
      <c r="C108" s="177" t="inlineStr">
        <is>
          <t>Low case</t>
        </is>
      </c>
      <c r="D108" s="177" t="inlineStr">
        <is>
          <t>High case</t>
        </is>
      </c>
      <c r="E108" s="177" t="inlineStr">
        <is>
          <t>Δ low</t>
        </is>
      </c>
      <c r="F108" s="177" t="inlineStr">
        <is>
          <t>Δ high</t>
        </is>
      </c>
      <c r="G108" s="177" t="inlineStr">
        <is>
          <t>Swing</t>
        </is>
      </c>
      <c r="H108" s="177" t="inlineStr">
        <is>
          <t>Rank key</t>
        </is>
      </c>
    </row>
    <row r="109">
      <c r="B109" s="36" t="inlineStr">
        <is>
          <t>Sale price</t>
        </is>
      </c>
      <c r="C109" s="154">
        <f>D34</f>
        <v>0.211282144971069</v>
      </c>
      <c r="D109" s="154">
        <f>D38</f>
        <v>0.34711499452481</v>
      </c>
      <c r="E109" s="154">
        <f>C109-$D$21</f>
        <v>-0.0644440856187323</v>
      </c>
      <c r="F109" s="154">
        <f>D109-$D$21</f>
        <v>0.0713887639350087</v>
      </c>
      <c r="G109" s="154">
        <f>ABS(F109-E109)</f>
        <v>0.135832849553741</v>
      </c>
      <c r="H109" s="149">
        <f>G109+1/1000000</f>
        <v>0.135833849553741</v>
      </c>
    </row>
    <row r="110">
      <c r="B110" s="36" t="inlineStr">
        <is>
          <t>Construction cost</t>
        </is>
      </c>
      <c r="C110" s="154">
        <f>D44</f>
        <v>0.364869361979975</v>
      </c>
      <c r="D110" s="154">
        <f>D48</f>
        <v>0.208527566300036</v>
      </c>
      <c r="E110" s="154">
        <f>C110-$D$21</f>
        <v>0.0891431313901737</v>
      </c>
      <c r="F110" s="154">
        <f>D110-$D$21</f>
        <v>-0.0671986642897653</v>
      </c>
      <c r="G110" s="154">
        <f>ABS(F110-E110)</f>
        <v>0.156341795679939</v>
      </c>
      <c r="H110" s="149">
        <f>G110+2/1000000</f>
        <v>0.156343795679939</v>
      </c>
    </row>
    <row r="111">
      <c r="B111" s="36" t="inlineStr">
        <is>
          <t>Occupancy</t>
        </is>
      </c>
      <c r="C111" s="154">
        <f>D54</f>
        <v>0.24090007862146</v>
      </c>
      <c r="D111" s="154">
        <f>D58</f>
        <v>0.291938514524578</v>
      </c>
      <c r="E111" s="154">
        <f>C111-$D$21</f>
        <v>-0.0348261519683413</v>
      </c>
      <c r="F111" s="154">
        <f>D111-$D$21</f>
        <v>0.0162122839347766</v>
      </c>
      <c r="G111" s="154">
        <f>ABS(F111-E111)</f>
        <v>0.051038435903118</v>
      </c>
      <c r="H111" s="149">
        <f>G111+3/1000000</f>
        <v>0.051041435903118</v>
      </c>
    </row>
    <row r="112">
      <c r="B112" s="36" t="inlineStr">
        <is>
          <t>Interest rate</t>
        </is>
      </c>
      <c r="C112" s="154">
        <f>D64</f>
        <v>0.281992479768278</v>
      </c>
      <c r="D112" s="154">
        <f>D68</f>
        <v>0.268807180411862</v>
      </c>
      <c r="E112" s="154">
        <f>C112-$D$21</f>
        <v>0.00626624917847668</v>
      </c>
      <c r="F112" s="154">
        <f>D112-$D$21</f>
        <v>-0.00691905017793931</v>
      </c>
      <c r="G112" s="154">
        <f>ABS(F112-E112)</f>
        <v>0.013185299356416</v>
      </c>
      <c r="H112" s="149">
        <f>G112+4/1000000</f>
        <v>0.013189299356416</v>
      </c>
    </row>
    <row r="113">
      <c r="B113" s="36" t="inlineStr">
        <is>
          <t>Rent</t>
        </is>
      </c>
      <c r="C113" s="154">
        <f>D74</f>
        <v>0.240900078621461</v>
      </c>
      <c r="D113" s="154">
        <f>D78</f>
        <v>0.304188364675635</v>
      </c>
      <c r="E113" s="154">
        <f>C113-$D$21</f>
        <v>-0.0348261519683403</v>
      </c>
      <c r="F113" s="154">
        <f>D113-$D$21</f>
        <v>0.0284621340858336</v>
      </c>
      <c r="G113" s="154">
        <f>ABS(F113-E113)</f>
        <v>0.063288286054174</v>
      </c>
      <c r="H113" s="149">
        <f>G113+5/1000000</f>
        <v>0.063293286054174</v>
      </c>
    </row>
    <row r="114">
      <c r="B114" s="36" t="inlineStr">
        <is>
          <t>Delay</t>
        </is>
      </c>
      <c r="C114" s="154">
        <f>D83</f>
        <v>0.275726230589801</v>
      </c>
      <c r="D114" s="154">
        <f>D85</f>
        <v>0.257374406112822</v>
      </c>
      <c r="E114" s="154">
        <f>C114-$D$21</f>
        <v>0</v>
      </c>
      <c r="F114" s="154">
        <f>D114-$D$21</f>
        <v>-0.0183518244769794</v>
      </c>
      <c r="G114" s="154">
        <f>ABS(F114-E114)</f>
        <v>0.0183518244769794</v>
      </c>
      <c r="H114" s="149">
        <f>G114+6/1000000</f>
        <v>0.0183578244769794</v>
      </c>
    </row>
    <row r="116">
      <c r="B116" s="177" t="inlineStr">
        <is>
          <t>Sorted (largest swing first) – chart source</t>
        </is>
      </c>
    </row>
    <row r="117">
      <c r="B117" s="36" t="str">
        <f>INDEX($B$109:$B$114,MATCH(LARGE($H$109:$H$114,1),$H$109:$H$114,0))</f>
        <v>Construction cost</v>
      </c>
      <c r="C117" s="8" t="inlineStr">
        <is>
          <t>Δ vs base</t>
        </is>
      </c>
      <c r="E117" s="213">
        <f>INDEX($E$109:$E$114,MATCH(LARGE($H$109:$H$114,1),$H$109:$H$114,0))</f>
        <v>0.0891431313901737</v>
      </c>
      <c r="F117" s="213">
        <f>INDEX($F$109:$F$114,MATCH(LARGE($H$109:$H$114,1),$H$109:$H$114,0))</f>
        <v>-0.0671986642897653</v>
      </c>
    </row>
    <row r="118">
      <c r="B118" s="36" t="str">
        <f>INDEX($B$109:$B$114,MATCH(LARGE($H$109:$H$114,2),$H$109:$H$114,0))</f>
        <v>Sale price</v>
      </c>
      <c r="C118" s="8" t="inlineStr">
        <is>
          <t>Δ vs base</t>
        </is>
      </c>
      <c r="E118" s="213">
        <f>INDEX($E$109:$E$114,MATCH(LARGE($H$109:$H$114,2),$H$109:$H$114,0))</f>
        <v>-0.0644440856187323</v>
      </c>
      <c r="F118" s="213">
        <f>INDEX($F$109:$F$114,MATCH(LARGE($H$109:$H$114,2),$H$109:$H$114,0))</f>
        <v>0.0713887639350087</v>
      </c>
    </row>
    <row r="119">
      <c r="B119" s="36" t="str">
        <f>INDEX($B$109:$B$114,MATCH(LARGE($H$109:$H$114,3),$H$109:$H$114,0))</f>
        <v>Rent</v>
      </c>
      <c r="C119" s="8" t="inlineStr">
        <is>
          <t>Δ vs base</t>
        </is>
      </c>
      <c r="E119" s="213">
        <f>INDEX($E$109:$E$114,MATCH(LARGE($H$109:$H$114,3),$H$109:$H$114,0))</f>
        <v>-0.0348261519683403</v>
      </c>
      <c r="F119" s="213">
        <f>INDEX($F$109:$F$114,MATCH(LARGE($H$109:$H$114,3),$H$109:$H$114,0))</f>
        <v>0.0284621340858336</v>
      </c>
    </row>
    <row r="120">
      <c r="B120" s="36" t="str">
        <f>INDEX($B$109:$B$114,MATCH(LARGE($H$109:$H$114,4),$H$109:$H$114,0))</f>
        <v>Occupancy</v>
      </c>
      <c r="C120" s="8" t="inlineStr">
        <is>
          <t>Δ vs base</t>
        </is>
      </c>
      <c r="E120" s="213">
        <f>INDEX($E$109:$E$114,MATCH(LARGE($H$109:$H$114,4),$H$109:$H$114,0))</f>
        <v>-0.0348261519683413</v>
      </c>
      <c r="F120" s="213">
        <f>INDEX($F$109:$F$114,MATCH(LARGE($H$109:$H$114,4),$H$109:$H$114,0))</f>
        <v>0.0162122839347766</v>
      </c>
    </row>
    <row r="121">
      <c r="B121" s="36" t="str">
        <f>INDEX($B$109:$B$114,MATCH(LARGE($H$109:$H$114,5),$H$109:$H$114,0))</f>
        <v>Delay</v>
      </c>
      <c r="C121" s="8" t="inlineStr">
        <is>
          <t>Δ vs base</t>
        </is>
      </c>
      <c r="E121" s="213">
        <f>INDEX($E$109:$E$114,MATCH(LARGE($H$109:$H$114,5),$H$109:$H$114,0))</f>
        <v>0</v>
      </c>
      <c r="F121" s="213">
        <f>INDEX($F$109:$F$114,MATCH(LARGE($H$109:$H$114,5),$H$109:$H$114,0))</f>
        <v>-0.0183518244769794</v>
      </c>
    </row>
    <row r="122">
      <c r="B122" s="36" t="str">
        <f>INDEX($B$109:$B$114,MATCH(LARGE($H$109:$H$114,6),$H$109:$H$114,0))</f>
        <v>Interest rate</v>
      </c>
      <c r="C122" s="8" t="inlineStr">
        <is>
          <t>Δ vs base</t>
        </is>
      </c>
      <c r="E122" s="213">
        <f>INDEX($E$109:$E$114,MATCH(LARGE($H$109:$H$114,6),$H$109:$H$114,0))</f>
        <v>0.00626624917847668</v>
      </c>
      <c r="F122" s="213">
        <f>INDEX($F$109:$F$114,MATCH(LARGE($H$109:$H$114,6),$H$109:$H$114,0))</f>
        <v>-0.00691905017793931</v>
      </c>
    </row>
    <row r="124" ht="20" customHeight="1">
      <c r="B124" s="113" t="inlineStr">
        <is>
          <t>Break-even analysis (live)</t>
        </is>
      </c>
      <c r="C124" s="37" t="inlineStr">
        <is>
          <t>የሚዛን ነጥብ ትንተና</t>
        </is>
      </c>
      <c r="D124" s="115" t="n"/>
      <c r="E124" s="115" t="n"/>
      <c r="F124" s="115" t="n"/>
      <c r="G124" s="115" t="n"/>
      <c r="H124" s="115" t="n"/>
      <c r="I124" s="115" t="n"/>
      <c r="J124" s="115" t="n"/>
    </row>
    <row r="125">
      <c r="B125" s="8" t="inlineStr">
        <is>
          <t>Closed-form = first-order estimate holding other drivers constant. Grid-refined = 21-row live search table (Data Table) with linear interpolation – no goal seek, no macro.</t>
        </is>
      </c>
    </row>
    <row r="126">
      <c r="B126" s="177" t="inlineStr">
        <is>
          <t>Break-even</t>
        </is>
      </c>
      <c r="D126" s="177" t="inlineStr">
        <is>
          <t>Closed-form</t>
        </is>
      </c>
      <c r="E126" s="177" t="inlineStr">
        <is>
          <t>Grid-refined</t>
        </is>
      </c>
      <c r="F126" s="177" t="inlineStr">
        <is>
          <t>Unit</t>
        </is>
      </c>
      <c r="G126" s="177" t="inlineStr">
        <is>
          <t>Current</t>
        </is>
      </c>
      <c r="H126" s="177" t="inlineStr">
        <is>
          <t>Status</t>
        </is>
      </c>
    </row>
    <row r="127">
      <c r="B127" s="36" t="inlineStr">
        <is>
          <t>Break-even sale price (project NPV = 0)</t>
        </is>
      </c>
      <c r="D127" s="140">
        <f>IF(PV_SALESNET&gt;0,BLEND_PRICE*(1-PNPV/PV_SALESNET),0)</f>
        <v>79400.867146184</v>
      </c>
      <c r="E127" s="172">
        <f>IF(C157&lt;0,-1,C157*BLEND_PRICE)</f>
        <v>73792.9502788393</v>
      </c>
      <c r="F127" s="117" t="inlineStr">
        <is>
          <t>ETB/m²</t>
        </is>
      </c>
      <c r="G127" s="140">
        <f>BLEND_PRICE</f>
        <v>125000</v>
      </c>
      <c r="H127" s="8">
        <f>IF(E127&lt;0,"outside tested range","")</f>
      </c>
    </row>
    <row r="128">
      <c r="B128" s="36" t="inlineStr">
        <is>
          <t>Break-even sale price (profit on cost = 0)</t>
        </is>
      </c>
      <c r="D128" s="140">
        <f>IF(SALES_NOM&gt;0,BLEND_PRICE*(TDC-RET_VALUE)/SALES_NOM,0)</f>
        <v>53227.392389256</v>
      </c>
      <c r="E128" s="172">
        <f>IF(G157&lt;0,-1,G157*BLEND_PRICE)</f>
        <v>56274.1155354895</v>
      </c>
      <c r="F128" s="117" t="inlineStr">
        <is>
          <t>ETB/m²</t>
        </is>
      </c>
      <c r="G128" s="140">
        <f>BLEND_PRICE</f>
        <v>125000</v>
      </c>
      <c r="H128" s="8">
        <f>IF(E128&lt;0,"outside tested range","")</f>
      </c>
    </row>
    <row r="129">
      <c r="B129" s="36" t="inlineStr">
        <is>
          <t>Break-even occupancy (min DSCR = covenant)</t>
        </is>
      </c>
      <c r="D129" s="213">
        <f>OCC_STAB*BE_OCC_MULT</f>
        <v>0.848485195117273</v>
      </c>
      <c r="E129" s="202">
        <f>IF(K157&lt;0,-1,K157*OCC_STAB)</f>
        <v>0.827859172066736</v>
      </c>
      <c r="F129" s="117" t="inlineStr">
        <is>
          <t>% occ.</t>
        </is>
      </c>
      <c r="G129" s="213">
        <f>OCC_STAB</f>
        <v>0.92</v>
      </c>
      <c r="H129" s="8">
        <f>IF(E129&lt;0,"outside tested range","")</f>
      </c>
    </row>
    <row r="130">
      <c r="B130" s="36" t="inlineStr">
        <is>
          <t>Max cost overrun before Equity IRR &lt; hurdle</t>
        </is>
      </c>
      <c r="D130" s="213">
        <f>IF(PV_HARD_H&gt;0,ENPV_H/PV_HARD_H,0)</f>
        <v>0.193252462083306</v>
      </c>
      <c r="E130" s="202">
        <f>IF(C182&lt;0,-1,C182-1)</f>
        <v>0.227466390884492</v>
      </c>
      <c r="F130" s="117" t="inlineStr">
        <is>
          <t>overrun</t>
        </is>
      </c>
      <c r="G130" s="213">
        <f>0</f>
        <v>0</v>
      </c>
      <c r="H130" s="8">
        <f>IF(E130&lt;0,"outside tested range","")</f>
      </c>
    </row>
    <row r="131">
      <c r="B131" s="36" t="inlineStr">
        <is>
          <t>Break-even interest rate (min DSCR = covenant)</t>
        </is>
      </c>
      <c r="D131" s="220">
        <f>BE_RATE_CF</f>
        <v>0.225732110814313</v>
      </c>
      <c r="E131" s="221">
        <f>IF(G182&lt;0,-1,G182*RATE_EFF)</f>
        <v>0.263632092549648</v>
      </c>
      <c r="F131" s="117" t="inlineStr">
        <is>
          <t>% p.a.</t>
        </is>
      </c>
      <c r="G131" s="220">
        <f>RATE_EFF</f>
        <v>0.15</v>
      </c>
      <c r="H131" s="8">
        <f>IF(E131&lt;0,"outside tested range","")</f>
      </c>
    </row>
    <row r="132">
      <c r="B132" s="36" t="inlineStr">
        <is>
          <t>Max delay before Equity IRR &lt; hurdle</t>
        </is>
      </c>
      <c r="D132" s="222">
        <f>IF(AND(PV_EIN_H&gt;0,PV_EOUT_H&gt;0),12*LN(PV_EIN_H/PV_EOUT_H)/LN(1+HURDLE),0)</f>
        <v>19.9812860997246</v>
      </c>
      <c r="E132" s="204">
        <f>K182</f>
        <v>-1</v>
      </c>
      <c r="F132" s="117" t="inlineStr">
        <is>
          <t>months</t>
        </is>
      </c>
      <c r="G132" s="222">
        <f>0</f>
        <v>0</v>
      </c>
      <c r="H132" s="8" t="str">
        <f>IF(E132&lt;0,"outside tested range","")</f>
        <v>outside tested range</v>
      </c>
    </row>
    <row r="133">
      <c r="B133" s="8" t="inlineStr">
        <is>
          <t>−1 / 'outside tested range' = the target is not crossed inside the grid (e.g. DSCR covenant never binds).</t>
        </is>
      </c>
    </row>
    <row r="134">
      <c r="B134" s="177" t="inlineStr">
        <is>
          <t>Break-even sale price (project NPV = 0)</t>
        </is>
      </c>
      <c r="F134" s="177" t="inlineStr">
        <is>
          <t>Break-even sale price (profit on cost = 0)</t>
        </is>
      </c>
      <c r="J134" s="177" t="inlineStr">
        <is>
          <t>Break-even occupancy (min DSCR = covenant)</t>
        </is>
      </c>
    </row>
    <row r="135">
      <c r="B135" s="78" t="inlineStr">
        <is>
          <t>Flex</t>
        </is>
      </c>
      <c r="C135" s="223">
        <f>$D$23</f>
        <v>113471472.582939</v>
      </c>
      <c r="D135" s="78" t="inlineStr">
        <is>
          <t>Sign change</t>
        </is>
      </c>
      <c r="F135" s="78" t="inlineStr">
        <is>
          <t>Flex</t>
        </is>
      </c>
      <c r="G135" s="224">
        <f>$D$24</f>
        <v>0.519650489143043</v>
      </c>
      <c r="H135" s="78" t="inlineStr">
        <is>
          <t>Sign change</t>
        </is>
      </c>
      <c r="J135" s="78" t="inlineStr">
        <is>
          <t>Flex</t>
        </is>
      </c>
      <c r="K135" s="224">
        <f>$D$25</f>
        <v>1.7426163135394</v>
      </c>
      <c r="L135" s="78" t="inlineStr">
        <is>
          <t>Sign change</t>
        </is>
      </c>
    </row>
    <row r="136">
      <c r="B136" s="225" t="n">
        <v>0</v>
      </c>
      <c r="C136" s="219">
        <f t="dataTable" ref="C136:C156" r1="D11"/>
        <v>-181561586.565045</v>
      </c>
      <c r="F136" s="225" t="n">
        <v>0</v>
      </c>
      <c r="G136" s="226">
        <f t="dataTable" ref="G136:G156" r1="D11"/>
        <v>-0.410141559109757</v>
      </c>
      <c r="J136" s="225" t="n">
        <v>0</v>
      </c>
      <c r="K136" s="226">
        <f t="dataTable" ref="K136:K156" r1="D14"/>
        <v>-3.04586282833979</v>
      </c>
    </row>
    <row r="137">
      <c r="B137" s="225" t="n">
        <v>0.1</v>
      </c>
      <c r="C137" s="219">
        <v>-150454514.70736</v>
      </c>
      <c r="D137" s="227">
        <f>IF((C136-0)*(C137-0)&lt;=0,IF(C137&lt;&gt;C136,1,0),0)</f>
        <v>0</v>
      </c>
      <c r="F137" s="225" t="n">
        <v>0.1</v>
      </c>
      <c r="G137" s="226">
        <v>-0.320367184989993</v>
      </c>
      <c r="H137" s="227">
        <f>IF((G136-0)*(G137-0)&lt;=0,IF(G137&lt;&gt;G136,1,0),0)</f>
        <v>0</v>
      </c>
      <c r="J137" s="225" t="n">
        <v>0.05</v>
      </c>
      <c r="K137" s="226">
        <v>-2.74661057524033</v>
      </c>
      <c r="L137" s="227">
        <f>IF((K136-DSCR_COV)*(K137-DSCR_COV)&lt;=0,IF(K137&lt;&gt;K136,1,0),0)</f>
        <v>0</v>
      </c>
    </row>
    <row r="138">
      <c r="B138" s="225" t="n">
        <v>0.2</v>
      </c>
      <c r="C138" s="219">
        <v>-119443153.017437</v>
      </c>
      <c r="D138" s="227">
        <f>IF((C137-0)*(C138-0)&lt;=0,IF(C138&lt;&gt;C137,1,0),0)</f>
        <v>0</v>
      </c>
      <c r="F138" s="225" t="n">
        <v>0.2</v>
      </c>
      <c r="G138" s="226">
        <v>-0.229840952786132</v>
      </c>
      <c r="H138" s="227">
        <f>IF((G137-0)*(G138-0)&lt;=0,IF(G138&lt;&gt;G137,1,0),0)</f>
        <v>0</v>
      </c>
      <c r="J138" s="225" t="n">
        <v>0.1</v>
      </c>
      <c r="K138" s="226">
        <v>-2.44316633587629</v>
      </c>
      <c r="L138" s="227">
        <f>IF((K137-DSCR_COV)*(K138-DSCR_COV)&lt;=0,IF(K138&lt;&gt;K137,1,0),0)</f>
        <v>0</v>
      </c>
    </row>
    <row r="139">
      <c r="B139" s="225" t="n">
        <v>0.3</v>
      </c>
      <c r="C139" s="219">
        <v>-88797633.3400752</v>
      </c>
      <c r="D139" s="227">
        <f>IF((C138-0)*(C139-0)&lt;=0,IF(C139&lt;&gt;C138,1,0),0)</f>
        <v>0</v>
      </c>
      <c r="F139" s="225" t="n">
        <v>0.3</v>
      </c>
      <c r="G139" s="226">
        <v>-0.138561513316786</v>
      </c>
      <c r="H139" s="227">
        <f>IF((G138-0)*(G139-0)&lt;=0,IF(G139&lt;&gt;G138,1,0),0)</f>
        <v>0</v>
      </c>
      <c r="J139" s="225" t="n">
        <v>0.15</v>
      </c>
      <c r="K139" s="226">
        <v>-2.13972209651225</v>
      </c>
      <c r="L139" s="227">
        <f>IF((K138-DSCR_COV)*(K139-DSCR_COV)&lt;=0,IF(K139&lt;&gt;K138,1,0),0)</f>
        <v>0</v>
      </c>
    </row>
    <row r="140">
      <c r="B140" s="225" t="n">
        <v>0.4</v>
      </c>
      <c r="C140" s="219">
        <v>-58271267.6655898</v>
      </c>
      <c r="D140" s="227">
        <f>IF((C139-0)*(C140-0)&lt;=0,IF(C140&lt;&gt;C139,1,0),0)</f>
        <v>0</v>
      </c>
      <c r="F140" s="225" t="n">
        <v>0.4</v>
      </c>
      <c r="G140" s="226">
        <v>-0.0465521945173442</v>
      </c>
      <c r="H140" s="227">
        <f>IF((G139-0)*(G140-0)&lt;=0,IF(G140&lt;&gt;G139,1,0),0)</f>
        <v>0</v>
      </c>
      <c r="J140" s="225" t="n">
        <v>0.2</v>
      </c>
      <c r="K140" s="226">
        <v>-1.83627785714821</v>
      </c>
      <c r="L140" s="227">
        <f>IF((K139-DSCR_COV)*(K140-DSCR_COV)&lt;=0,IF(K140&lt;&gt;K139,1,0),0)</f>
        <v>0</v>
      </c>
    </row>
    <row r="141">
      <c r="B141" s="225" t="n">
        <v>0.5</v>
      </c>
      <c r="C141" s="219">
        <v>-27677876.0574152</v>
      </c>
      <c r="D141" s="227">
        <f>IF((C140-0)*(C141-0)&lt;=0,IF(C141&lt;&gt;C140,1,0),0)</f>
        <v>0</v>
      </c>
      <c r="F141" s="225" t="n">
        <v>0.5</v>
      </c>
      <c r="G141" s="226">
        <v>0.0461943333677862</v>
      </c>
      <c r="H141" s="227">
        <f>IF((G140-0)*(G141-0)&lt;=0,IF(G141&lt;&gt;G140,1,0),0)</f>
        <v>1</v>
      </c>
      <c r="J141" s="225" t="n">
        <v>0.25</v>
      </c>
      <c r="K141" s="226">
        <v>-1.53283361778417</v>
      </c>
      <c r="L141" s="227">
        <f>IF((K140-DSCR_COV)*(K141-DSCR_COV)&lt;=0,IF(K141&lt;&gt;K140,1,0),0)</f>
        <v>0</v>
      </c>
    </row>
    <row r="142">
      <c r="B142" s="225" t="n">
        <v>0.6</v>
      </c>
      <c r="C142" s="219">
        <v>2958356.47483756</v>
      </c>
      <c r="D142" s="227">
        <f>IF((C141-0)*(C142-0)&lt;=0,IF(C142&lt;&gt;C141,1,0),0)</f>
        <v>1</v>
      </c>
      <c r="F142" s="225" t="n">
        <v>0.6</v>
      </c>
      <c r="G142" s="226">
        <v>0.139520600610494</v>
      </c>
      <c r="H142" s="227">
        <f>IF((G141-0)*(G142-0)&lt;=0,IF(G142&lt;&gt;G141,1,0),0)</f>
        <v>0</v>
      </c>
      <c r="J142" s="225" t="n">
        <v>0.3</v>
      </c>
      <c r="K142" s="226">
        <v>-1.22938937842013</v>
      </c>
      <c r="L142" s="227">
        <f>IF((K141-DSCR_COV)*(K142-DSCR_COV)&lt;=0,IF(K142&lt;&gt;K141,1,0),0)</f>
        <v>0</v>
      </c>
    </row>
    <row r="143">
      <c r="B143" s="225" t="n">
        <v>0.7</v>
      </c>
      <c r="C143" s="219">
        <v>33308979.2618146</v>
      </c>
      <c r="D143" s="227">
        <f>IF((C142-0)*(C143-0)&lt;=0,IF(C143&lt;&gt;C142,1,0),0)</f>
        <v>0</v>
      </c>
      <c r="F143" s="225" t="n">
        <v>0.7</v>
      </c>
      <c r="G143" s="226">
        <v>0.233516852634129</v>
      </c>
      <c r="H143" s="227">
        <f>IF((G142-0)*(G143-0)&lt;=0,IF(G143&lt;&gt;G142,1,0),0)</f>
        <v>0</v>
      </c>
      <c r="J143" s="225" t="n">
        <v>0.35</v>
      </c>
      <c r="K143" s="226">
        <v>-0.925945139056093</v>
      </c>
      <c r="L143" s="227">
        <f>IF((K142-DSCR_COV)*(K143-DSCR_COV)&lt;=0,IF(K143&lt;&gt;K142,1,0),0)</f>
        <v>0</v>
      </c>
    </row>
    <row r="144">
      <c r="B144" s="225" t="n">
        <v>0.8</v>
      </c>
      <c r="C144" s="219">
        <v>62882773.6896487</v>
      </c>
      <c r="D144" s="227">
        <f>IF((C143-0)*(C144-0)&lt;=0,IF(C144&lt;&gt;C143,1,0),0)</f>
        <v>0</v>
      </c>
      <c r="F144" s="225" t="n">
        <v>0.8</v>
      </c>
      <c r="G144" s="226">
        <v>0.328209064705104</v>
      </c>
      <c r="H144" s="227">
        <f>IF((G143-0)*(G144-0)&lt;=0,IF(G144&lt;&gt;G143,1,0),0)</f>
        <v>0</v>
      </c>
      <c r="J144" s="225" t="n">
        <v>0.4</v>
      </c>
      <c r="K144" s="226">
        <v>-0.622500899692054</v>
      </c>
      <c r="L144" s="227">
        <f>IF((K143-DSCR_COV)*(K144-DSCR_COV)&lt;=0,IF(K144&lt;&gt;K143,1,0),0)</f>
        <v>0</v>
      </c>
    </row>
    <row r="145">
      <c r="B145" s="225" t="n">
        <v>0.9</v>
      </c>
      <c r="C145" s="219">
        <v>91570812.1775813</v>
      </c>
      <c r="D145" s="227">
        <f>IF((C144-0)*(C145-0)&lt;=0,IF(C145&lt;&gt;C144,1,0),0)</f>
        <v>0</v>
      </c>
      <c r="F145" s="225" t="n">
        <v>0.9</v>
      </c>
      <c r="G145" s="226">
        <v>0.423655781381015</v>
      </c>
      <c r="H145" s="227">
        <f>IF((G144-0)*(G145-0)&lt;=0,IF(G145&lt;&gt;G144,1,0),0)</f>
        <v>0</v>
      </c>
      <c r="J145" s="225" t="n">
        <v>0.45</v>
      </c>
      <c r="K145" s="226">
        <v>-0.400730995045021</v>
      </c>
      <c r="L145" s="227">
        <f>IF((K144-DSCR_COV)*(K145-DSCR_COV)&lt;=0,IF(K145&lt;&gt;K144,1,0),0)</f>
        <v>0</v>
      </c>
    </row>
    <row r="146">
      <c r="B146" s="225" t="n">
        <v>1</v>
      </c>
      <c r="C146" s="219">
        <v>113471472.582939</v>
      </c>
      <c r="D146" s="227">
        <f>IF((C145-0)*(C146-0)&lt;=0,IF(C146&lt;&gt;C145,1,0),0)</f>
        <v>0</v>
      </c>
      <c r="F146" s="225" t="n">
        <v>1</v>
      </c>
      <c r="G146" s="226">
        <v>0.519650489143043</v>
      </c>
      <c r="H146" s="227">
        <f>IF((G145-0)*(G146-0)&lt;=0,IF(G146&lt;&gt;G145,1,0),0)</f>
        <v>0</v>
      </c>
      <c r="J146" s="225" t="n">
        <v>0.5</v>
      </c>
      <c r="K146" s="226">
        <v>-0.23885893313267</v>
      </c>
      <c r="L146" s="227">
        <f>IF((K145-DSCR_COV)*(K146-DSCR_COV)&lt;=0,IF(K146&lt;&gt;K145,1,0),0)</f>
        <v>0</v>
      </c>
    </row>
    <row r="147">
      <c r="B147" s="225" t="n">
        <v>1.1</v>
      </c>
      <c r="C147" s="219">
        <v>132648107.133161</v>
      </c>
      <c r="D147" s="227">
        <f>IF((C146-0)*(C147-0)&lt;=0,IF(C147&lt;&gt;C146,1,0),0)</f>
        <v>0</v>
      </c>
      <c r="F147" s="225" t="n">
        <v>1.1</v>
      </c>
      <c r="G147" s="226">
        <v>0.616385296365062</v>
      </c>
      <c r="H147" s="227">
        <f>IF((G146-0)*(G147-0)&lt;=0,IF(G147&lt;&gt;G146,1,0),0)</f>
        <v>0</v>
      </c>
      <c r="J147" s="225" t="n">
        <v>0.55</v>
      </c>
      <c r="K147" s="226">
        <v>-0.0769868712203189</v>
      </c>
      <c r="L147" s="227">
        <f>IF((K146-DSCR_COV)*(K147-DSCR_COV)&lt;=0,IF(K147&lt;&gt;K146,1,0),0)</f>
        <v>0</v>
      </c>
    </row>
    <row r="148">
      <c r="B148" s="225" t="n">
        <v>1.2</v>
      </c>
      <c r="C148" s="219">
        <v>153106281.574107</v>
      </c>
      <c r="D148" s="227">
        <f>IF((C147-0)*(C148-0)&lt;=0,IF(C148&lt;&gt;C147,1,0),0)</f>
        <v>0</v>
      </c>
      <c r="F148" s="225" t="n">
        <v>1.2</v>
      </c>
      <c r="G148" s="226">
        <v>0.713871810767815</v>
      </c>
      <c r="H148" s="227">
        <f>IF((G147-0)*(G148-0)&lt;=0,IF(G148&lt;&gt;G147,1,0),0)</f>
        <v>0</v>
      </c>
      <c r="J148" s="225" t="n">
        <v>0.6</v>
      </c>
      <c r="K148" s="226">
        <v>0.0848851906920315</v>
      </c>
      <c r="L148" s="227">
        <f>IF((K147-DSCR_COV)*(K148-DSCR_COV)&lt;=0,IF(K148&lt;&gt;K147,1,0),0)</f>
        <v>0</v>
      </c>
    </row>
    <row r="149">
      <c r="B149" s="225" t="n">
        <v>1.3</v>
      </c>
      <c r="C149" s="219">
        <v>173881749.335632</v>
      </c>
      <c r="D149" s="227">
        <f>IF((C148-0)*(C149-0)&lt;=0,IF(C149&lt;&gt;C148,1,0),0)</f>
        <v>0</v>
      </c>
      <c r="F149" s="225" t="n">
        <v>1.3</v>
      </c>
      <c r="G149" s="226">
        <v>0.811874239669986</v>
      </c>
      <c r="H149" s="227">
        <f>IF((G148-0)*(G149-0)&lt;=0,IF(G149&lt;&gt;G148,1,0),0)</f>
        <v>0</v>
      </c>
      <c r="J149" s="225" t="n">
        <v>0.65</v>
      </c>
      <c r="K149" s="226">
        <v>0.246757252604381</v>
      </c>
      <c r="L149" s="227">
        <f>IF((K148-DSCR_COV)*(K149-DSCR_COV)&lt;=0,IF(K149&lt;&gt;K148,1,0),0)</f>
        <v>0</v>
      </c>
    </row>
    <row r="150">
      <c r="B150" s="225" t="n">
        <v>1.4</v>
      </c>
      <c r="C150" s="219">
        <v>194813034.841022</v>
      </c>
      <c r="D150" s="227">
        <f>IF((C149-0)*(C150-0)&lt;=0,IF(C150&lt;&gt;C149,1,0),0)</f>
        <v>0</v>
      </c>
      <c r="F150" s="225" t="n">
        <v>1.4</v>
      </c>
      <c r="G150" s="226">
        <v>0.910565289405725</v>
      </c>
      <c r="H150" s="227">
        <f>IF((G149-0)*(G150-0)&lt;=0,IF(G150&lt;&gt;G149,1,0),0)</f>
        <v>0</v>
      </c>
      <c r="J150" s="225" t="n">
        <v>0.7</v>
      </c>
      <c r="K150" s="226">
        <v>0.416796855683512</v>
      </c>
      <c r="L150" s="227">
        <f>IF((K149-DSCR_COV)*(K150-DSCR_COV)&lt;=0,IF(K150&lt;&gt;K149,1,0),0)</f>
        <v>0</v>
      </c>
    </row>
    <row r="151">
      <c r="B151" s="225" t="n">
        <v>1.5</v>
      </c>
      <c r="C151" s="219">
        <v>215809640.534795</v>
      </c>
      <c r="D151" s="227">
        <f>IF((C150-0)*(C151-0)&lt;=0,IF(C151&lt;&gt;C150,1,0),0)</f>
        <v>0</v>
      </c>
      <c r="F151" s="225" t="n">
        <v>1.5</v>
      </c>
      <c r="G151" s="226">
        <v>1.00983434038644</v>
      </c>
      <c r="H151" s="227">
        <f>IF((G150-0)*(G151-0)&lt;=0,IF(G151&lt;&gt;G150,1,0),0)</f>
        <v>0</v>
      </c>
      <c r="J151" s="225" t="n">
        <v>0.75</v>
      </c>
      <c r="K151" s="226">
        <v>0.637766765326162</v>
      </c>
      <c r="L151" s="227">
        <f>IF((K150-DSCR_COV)*(K151-DSCR_COV)&lt;=0,IF(K151&lt;&gt;K150,1,0),0)</f>
        <v>0</v>
      </c>
    </row>
    <row r="152">
      <c r="B152" s="225" t="n">
        <v>1.6</v>
      </c>
      <c r="C152" s="219">
        <v>237175903.421872</v>
      </c>
      <c r="D152" s="227">
        <f>IF((C151-0)*(C152-0)&lt;=0,IF(C152&lt;&gt;C151,1,0),0)</f>
        <v>0</v>
      </c>
      <c r="F152" s="225" t="n">
        <v>1.6</v>
      </c>
      <c r="G152" s="226">
        <v>1.10959190802751</v>
      </c>
      <c r="H152" s="227">
        <f>IF((G151-0)*(G152-0)&lt;=0,IF(G152&lt;&gt;G151,1,0),0)</f>
        <v>0</v>
      </c>
      <c r="J152" s="225" t="n">
        <v>0.8</v>
      </c>
      <c r="K152" s="226">
        <v>0.858736674968808</v>
      </c>
      <c r="L152" s="227">
        <f>IF((K151-DSCR_COV)*(K152-DSCR_COV)&lt;=0,IF(K152&lt;&gt;K151,1,0),0)</f>
        <v>0</v>
      </c>
    </row>
    <row r="153">
      <c r="B153" s="225" t="n">
        <v>1.7</v>
      </c>
      <c r="C153" s="219">
        <v>258554838.14929</v>
      </c>
      <c r="D153" s="227">
        <f>IF((C152-0)*(C153-0)&lt;=0,IF(C153&lt;&gt;C152,1,0),0)</f>
        <v>0</v>
      </c>
      <c r="F153" s="225" t="n">
        <v>1.7</v>
      </c>
      <c r="G153" s="226">
        <v>1.20974764257781</v>
      </c>
      <c r="H153" s="227">
        <f>IF((G152-0)*(G153-0)&lt;=0,IF(G153&lt;&gt;G152,1,0),0)</f>
        <v>0</v>
      </c>
      <c r="J153" s="225" t="n">
        <v>0.85</v>
      </c>
      <c r="K153" s="226">
        <v>1.07970658461146</v>
      </c>
      <c r="L153" s="227">
        <f>IF((K152-DSCR_COV)*(K153-DSCR_COV)&lt;=0,IF(K153&lt;&gt;K152,1,0),0)</f>
        <v>0</v>
      </c>
    </row>
    <row r="154">
      <c r="B154" s="225" t="n">
        <v>1.8</v>
      </c>
      <c r="C154" s="219">
        <v>279949272.139416</v>
      </c>
      <c r="D154" s="227">
        <f>IF((C153-0)*(C154-0)&lt;=0,IF(C154&lt;&gt;C153,1,0),0)</f>
        <v>0</v>
      </c>
      <c r="F154" s="225" t="n">
        <v>1.8</v>
      </c>
      <c r="G154" s="226">
        <v>1.31018761869827</v>
      </c>
      <c r="H154" s="227">
        <f>IF((G153-0)*(G154-0)&lt;=0,IF(G154&lt;&gt;G153,1,0),0)</f>
        <v>0</v>
      </c>
      <c r="J154" s="225" t="n">
        <v>0.9</v>
      </c>
      <c r="K154" s="226">
        <v>1.3006764942541</v>
      </c>
      <c r="L154" s="227">
        <f>IF((K153-DSCR_COV)*(K154-DSCR_COV)&lt;=0,IF(K154&lt;&gt;K153,1,0),0)</f>
        <v>1</v>
      </c>
    </row>
    <row r="155">
      <c r="B155" s="225" t="n">
        <v>1.9</v>
      </c>
      <c r="C155" s="219">
        <v>301444442.415093</v>
      </c>
      <c r="D155" s="227">
        <f>IF((C154-0)*(C155-0)&lt;=0,IF(C155&lt;&gt;C154,1,0),0)</f>
        <v>0</v>
      </c>
      <c r="F155" s="225" t="n">
        <v>1.9</v>
      </c>
      <c r="G155" s="226">
        <v>1.40870705762578</v>
      </c>
      <c r="H155" s="227">
        <f>IF((G154-0)*(G155-0)&lt;=0,IF(G155&lt;&gt;G154,1,0),0)</f>
        <v>0</v>
      </c>
      <c r="J155" s="225" t="n">
        <v>0.95</v>
      </c>
      <c r="K155" s="226">
        <v>1.52164640389675</v>
      </c>
      <c r="L155" s="227">
        <f>IF((K154-DSCR_COV)*(K155-DSCR_COV)&lt;=0,IF(K155&lt;&gt;K154,1,0),0)</f>
        <v>0</v>
      </c>
    </row>
    <row r="156">
      <c r="B156" s="225" t="n">
        <v>2</v>
      </c>
      <c r="C156" s="219">
        <v>323152588.993757</v>
      </c>
      <c r="D156" s="227">
        <f>IF((C155-0)*(C156-0)&lt;=0,IF(C156&lt;&gt;C155,1,0),0)</f>
        <v>0</v>
      </c>
      <c r="F156" s="225" t="n">
        <v>2</v>
      </c>
      <c r="G156" s="226">
        <v>1.50209974194503</v>
      </c>
      <c r="H156" s="227">
        <f>IF((G155-0)*(G156-0)&lt;=0,IF(G156&lt;&gt;G155,1,0),0)</f>
        <v>0</v>
      </c>
      <c r="J156" s="225" t="n">
        <v>1</v>
      </c>
      <c r="K156" s="226">
        <v>1.7426163135394</v>
      </c>
      <c r="L156" s="227">
        <f>IF((K155-DSCR_COV)*(K156-DSCR_COV)&lt;=0,IF(K156&lt;&gt;K155,1,0),0)</f>
        <v>0</v>
      </c>
    </row>
    <row r="157">
      <c r="B157" s="78" t="inlineStr">
        <is>
          <t>Flex at target</t>
        </is>
      </c>
      <c r="C157" s="228">
        <f>IF(SUM($D$137:$D$156)=0,-1,INDEX($B$136:$B$156,MATCH(1,$D$137:$D$156,0))+(0-INDEX($C$136:$C$156,MATCH(1,$D$137:$D$156,0)))*(INDEX($B$137:$B$156,MATCH(1,$D$137:$D$156,0))-INDEX($B$136:$B$156,MATCH(1,$D$137:$D$156,0)))/(INDEX($C$137:$C$156,MATCH(1,$D$137:$D$156,0))-INDEX($C$136:$C$156,MATCH(1,$D$137:$D$156,0))))</f>
        <v>0.590343602230715</v>
      </c>
      <c r="F157" s="78" t="inlineStr">
        <is>
          <t>Flex at target</t>
        </is>
      </c>
      <c r="G157" s="228">
        <f>IF(SUM($H$137:$H$156)=0,-1,INDEX($F$136:$F$156,MATCH(1,$H$137:$H$156,0))+(0-INDEX($G$136:$G$156,MATCH(1,$H$137:$H$156,0)))*(INDEX($F$137:$F$156,MATCH(1,$H$137:$H$156,0))-INDEX($F$136:$F$156,MATCH(1,$H$137:$H$156,0)))/(INDEX($G$137:$G$156,MATCH(1,$H$137:$H$156,0))-INDEX($G$136:$G$156,MATCH(1,$H$137:$H$156,0))))</f>
        <v>0.450192924283916</v>
      </c>
      <c r="J157" s="78" t="inlineStr">
        <is>
          <t>Flex at target</t>
        </is>
      </c>
      <c r="K157" s="228">
        <f>IF(SUM($L$137:$L$156)=0,-1,INDEX($J$136:$J$156,MATCH(1,$L$137:$L$156,0))+(DSCR_COV-INDEX($K$136:$K$156,MATCH(1,$L$137:$L$156,0)))*(INDEX($J$137:$J$156,MATCH(1,$L$137:$L$156,0))-INDEX($J$136:$J$156,MATCH(1,$L$137:$L$156,0)))/(INDEX($K$137:$K$156,MATCH(1,$L$137:$L$156,0))-INDEX($K$136:$K$156,MATCH(1,$L$137:$L$156,0))))</f>
        <v>0.899846926159495</v>
      </c>
    </row>
    <row r="159">
      <c r="B159" s="177" t="inlineStr">
        <is>
          <t>Max cost overrun before Equity IRR &lt; hurdle</t>
        </is>
      </c>
      <c r="F159" s="177" t="inlineStr">
        <is>
          <t>Break-even interest rate (min DSCR = covenant)</t>
        </is>
      </c>
      <c r="J159" s="177" t="inlineStr">
        <is>
          <t>Max delay before Equity IRR &lt; hurdle</t>
        </is>
      </c>
    </row>
    <row r="160">
      <c r="B160" s="78" t="inlineStr">
        <is>
          <t>Flex</t>
        </is>
      </c>
      <c r="C160" s="224">
        <f>$D$21</f>
        <v>0.275726230589801</v>
      </c>
      <c r="D160" s="78" t="inlineStr">
        <is>
          <t>Sign change</t>
        </is>
      </c>
      <c r="F160" s="78" t="inlineStr">
        <is>
          <t>Flex</t>
        </is>
      </c>
      <c r="G160" s="224">
        <f>$D$25</f>
        <v>1.7426163135394</v>
      </c>
      <c r="H160" s="78" t="inlineStr">
        <is>
          <t>Sign change</t>
        </is>
      </c>
      <c r="J160" s="78" t="inlineStr">
        <is>
          <t>Flex</t>
        </is>
      </c>
      <c r="K160" s="224">
        <f>$D$21</f>
        <v>0.275726230589801</v>
      </c>
      <c r="L160" s="78" t="inlineStr">
        <is>
          <t>Sign change</t>
        </is>
      </c>
    </row>
    <row r="161">
      <c r="B161" s="225" t="n">
        <v>1</v>
      </c>
      <c r="C161" s="226">
        <f t="dataTable" ref="C161:C181" r1="D12"/>
        <v>0.275726230589801</v>
      </c>
      <c r="F161" s="225" t="n">
        <v>0.5</v>
      </c>
      <c r="G161" s="226">
        <f t="dataTable" ref="G161:G181" r1="D15"/>
        <v>3.0764466150438</v>
      </c>
      <c r="J161" s="225" t="n">
        <v>0</v>
      </c>
      <c r="K161" s="226">
        <f t="dataTable" ref="K161:K181" r1="D17"/>
        <v>0.275726230589801</v>
      </c>
    </row>
    <row r="162">
      <c r="B162" s="225" t="n">
        <v>1.1</v>
      </c>
      <c r="C162" s="226">
        <v>0.238522312315786</v>
      </c>
      <c r="D162" s="227">
        <f>IF((C161-HURDLE)*(C162-HURDLE)&lt;=0,IF(C162&lt;&gt;C161,1,0),0)</f>
        <v>0</v>
      </c>
      <c r="F162" s="225" t="n">
        <v>0.65</v>
      </c>
      <c r="G162" s="226">
        <v>2.50581284506108</v>
      </c>
      <c r="H162" s="227">
        <f>IF((G161-DSCR_COV)*(G162-DSCR_COV)&lt;=0,IF(G162&lt;&gt;G161,1,0),0)</f>
        <v>0</v>
      </c>
      <c r="J162" s="225" t="n">
        <v>2</v>
      </c>
      <c r="K162" s="226">
        <v>0.270576133075622</v>
      </c>
      <c r="L162" s="227">
        <f>IF((K161-HURDLE)*(K162-HURDLE)&lt;=0,IF(K162&lt;&gt;K161,1,0),0)</f>
        <v>0</v>
      </c>
    </row>
    <row r="163">
      <c r="B163" s="225" t="n">
        <v>1.2</v>
      </c>
      <c r="C163" s="226">
        <v>0.208527566300036</v>
      </c>
      <c r="D163" s="227">
        <f>IF((C162-HURDLE)*(C163-HURDLE)&lt;=0,IF(C163&lt;&gt;C162,1,0),0)</f>
        <v>0</v>
      </c>
      <c r="F163" s="225" t="n">
        <v>0.8</v>
      </c>
      <c r="G163" s="226">
        <v>2.11022814970986</v>
      </c>
      <c r="H163" s="227">
        <f>IF((G162-DSCR_COV)*(G163-DSCR_COV)&lt;=0,IF(G163&lt;&gt;G162,1,0),0)</f>
        <v>0</v>
      </c>
      <c r="J163" s="225" t="n">
        <v>4</v>
      </c>
      <c r="K163" s="226">
        <v>0.264330965957965</v>
      </c>
      <c r="L163" s="227">
        <f>IF((K162-HURDLE)*(K163-HURDLE)&lt;=0,IF(K163&lt;&gt;K162,1,0),0)</f>
        <v>0</v>
      </c>
    </row>
    <row r="164">
      <c r="B164" s="225" t="n">
        <v>1.3</v>
      </c>
      <c r="C164" s="226">
        <v>0.177480289881747</v>
      </c>
      <c r="D164" s="227">
        <f>IF((C163-HURDLE)*(C164-HURDLE)&lt;=0,IF(C164&lt;&gt;C163,1,0),0)</f>
        <v>1</v>
      </c>
      <c r="F164" s="225" t="n">
        <v>0.95</v>
      </c>
      <c r="G164" s="226">
        <v>1.82185278413752</v>
      </c>
      <c r="H164" s="227">
        <f>IF((G163-DSCR_COV)*(G164-DSCR_COV)&lt;=0,IF(G164&lt;&gt;G163,1,0),0)</f>
        <v>0</v>
      </c>
      <c r="J164" s="225" t="n">
        <v>6</v>
      </c>
      <c r="K164" s="226">
        <v>0.257374406112822</v>
      </c>
      <c r="L164" s="227">
        <f>IF((K163-HURDLE)*(K164-HURDLE)&lt;=0,IF(K164&lt;&gt;K163,1,0),0)</f>
        <v>0</v>
      </c>
    </row>
    <row r="165">
      <c r="B165" s="225" t="n">
        <v>1.4</v>
      </c>
      <c r="C165" s="226">
        <v>0.151653465388542</v>
      </c>
      <c r="D165" s="227">
        <f>IF((C164-HURDLE)*(C165-HURDLE)&lt;=0,IF(C165&lt;&gt;C164,1,0),0)</f>
        <v>0</v>
      </c>
      <c r="F165" s="225" t="n">
        <v>1.1</v>
      </c>
      <c r="G165" s="226">
        <v>1.60359928280936</v>
      </c>
      <c r="H165" s="227">
        <f>IF((G164-DSCR_COV)*(G165-DSCR_COV)&lt;=0,IF(G165&lt;&gt;G164,1,0),0)</f>
        <v>0</v>
      </c>
      <c r="J165" s="225" t="n">
        <v>8</v>
      </c>
      <c r="K165" s="226">
        <v>0.241679875945124</v>
      </c>
      <c r="L165" s="227">
        <f>IF((K164-HURDLE)*(K165-HURDLE)&lt;=0,IF(K165&lt;&gt;K164,1,0),0)</f>
        <v>0</v>
      </c>
    </row>
    <row r="166">
      <c r="B166" s="225" t="n">
        <v>1.5</v>
      </c>
      <c r="C166" s="226">
        <v>0.127361273522873</v>
      </c>
      <c r="D166" s="227">
        <f>IF((C165-HURDLE)*(C166-HURDLE)&lt;=0,IF(C166&lt;&gt;C165,1,0),0)</f>
        <v>0</v>
      </c>
      <c r="F166" s="225" t="n">
        <v>1.25</v>
      </c>
      <c r="G166" s="226">
        <v>1.43353396918516</v>
      </c>
      <c r="H166" s="227">
        <f>IF((G165-DSCR_COV)*(G166-DSCR_COV)&lt;=0,IF(G166&lt;&gt;G165,1,0),0)</f>
        <v>0</v>
      </c>
      <c r="J166" s="225" t="n">
        <v>10</v>
      </c>
      <c r="K166" s="226">
        <v>0.234971403087212</v>
      </c>
      <c r="L166" s="227">
        <f>IF((K165-HURDLE)*(K166-HURDLE)&lt;=0,IF(K166&lt;&gt;K165,1,0),0)</f>
        <v>0</v>
      </c>
    </row>
    <row r="167">
      <c r="B167" s="225" t="n">
        <v>1.6</v>
      </c>
      <c r="C167" s="226">
        <v>0.104524933194357</v>
      </c>
      <c r="D167" s="227">
        <f>IF((C166-HURDLE)*(C167-HURDLE)&lt;=0,IF(C167&lt;&gt;C166,1,0),0)</f>
        <v>0</v>
      </c>
      <c r="F167" s="225" t="n">
        <v>1.4</v>
      </c>
      <c r="G167" s="226">
        <v>1.40361474891634</v>
      </c>
      <c r="H167" s="227">
        <f>IF((G166-DSCR_COV)*(G167-DSCR_COV)&lt;=0,IF(G167&lt;&gt;G166,1,0),0)</f>
        <v>0</v>
      </c>
      <c r="J167" s="225" t="n">
        <v>12</v>
      </c>
      <c r="K167" s="226">
        <v>0.228239416596294</v>
      </c>
      <c r="L167" s="227">
        <f>IF((K166-HURDLE)*(K167-HURDLE)&lt;=0,IF(K167&lt;&gt;K166,1,0),0)</f>
        <v>0</v>
      </c>
    </row>
    <row r="168">
      <c r="B168" s="225" t="n">
        <v>1.7</v>
      </c>
      <c r="C168" s="226">
        <v>0.0823206199168006</v>
      </c>
      <c r="D168" s="227">
        <f>IF((C167-HURDLE)*(C168-HURDLE)&lt;=0,IF(C168&lt;&gt;C167,1,0),0)</f>
        <v>0</v>
      </c>
      <c r="F168" s="225" t="n">
        <v>1.55</v>
      </c>
      <c r="G168" s="226">
        <v>1.39036592478119</v>
      </c>
      <c r="H168" s="227">
        <f>IF((G167-DSCR_COV)*(G168-DSCR_COV)&lt;=0,IF(G168&lt;&gt;G167,1,0),0)</f>
        <v>0</v>
      </c>
      <c r="J168" s="225" t="n">
        <v>14</v>
      </c>
      <c r="K168" s="226">
        <v>0.224486626249211</v>
      </c>
      <c r="L168" s="227">
        <f>IF((K167-HURDLE)*(K168-HURDLE)&lt;=0,IF(K168&lt;&gt;K167,1,0),0)</f>
        <v>0</v>
      </c>
    </row>
    <row r="169">
      <c r="B169" s="225" t="n">
        <v>1.8</v>
      </c>
      <c r="C169" s="226">
        <v>0.0606153406693267</v>
      </c>
      <c r="D169" s="227">
        <f>IF((C168-HURDLE)*(C169-HURDLE)&lt;=0,IF(C169&lt;&gt;C168,1,0),0)</f>
        <v>0</v>
      </c>
      <c r="F169" s="225" t="n">
        <v>1.7</v>
      </c>
      <c r="G169" s="226">
        <v>1.36836687668659</v>
      </c>
      <c r="H169" s="227">
        <f>IF((G168-DSCR_COV)*(G169-DSCR_COV)&lt;=0,IF(G169&lt;&gt;G168,1,0),0)</f>
        <v>0</v>
      </c>
      <c r="J169" s="225" t="n">
        <v>16</v>
      </c>
      <c r="K169" s="226">
        <v>0.220898487501891</v>
      </c>
      <c r="L169" s="227">
        <f>IF((K168-HURDLE)*(K169-HURDLE)&lt;=0,IF(K169&lt;&gt;K168,1,0),0)</f>
        <v>0</v>
      </c>
    </row>
    <row r="170">
      <c r="B170" s="225" t="n">
        <v>1.9</v>
      </c>
      <c r="C170" s="226">
        <v>0.0389715643805452</v>
      </c>
      <c r="D170" s="227">
        <f>IF((C169-HURDLE)*(C170-HURDLE)&lt;=0,IF(C170&lt;&gt;C169,1,0),0)</f>
        <v>0</v>
      </c>
      <c r="F170" s="225" t="n">
        <v>1.85</v>
      </c>
      <c r="G170" s="226">
        <v>1.19016504247305</v>
      </c>
      <c r="H170" s="227">
        <f>IF((G169-DSCR_COV)*(G170-DSCR_COV)&lt;=0,IF(G170&lt;&gt;G169,1,0),0)</f>
        <v>1</v>
      </c>
      <c r="J170" s="225" t="n">
        <v>18</v>
      </c>
      <c r="K170" s="226">
        <v>0.217087956604008</v>
      </c>
      <c r="L170" s="227">
        <f>IF((K169-HURDLE)*(K170-HURDLE)&lt;=0,IF(K170&lt;&gt;K169,1,0),0)</f>
        <v>0</v>
      </c>
    </row>
    <row r="171">
      <c r="B171" s="225" t="n">
        <v>2</v>
      </c>
      <c r="C171" s="226">
        <v>0.0161023029065026</v>
      </c>
      <c r="D171" s="227">
        <f>IF((C170-HURDLE)*(C171-HURDLE)&lt;=0,IF(C171&lt;&gt;C170,1,0),0)</f>
        <v>0</v>
      </c>
      <c r="F171" s="225" t="n">
        <v>2</v>
      </c>
      <c r="G171" s="226">
        <v>1.04338081856121</v>
      </c>
      <c r="H171" s="227">
        <f>IF((G170-DSCR_COV)*(G171-DSCR_COV)&lt;=0,IF(G171&lt;&gt;G170,1,0),0)</f>
        <v>0</v>
      </c>
      <c r="J171" s="225" t="n">
        <v>20</v>
      </c>
      <c r="K171" s="226">
        <v>0.217087956604008</v>
      </c>
      <c r="L171" s="227">
        <f>IF((K170-HURDLE)*(K171-HURDLE)&lt;=0,IF(K171&lt;&gt;K170,1,0),0)</f>
        <v>0</v>
      </c>
    </row>
    <row r="172">
      <c r="B172" s="225" t="n">
        <v>2.1</v>
      </c>
      <c r="C172" s="226">
        <v>-0.0061734438015417</v>
      </c>
      <c r="D172" s="227">
        <f>IF((C171-HURDLE)*(C172-HURDLE)&lt;=0,IF(C172&lt;&gt;C171,1,0),0)</f>
        <v>0</v>
      </c>
      <c r="F172" s="225" t="n">
        <v>2.15</v>
      </c>
      <c r="G172" s="226">
        <v>0.921223508780959</v>
      </c>
      <c r="H172" s="227">
        <f>IF((G171-DSCR_COV)*(G172-DSCR_COV)&lt;=0,IF(G172&lt;&gt;G171,1,0),0)</f>
        <v>0</v>
      </c>
      <c r="J172" s="225" t="n">
        <v>22</v>
      </c>
      <c r="K172" s="226">
        <v>0.217087956604008</v>
      </c>
      <c r="L172" s="227">
        <f>IF((K171-HURDLE)*(K172-HURDLE)&lt;=0,IF(K172&lt;&gt;K171,1,0),0)</f>
        <v>0</v>
      </c>
    </row>
    <row r="173">
      <c r="B173" s="225" t="n">
        <v>2.2</v>
      </c>
      <c r="C173" s="226">
        <v>-0.0255893675251293</v>
      </c>
      <c r="D173" s="227">
        <f>IF((C172-HURDLE)*(C173-HURDLE)&lt;=0,IF(C173&lt;&gt;C172,1,0),0)</f>
        <v>0</v>
      </c>
      <c r="F173" s="225" t="n">
        <v>2.3</v>
      </c>
      <c r="G173" s="226">
        <v>0.818623996622783</v>
      </c>
      <c r="H173" s="227">
        <f>IF((G172-DSCR_COV)*(G173-DSCR_COV)&lt;=0,IF(G173&lt;&gt;G172,1,0),0)</f>
        <v>0</v>
      </c>
      <c r="J173" s="225" t="n">
        <v>24</v>
      </c>
      <c r="K173" s="226">
        <v>0.217087956604008</v>
      </c>
      <c r="L173" s="227">
        <f>IF((K172-HURDLE)*(K173-HURDLE)&lt;=0,IF(K173&lt;&gt;K172,1,0),0)</f>
        <v>0</v>
      </c>
    </row>
    <row r="174">
      <c r="B174" s="225" t="n">
        <v>2.3</v>
      </c>
      <c r="C174" s="226">
        <v>-0.0476285723214839</v>
      </c>
      <c r="D174" s="227">
        <f>IF((C173-HURDLE)*(C174-HURDLE)&lt;=0,IF(C174&lt;&gt;C173,1,0),0)</f>
        <v>0</v>
      </c>
      <c r="F174" s="225" t="n">
        <v>2.45</v>
      </c>
      <c r="G174" s="226">
        <v>0.731619705270448</v>
      </c>
      <c r="H174" s="227">
        <f>IF((G173-DSCR_COV)*(G174-DSCR_COV)&lt;=0,IF(G174&lt;&gt;G173,1,0),0)</f>
        <v>0</v>
      </c>
      <c r="J174" s="225" t="n">
        <v>26</v>
      </c>
      <c r="K174" s="226">
        <v>0.217087956604008</v>
      </c>
      <c r="L174" s="227">
        <f>IF((K173-HURDLE)*(K174-HURDLE)&lt;=0,IF(K174&lt;&gt;K173,1,0),0)</f>
        <v>0</v>
      </c>
    </row>
    <row r="175">
      <c r="B175" s="225" t="n">
        <v>2.4</v>
      </c>
      <c r="C175" s="226">
        <v>-0.0737985358705499</v>
      </c>
      <c r="D175" s="227">
        <f>IF((C174-HURDLE)*(C175-HURDLE)&lt;=0,IF(C175&lt;&gt;C174,1,0),0)</f>
        <v>0</v>
      </c>
      <c r="F175" s="225" t="n">
        <v>2.6</v>
      </c>
      <c r="G175" s="226">
        <v>0.652678107758763</v>
      </c>
      <c r="H175" s="227">
        <f>IF((G174-DSCR_COV)*(G175-DSCR_COV)&lt;=0,IF(G175&lt;&gt;G174,1,0),0)</f>
        <v>0</v>
      </c>
      <c r="J175" s="225" t="n">
        <v>28</v>
      </c>
      <c r="K175" s="226">
        <v>0.217087956604008</v>
      </c>
      <c r="L175" s="227">
        <f>IF((K174-HURDLE)*(K175-HURDLE)&lt;=0,IF(K175&lt;&gt;K174,1,0),0)</f>
        <v>0</v>
      </c>
    </row>
    <row r="176">
      <c r="B176" s="225" t="n">
        <v>2.5</v>
      </c>
      <c r="C176" s="226">
        <v>-0.107330676546854</v>
      </c>
      <c r="D176" s="227">
        <f>IF((C175-HURDLE)*(C176-HURDLE)&lt;=0,IF(C176&lt;&gt;C175,1,0),0)</f>
        <v>0</v>
      </c>
      <c r="F176" s="225" t="n">
        <v>2.75</v>
      </c>
      <c r="G176" s="226">
        <v>0.584953455200036</v>
      </c>
      <c r="H176" s="227">
        <f>IF((G175-DSCR_COV)*(G176-DSCR_COV)&lt;=0,IF(G176&lt;&gt;G175,1,0),0)</f>
        <v>0</v>
      </c>
      <c r="J176" s="225" t="n">
        <v>30</v>
      </c>
      <c r="K176" s="226">
        <v>0.217087956604008</v>
      </c>
      <c r="L176" s="227">
        <f>IF((K175-HURDLE)*(K176-HURDLE)&lt;=0,IF(K176&lt;&gt;K175,1,0),0)</f>
        <v>0</v>
      </c>
    </row>
    <row r="177">
      <c r="B177" s="225" t="n">
        <v>2.6</v>
      </c>
      <c r="C177" s="226">
        <v>-0.15706490839587</v>
      </c>
      <c r="D177" s="227">
        <f>IF((C176-HURDLE)*(C177-HURDLE)&lt;=0,IF(C177&lt;&gt;C176,1,0),0)</f>
        <v>0</v>
      </c>
      <c r="F177" s="225" t="n">
        <v>2.9</v>
      </c>
      <c r="G177" s="226">
        <v>0.526489055713821</v>
      </c>
      <c r="H177" s="227">
        <f>IF((G176-DSCR_COV)*(G177-DSCR_COV)&lt;=0,IF(G177&lt;&gt;G176,1,0),0)</f>
        <v>0</v>
      </c>
      <c r="J177" s="225" t="n">
        <v>32</v>
      </c>
      <c r="K177" s="226">
        <v>0.217087956604008</v>
      </c>
      <c r="L177" s="227">
        <f>IF((K176-HURDLE)*(K177-HURDLE)&lt;=0,IF(K177&lt;&gt;K176,1,0),0)</f>
        <v>0</v>
      </c>
    </row>
    <row r="178">
      <c r="B178" s="225" t="n">
        <v>2.7</v>
      </c>
      <c r="C178" s="226">
        <v>-0.282538446571002</v>
      </c>
      <c r="D178" s="227">
        <f>IF((C177-HURDLE)*(C178-HURDLE)&lt;=0,IF(C178&lt;&gt;C177,1,0),0)</f>
        <v>0</v>
      </c>
      <c r="F178" s="225" t="n">
        <v>3.05</v>
      </c>
      <c r="G178" s="226">
        <v>0.47572853635988</v>
      </c>
      <c r="H178" s="227">
        <f>IF((G177-DSCR_COV)*(G178-DSCR_COV)&lt;=0,IF(G178&lt;&gt;G177,1,0),0)</f>
        <v>0</v>
      </c>
      <c r="J178" s="225" t="n">
        <v>34</v>
      </c>
      <c r="K178" s="226">
        <v>0.217087956604008</v>
      </c>
      <c r="L178" s="227">
        <f>IF((K177-HURDLE)*(K178-HURDLE)&lt;=0,IF(K178&lt;&gt;K177,1,0),0)</f>
        <v>0</v>
      </c>
    </row>
    <row r="179">
      <c r="B179" s="225" t="n">
        <v>2.8</v>
      </c>
      <c r="C179" s="226">
        <v>0</v>
      </c>
      <c r="D179" s="227">
        <f>IF((C178-HURDLE)*(C179-HURDLE)&lt;=0,IF(C179&lt;&gt;C178,1,0),0)</f>
        <v>0</v>
      </c>
      <c r="F179" s="225" t="n">
        <v>3.2</v>
      </c>
      <c r="G179" s="226">
        <v>0.431422521759225</v>
      </c>
      <c r="H179" s="227">
        <f>IF((G178-DSCR_COV)*(G179-DSCR_COV)&lt;=0,IF(G179&lt;&gt;G178,1,0),0)</f>
        <v>0</v>
      </c>
      <c r="J179" s="225" t="n">
        <v>36</v>
      </c>
      <c r="K179" s="226">
        <v>0.217087956604008</v>
      </c>
      <c r="L179" s="227">
        <f>IF((K178-HURDLE)*(K179-HURDLE)&lt;=0,IF(K179&lt;&gt;K178,1,0),0)</f>
        <v>0</v>
      </c>
    </row>
    <row r="180">
      <c r="B180" s="225" t="n">
        <v>2.9</v>
      </c>
      <c r="C180" s="226">
        <v>0</v>
      </c>
      <c r="D180" s="227">
        <f>IF((C179-HURDLE)*(C180-HURDLE)&lt;=0,IF(C180&lt;&gt;C179,1,0),0)</f>
        <v>0</v>
      </c>
      <c r="F180" s="225" t="n">
        <v>3.35</v>
      </c>
      <c r="G180" s="226">
        <v>0.392559622025303</v>
      </c>
      <c r="H180" s="227">
        <f>IF((G179-DSCR_COV)*(G180-DSCR_COV)&lt;=0,IF(G180&lt;&gt;G179,1,0),0)</f>
        <v>0</v>
      </c>
      <c r="J180" s="225" t="n">
        <v>38</v>
      </c>
      <c r="K180" s="226">
        <v>0.217087956604008</v>
      </c>
      <c r="L180" s="227">
        <f>IF((K179-HURDLE)*(K180-HURDLE)&lt;=0,IF(K180&lt;&gt;K179,1,0),0)</f>
        <v>0</v>
      </c>
    </row>
    <row r="181">
      <c r="B181" s="225" t="n">
        <v>3</v>
      </c>
      <c r="C181" s="226">
        <v>0</v>
      </c>
      <c r="D181" s="227">
        <f>IF((C180-HURDLE)*(C181-HURDLE)&lt;=0,IF(C181&lt;&gt;C180,1,0),0)</f>
        <v>0</v>
      </c>
      <c r="F181" s="225" t="n">
        <v>3.5</v>
      </c>
      <c r="G181" s="226">
        <v>0.358314756056622</v>
      </c>
      <c r="H181" s="227">
        <f>IF((G180-DSCR_COV)*(G181-DSCR_COV)&lt;=0,IF(G181&lt;&gt;G180,1,0),0)</f>
        <v>0</v>
      </c>
      <c r="J181" s="225" t="n">
        <v>40</v>
      </c>
      <c r="K181" s="226">
        <v>0.217087956604008</v>
      </c>
      <c r="L181" s="227">
        <f>IF((K180-HURDLE)*(K181-HURDLE)&lt;=0,IF(K181&lt;&gt;K180,1,0),0)</f>
        <v>0</v>
      </c>
    </row>
    <row r="182">
      <c r="B182" s="78" t="inlineStr">
        <is>
          <t>Flex at target</t>
        </is>
      </c>
      <c r="C182" s="228">
        <f>IF(SUM($D$162:$D$181)=0,-1,INDEX($B$161:$B$181,MATCH(1,$D$162:$D$181,0))+(HURDLE-INDEX($C$161:$C$181,MATCH(1,$D$162:$D$181,0)))*(INDEX($B$162:$B$181,MATCH(1,$D$162:$D$181,0))-INDEX($B$161:$B$181,MATCH(1,$D$162:$D$181,0)))/(INDEX($C$162:$C$181,MATCH(1,$D$162:$D$181,0))-INDEX($C$161:$C$181,MATCH(1,$D$162:$D$181,0))))</f>
        <v>1.22746639088449</v>
      </c>
      <c r="F182" s="78" t="inlineStr">
        <is>
          <t>Flex at target</t>
        </is>
      </c>
      <c r="G182" s="228">
        <f>IF(SUM($H$162:$H$181)=0,-1,INDEX($F$161:$F$181,MATCH(1,$H$162:$H$181,0))+(DSCR_COV-INDEX($G$161:$G$181,MATCH(1,$H$162:$H$181,0)))*(INDEX($F$162:$F$181,MATCH(1,$H$162:$H$181,0))-INDEX($F$161:$F$181,MATCH(1,$H$162:$H$181,0)))/(INDEX($G$162:$G$181,MATCH(1,$H$162:$H$181,0))-INDEX($G$161:$G$181,MATCH(1,$H$162:$H$181,0))))</f>
        <v>1.75754728366432</v>
      </c>
      <c r="J182" s="78" t="inlineStr">
        <is>
          <t>Flex at target</t>
        </is>
      </c>
      <c r="K182" s="228">
        <f>IF(SUM($L$162:$L$181)=0,-1,INDEX($J$161:$J$181,MATCH(1,$L$162:$L$181,0))+(HURDLE-INDEX($K$161:$K$181,MATCH(1,$L$162:$L$181,0)))*(INDEX($J$162:$J$181,MATCH(1,$L$162:$L$181,0))-INDEX($J$161:$J$181,MATCH(1,$L$162:$L$181,0)))/(INDEX($K$162:$K$181,MATCH(1,$L$162:$L$181,0))-INDEX($K$161:$K$181,MATCH(1,$L$162:$L$181,0))))</f>
        <v>-1</v>
      </c>
    </row>
    <row r="210" ht="20" customHeight="1">
      <c r="B210" s="113" t="inlineStr">
        <is>
          <t>Closed-form helpers</t>
        </is>
      </c>
      <c r="C210" s="37" t="inlineStr">
        <is>
          <t>ረዳት ስሌቶች</t>
        </is>
      </c>
      <c r="D210" s="115" t="n"/>
      <c r="E210" s="115" t="n"/>
      <c r="F210" s="115" t="n"/>
      <c r="G210" s="115" t="n"/>
      <c r="H210" s="115" t="n"/>
      <c r="I210" s="115" t="n"/>
      <c r="J210" s="115" t="n"/>
    </row>
    <row r="211">
      <c r="B211" s="36" t="inlineStr">
        <is>
          <t>PV of sales collections net of commission &amp; marketing</t>
        </is>
      </c>
      <c r="C211" s="117" t="inlineStr">
        <is>
          <t>ETB</t>
        </is>
      </c>
      <c r="D211" s="173">
        <f>SUMPRODUCT('24_Revenue'!$E$41:$R$41,'20_Timeline'!$E$27:$R$27)*(1-COMM_PCT-MKT_PCT)</f>
        <v>311057100.983453</v>
      </c>
    </row>
    <row r="212">
      <c r="B212" s="36" t="inlineStr">
        <is>
          <t>Helper: discount factors at hurdle are computed per period below</t>
        </is>
      </c>
      <c r="C212" s="117" t="inlineStr"/>
      <c r="D212" s="148" t="n">
        <v>0</v>
      </c>
    </row>
    <row r="213">
      <c r="B213" s="36" t="inlineStr">
        <is>
          <t>Discount factor @ hurdle</t>
        </is>
      </c>
      <c r="C213" s="117" t="inlineStr">
        <is>
          <t>x</t>
        </is>
      </c>
      <c r="E213" s="149">
        <f>(1+HURDLE)^(-'20_Timeline'!E23)</f>
        <v>0.833333333333333</v>
      </c>
      <c r="F213" s="149">
        <f>(1+HURDLE)^(-'20_Timeline'!F23)</f>
        <v>0.694097648347502</v>
      </c>
      <c r="G213" s="149">
        <f>(1+HURDLE)^(-'20_Timeline'!G23)</f>
        <v>0.634096494608834</v>
      </c>
      <c r="H213" s="149">
        <f>(1+HURDLE)^(-'20_Timeline'!H23)</f>
        <v>0.634096494608834</v>
      </c>
      <c r="I213" s="149">
        <f>(1+HURDLE)^(-'20_Timeline'!I23)</f>
        <v>0.528413745507361</v>
      </c>
      <c r="J213" s="149">
        <f>(1+HURDLE)^(-'20_Timeline'!J23)</f>
        <v>0.440344787922801</v>
      </c>
      <c r="K213" s="149">
        <f>(1+HURDLE)^(-'20_Timeline'!K23)</f>
        <v>0.366770738111155</v>
      </c>
      <c r="L213" s="149">
        <f>(1+HURDLE)^(-'20_Timeline'!L23)</f>
        <v>0.305642281759296</v>
      </c>
      <c r="M213" s="149">
        <f>(1+HURDLE)^(-'20_Timeline'!M23)</f>
        <v>0.25470190146608</v>
      </c>
      <c r="N213" s="149">
        <f>(1+HURDLE)^(-'20_Timeline'!N23)</f>
        <v>0.212251584555067</v>
      </c>
      <c r="O213" s="149">
        <f>(1+HURDLE)^(-'20_Timeline'!O23)</f>
        <v>0.176787990837243</v>
      </c>
      <c r="P213" s="149">
        <f>(1+HURDLE)^(-'20_Timeline'!P23)</f>
        <v>0.147323325697703</v>
      </c>
      <c r="Q213" s="149">
        <f>(1+HURDLE)^(-'20_Timeline'!Q23)</f>
        <v>0.122769438081419</v>
      </c>
      <c r="R213" s="149">
        <f>(1+HURDLE)^(-'20_Timeline'!R23)</f>
        <v>0.102307865067849</v>
      </c>
    </row>
    <row r="214">
      <c r="B214" s="36" t="inlineStr">
        <is>
          <t>Equity NPV @ hurdle</t>
        </is>
      </c>
      <c r="C214" s="117" t="inlineStr">
        <is>
          <t>ETB</t>
        </is>
      </c>
      <c r="D214" s="173">
        <f>SUMPRODUCT('50_Returns'!$E$28:$R$28,$E$213:$R$213)</f>
        <v>48633080.3640656</v>
      </c>
    </row>
    <row r="215">
      <c r="B215" s="36" t="inlineStr">
        <is>
          <t>Hard cost + contingency by period</t>
        </is>
      </c>
      <c r="C215" s="117" t="inlineStr">
        <is>
          <t>ETB</t>
        </is>
      </c>
      <c r="D215" s="169">
        <f>SUM(E215:R215)</f>
        <v>344868136.620191</v>
      </c>
      <c r="E215" s="173">
        <f>SUMIFS('23_Construction'!$E$20:$AZ$20,'23_Construction'!$E$12:$AZ$12,'20_Timeline'!E11)*(1+CONT_PCT)</f>
        <v>98121653.8117767</v>
      </c>
      <c r="F215" s="173">
        <f>SUMIFS('23_Construction'!$E$20:$AZ$20,'23_Construction'!$E$12:$AZ$12,'20_Timeline'!F11)*(1+CONT_PCT)</f>
        <v>223771671.949504</v>
      </c>
      <c r="G215" s="173">
        <f>SUMIFS('23_Construction'!$E$20:$AZ$20,'23_Construction'!$E$12:$AZ$12,'20_Timeline'!G11)*(1+CONT_PCT)</f>
        <v>22974810.8589097</v>
      </c>
      <c r="H215" s="173">
        <f>SUMIFS('23_Construction'!$E$20:$AZ$20,'23_Construction'!$E$12:$AZ$12,'20_Timeline'!H11)*(1+CONT_PCT)</f>
        <v>0</v>
      </c>
      <c r="I215" s="173">
        <f>SUMIFS('23_Construction'!$E$20:$AZ$20,'23_Construction'!$E$12:$AZ$12,'20_Timeline'!I11)*(1+CONT_PCT)</f>
        <v>0</v>
      </c>
      <c r="J215" s="173">
        <f>SUMIFS('23_Construction'!$E$20:$AZ$20,'23_Construction'!$E$12:$AZ$12,'20_Timeline'!J11)*(1+CONT_PCT)</f>
        <v>0</v>
      </c>
      <c r="K215" s="173">
        <f>SUMIFS('23_Construction'!$E$20:$AZ$20,'23_Construction'!$E$12:$AZ$12,'20_Timeline'!K11)*(1+CONT_PCT)</f>
        <v>0</v>
      </c>
      <c r="L215" s="173">
        <f>SUMIFS('23_Construction'!$E$20:$AZ$20,'23_Construction'!$E$12:$AZ$12,'20_Timeline'!L11)*(1+CONT_PCT)</f>
        <v>0</v>
      </c>
      <c r="M215" s="173">
        <f>SUMIFS('23_Construction'!$E$20:$AZ$20,'23_Construction'!$E$12:$AZ$12,'20_Timeline'!M11)*(1+CONT_PCT)</f>
        <v>0</v>
      </c>
      <c r="N215" s="173">
        <f>SUMIFS('23_Construction'!$E$20:$AZ$20,'23_Construction'!$E$12:$AZ$12,'20_Timeline'!N11)*(1+CONT_PCT)</f>
        <v>0</v>
      </c>
      <c r="O215" s="173">
        <f>SUMIFS('23_Construction'!$E$20:$AZ$20,'23_Construction'!$E$12:$AZ$12,'20_Timeline'!O11)*(1+CONT_PCT)</f>
        <v>0</v>
      </c>
      <c r="P215" s="173">
        <f>SUMIFS('23_Construction'!$E$20:$AZ$20,'23_Construction'!$E$12:$AZ$12,'20_Timeline'!P11)*(1+CONT_PCT)</f>
        <v>0</v>
      </c>
      <c r="Q215" s="173">
        <f>SUMIFS('23_Construction'!$E$20:$AZ$20,'23_Construction'!$E$12:$AZ$12,'20_Timeline'!Q11)*(1+CONT_PCT)</f>
        <v>0</v>
      </c>
      <c r="R215" s="173">
        <f>SUMIFS('23_Construction'!$E$20:$AZ$20,'23_Construction'!$E$12:$AZ$12,'20_Timeline'!R11)*(1+CONT_PCT)</f>
        <v>0</v>
      </c>
    </row>
    <row r="216">
      <c r="B216" s="36" t="inlineStr">
        <is>
          <t>PV @ hurdle of hard cost + contingency</t>
        </is>
      </c>
      <c r="C216" s="117" t="inlineStr">
        <is>
          <t>ETB</t>
        </is>
      </c>
      <c r="D216" s="173">
        <f>SUMPRODUCT($E$215:$R$215,$E$213:$R$213)</f>
        <v>251655683.140023</v>
      </c>
    </row>
    <row r="217">
      <c r="B217" s="36" t="inlineStr">
        <is>
          <t>Equity inflows (positive)</t>
        </is>
      </c>
      <c r="C217" s="117" t="inlineStr">
        <is>
          <t>ETB</t>
        </is>
      </c>
      <c r="D217" s="169">
        <f>SUM(E217:R217)</f>
        <v>855627056.143014</v>
      </c>
      <c r="E217" s="173">
        <f>MAX(0,'50_Returns'!E28)</f>
        <v>0</v>
      </c>
      <c r="F217" s="173">
        <f>MAX(0,'50_Returns'!F28)</f>
        <v>0</v>
      </c>
      <c r="G217" s="173">
        <f>MAX(0,'50_Returns'!G28)</f>
        <v>0</v>
      </c>
      <c r="H217" s="173">
        <f>MAX(0,'50_Returns'!H28)</f>
        <v>0</v>
      </c>
      <c r="I217" s="173">
        <f>MAX(0,'50_Returns'!I28)</f>
        <v>186612925.301294</v>
      </c>
      <c r="J217" s="173">
        <f>MAX(0,'50_Returns'!J28)</f>
        <v>20041948.1025463</v>
      </c>
      <c r="K217" s="173">
        <f>MAX(0,'50_Returns'!K28)</f>
        <v>10773156.1969011</v>
      </c>
      <c r="L217" s="173">
        <f>MAX(0,'50_Returns'!L28)</f>
        <v>12653044.9314323</v>
      </c>
      <c r="M217" s="173">
        <f>MAX(0,'50_Returns'!M28)</f>
        <v>14676859.6398598</v>
      </c>
      <c r="N217" s="173">
        <f>MAX(0,'50_Returns'!N28)</f>
        <v>15568997.1935328</v>
      </c>
      <c r="O217" s="173">
        <f>MAX(0,'50_Returns'!O28)</f>
        <v>17922003.3517958</v>
      </c>
      <c r="P217" s="173">
        <f>MAX(0,'50_Returns'!P28)</f>
        <v>17935627.1517528</v>
      </c>
      <c r="Q217" s="173">
        <f>MAX(0,'50_Returns'!Q28)</f>
        <v>19515583.8319205</v>
      </c>
      <c r="R217" s="173">
        <f>MAX(0,'50_Returns'!R28)</f>
        <v>539926910.441979</v>
      </c>
    </row>
    <row r="218">
      <c r="B218" s="36" t="inlineStr">
        <is>
          <t>PV @ hurdle of equity inflows</t>
        </is>
      </c>
      <c r="C218" s="117" t="inlineStr">
        <is>
          <t>ETB</t>
        </is>
      </c>
      <c r="D218" s="173">
        <f>SUMPRODUCT($E$217:$R$217,$E$213:$R$213)</f>
        <v>185740972.527258</v>
      </c>
    </row>
    <row r="219">
      <c r="B219" s="36" t="inlineStr">
        <is>
          <t>PV @ hurdle of equity outflows</t>
        </is>
      </c>
      <c r="C219" s="117" t="inlineStr">
        <is>
          <t>ETB</t>
        </is>
      </c>
      <c r="D219" s="173">
        <f>PV_EIN_H-ENPV_H</f>
        <v>137107892.163193</v>
      </c>
    </row>
    <row r="220">
      <c r="B220" s="36" t="inlineStr">
        <is>
          <t>Rent-driven cash (rent × (1 − opex % − mgmt % − bad debt %))</t>
        </is>
      </c>
      <c r="C220" s="117" t="inlineStr">
        <is>
          <t>ETB</t>
        </is>
      </c>
      <c r="D220" s="169">
        <f>SUM(E220:R220)</f>
        <v>331186465.110232</v>
      </c>
      <c r="E220" s="173">
        <f>'24_Revenue'!E55*(1-OPEX_PCT*(OPEX_METHOD=1)-MGMT_PCT-BAD_DEBT)</f>
        <v>0</v>
      </c>
      <c r="F220" s="173">
        <f>'24_Revenue'!F55*(1-OPEX_PCT*(OPEX_METHOD=1)-MGMT_PCT-BAD_DEBT)</f>
        <v>0</v>
      </c>
      <c r="G220" s="173">
        <f>'24_Revenue'!G55*(1-OPEX_PCT*(OPEX_METHOD=1)-MGMT_PCT-BAD_DEBT)</f>
        <v>0</v>
      </c>
      <c r="H220" s="173">
        <f>'24_Revenue'!H55*(1-OPEX_PCT*(OPEX_METHOD=1)-MGMT_PCT-BAD_DEBT)</f>
        <v>0</v>
      </c>
      <c r="I220" s="173">
        <f>'24_Revenue'!I55*(1-OPEX_PCT*(OPEX_METHOD=1)-MGMT_PCT-BAD_DEBT)</f>
        <v>15430292.0417865</v>
      </c>
      <c r="J220" s="173">
        <f>'24_Revenue'!J55*(1-OPEX_PCT*(OPEX_METHOD=1)-MGMT_PCT-BAD_DEBT)</f>
        <v>22219620.5401726</v>
      </c>
      <c r="K220" s="173">
        <f>'24_Revenue'!K55*(1-OPEX_PCT*(OPEX_METHOD=1)-MGMT_PCT-BAD_DEBT)</f>
        <v>27596768.7108944</v>
      </c>
      <c r="L220" s="173">
        <f>'24_Revenue'!L55*(1-OPEX_PCT*(OPEX_METHOD=1)-MGMT_PCT-BAD_DEBT)</f>
        <v>29804510.207766</v>
      </c>
      <c r="M220" s="173">
        <f>'24_Revenue'!M55*(1-OPEX_PCT*(OPEX_METHOD=1)-MGMT_PCT-BAD_DEBT)</f>
        <v>32188871.0243872</v>
      </c>
      <c r="N220" s="173">
        <f>'24_Revenue'!N55*(1-OPEX_PCT*(OPEX_METHOD=1)-MGMT_PCT-BAD_DEBT)</f>
        <v>34763980.7063382</v>
      </c>
      <c r="O220" s="173">
        <f>'24_Revenue'!O55*(1-OPEX_PCT*(OPEX_METHOD=1)-MGMT_PCT-BAD_DEBT)</f>
        <v>37545099.1628453</v>
      </c>
      <c r="P220" s="173">
        <f>'24_Revenue'!P55*(1-OPEX_PCT*(OPEX_METHOD=1)-MGMT_PCT-BAD_DEBT)</f>
        <v>40548707.0958729</v>
      </c>
      <c r="Q220" s="173">
        <f>'24_Revenue'!Q55*(1-OPEX_PCT*(OPEX_METHOD=1)-MGMT_PCT-BAD_DEBT)</f>
        <v>43792603.6635427</v>
      </c>
      <c r="R220" s="173">
        <f>'24_Revenue'!R55*(1-OPEX_PCT*(OPEX_METHOD=1)-MGMT_PCT-BAD_DEBT)</f>
        <v>47296011.9566262</v>
      </c>
    </row>
    <row r="221">
      <c r="B221" s="36" t="inlineStr">
        <is>
          <t>Occupancy multiplier needed for DSCR = covenant</t>
        </is>
      </c>
      <c r="C221" s="117" t="inlineStr">
        <is>
          <t>x</t>
        </is>
      </c>
      <c r="D221" s="167">
        <f>MAX(E221:R221)</f>
        <v>0.922266516431818</v>
      </c>
      <c r="E221" s="149" t="n">
        <v>0</v>
      </c>
      <c r="F221" s="149" t="n">
        <v>0</v>
      </c>
      <c r="G221" s="149" t="n">
        <v>0</v>
      </c>
      <c r="H221" s="149" t="n">
        <v>0</v>
      </c>
      <c r="I221" s="149">
        <f>IF(AND('43_Ratios'!I11&gt;0,I220&gt;0),(DSCR_COV*'43_Ratios'!I11-'43_Ratios'!I10+I220)/I220,0)</f>
        <v>-3.63488600635467</v>
      </c>
      <c r="J221" s="149">
        <f>IF(AND('43_Ratios'!J11&gt;0,J220&gt;0),(DSCR_COV*'43_Ratios'!J11-'43_Ratios'!J10+J220)/J220,0)</f>
        <v>-1.82691280779055</v>
      </c>
      <c r="K221" s="149">
        <f>IF(AND('43_Ratios'!K11&gt;0,K220&gt;0),(DSCR_COV*'43_Ratios'!K11-'43_Ratios'!K10+K220)/K220,0)</f>
        <v>0.922266516431818</v>
      </c>
      <c r="L221" s="149">
        <f>IF(AND('43_Ratios'!L11&gt;0,L220&gt;0),(DSCR_COV*'43_Ratios'!L11-'43_Ratios'!L10+L220)/L220,0)</f>
        <v>0.733588449759479</v>
      </c>
      <c r="M221" s="149">
        <f>IF(AND('43_Ratios'!M11&gt;0,M220&gt;0),(DSCR_COV*'43_Ratios'!M11-'43_Ratios'!M10+M220)/M220,0)</f>
        <v>0.704348133103536</v>
      </c>
      <c r="N221" s="149">
        <f>IF(AND('43_Ratios'!N11&gt;0,N220&gt;0),(DSCR_COV*'43_Ratios'!N11-'43_Ratios'!N10+N220)/N220,0)</f>
        <v>0.676293018135935</v>
      </c>
      <c r="O221" s="149">
        <f>IF(AND('43_Ratios'!O11&gt;0,O220&gt;0),(DSCR_COV*'43_Ratios'!O11-'43_Ratios'!O10+O220)/O220,0)</f>
        <v>0.632724470740141</v>
      </c>
      <c r="P221" s="149">
        <f>IF(AND('43_Ratios'!P11&gt;0,P220&gt;0),(DSCR_COV*'43_Ratios'!P11-'43_Ratios'!P10+P220)/P220,0)</f>
        <v>0.609194573471054</v>
      </c>
      <c r="Q221" s="149">
        <f>IF(AND('43_Ratios'!Q11&gt;0,Q220&gt;0),(DSCR_COV*'43_Ratios'!Q11-'43_Ratios'!Q10+Q220)/Q220,0)</f>
        <v>0.587565104703134</v>
      </c>
      <c r="R221" s="149">
        <f>IF(AND('43_Ratios'!R11&gt;0,R220&gt;0),(DSCR_COV*'43_Ratios'!R11-'43_Ratios'!R10+R220)/R220,0)</f>
        <v>0.567561727622425</v>
      </c>
    </row>
    <row r="222">
      <c r="B222" s="36" t="inlineStr">
        <is>
          <t>Binding occupancy multiplier</t>
        </is>
      </c>
      <c r="C222" s="117" t="inlineStr">
        <is>
          <t>x</t>
        </is>
      </c>
      <c r="D222" s="149">
        <f>MAX(0,$D$221)</f>
        <v>0.922266516431818</v>
      </c>
    </row>
    <row r="223">
      <c r="B223" s="36" t="inlineStr">
        <is>
          <t>Rate at which DSCR = covenant (by year)</t>
        </is>
      </c>
      <c r="C223" s="117" t="inlineStr">
        <is>
          <t>%</t>
        </is>
      </c>
      <c r="D223" s="229">
        <f>MIN(E223:R223)</f>
        <v>0.225732110814313</v>
      </c>
      <c r="E223" s="153" t="n">
        <v>99</v>
      </c>
      <c r="F223" s="153" t="n">
        <v>99</v>
      </c>
      <c r="G223" s="153" t="n">
        <v>99</v>
      </c>
      <c r="H223" s="153" t="n">
        <v>99</v>
      </c>
      <c r="I223" s="153">
        <f>IF(AND('27_Loan'!I15&gt;0,'43_Ratios'!I11&gt;0),RATE_EFF*('43_Ratios'!I10/DSCR_COV-'27_Loan'!I17)/'27_Loan'!I15,99)</f>
        <v>0.716381067061949</v>
      </c>
      <c r="J223" s="153">
        <f>IF(AND('27_Loan'!J15&gt;0,'43_Ratios'!J11&gt;0),RATE_EFF*('43_Ratios'!J10/DSCR_COV-'27_Loan'!J17)/'27_Loan'!J15,99)</f>
        <v>1.0569080985163</v>
      </c>
      <c r="K223" s="153">
        <f>IF(AND('27_Loan'!K15&gt;0,'43_Ratios'!K11&gt;0),RATE_EFF*('43_Ratios'!K10/DSCR_COV-'27_Loan'!K17)/'27_Loan'!K15,99)</f>
        <v>0.225732110814313</v>
      </c>
      <c r="L223" s="153">
        <f>IF(AND('27_Loan'!L15&gt;0,'43_Ratios'!L11&gt;0),RATE_EFF*('43_Ratios'!L10/DSCR_COV-'27_Loan'!L17)/'27_Loan'!L15,99)</f>
        <v>0.453572780368581</v>
      </c>
      <c r="M223" s="153">
        <f>IF(AND('27_Loan'!M15&gt;0,'43_Ratios'!M11&gt;0),RATE_EFF*('43_Ratios'!M10/DSCR_COV-'27_Loan'!M17)/'27_Loan'!M15,99)</f>
        <v>0.552537640856103</v>
      </c>
      <c r="N223" s="153">
        <f>IF(AND('27_Loan'!N15&gt;0,'43_Ratios'!N11&gt;0),RATE_EFF*('43_Ratios'!N10/DSCR_COV-'27_Loan'!N17)/'27_Loan'!N15,99)</f>
        <v>0.692890180247761</v>
      </c>
      <c r="O223" s="153">
        <f>IF(AND('27_Loan'!O15&gt;0,'43_Ratios'!O11&gt;0),RATE_EFF*('43_Ratios'!O10/DSCR_COV-'27_Loan'!O17)/'27_Loan'!O15,99)</f>
        <v>0.944630338560649</v>
      </c>
      <c r="P223" s="153">
        <f>IF(AND('27_Loan'!P15&gt;0,'43_Ratios'!P11&gt;0),RATE_EFF*('43_Ratios'!P10/DSCR_COV-'27_Loan'!P17)/'27_Loan'!P15,99)</f>
        <v>1.32885965232837</v>
      </c>
      <c r="Q223" s="153">
        <f>IF(AND('27_Loan'!Q15&gt;0,'43_Ratios'!Q11&gt;0),RATE_EFF*('43_Ratios'!Q10/DSCR_COV-'27_Loan'!Q17)/'27_Loan'!Q15,99)</f>
        <v>2.17687948526152</v>
      </c>
      <c r="R223" s="153">
        <f>IF(AND('27_Loan'!R15&gt;0,'43_Ratios'!R11&gt;0),RATE_EFF*('43_Ratios'!R10/DSCR_COV-'27_Loan'!R17)/'27_Loan'!R15,99)</f>
        <v>5.73689409521008</v>
      </c>
    </row>
    <row r="224">
      <c r="B224" s="36" t="inlineStr">
        <is>
          <t>Binding break-even rate</t>
        </is>
      </c>
      <c r="C224" s="117" t="inlineStr">
        <is>
          <t>%</t>
        </is>
      </c>
      <c r="D224" s="153">
        <f>IF($D$223=99,0,MAX(0,$D$223))</f>
        <v>0.225732110814313</v>
      </c>
    </row>
  </sheetData>
  <conditionalFormatting sqref="B5:P5">
    <cfRule type="expression" priority="1" dxfId="7">
      <formula>PROJECT_MODE=0</formula>
    </cfRule>
  </conditionalFormatting>
  <conditionalFormatting sqref="D92:H96">
    <cfRule type="cellIs" priority="2" operator="greaterThanOrEqual" dxfId="10">
      <formula>HURDLE</formula>
    </cfRule>
    <cfRule type="cellIs" priority="3" operator="lessThan" dxfId="7">
      <formula>HURDLE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J43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58" customWidth="1" min="2" max="2"/>
    <col width="10" customWidth="1" min="3" max="3"/>
    <col width="16" customWidth="1" min="4" max="4"/>
    <col width="11" customWidth="1" min="5" max="5"/>
    <col width="12" customWidth="1" min="6" max="6"/>
  </cols>
  <sheetData>
    <row r="1" ht="30" customHeight="1">
      <c r="A1" s="1" t="n"/>
      <c r="B1" s="2" t="inlineStr">
        <is>
          <t>60 · Checks</t>
        </is>
      </c>
      <c r="C1" s="1" t="n"/>
      <c r="D1" s="1" t="n"/>
      <c r="E1" s="1" t="n"/>
      <c r="F1" s="3" t="str">
        <f>HYPERLINK("#'00_Start'!A1","◂ Start")</f>
        <v>◂ Start</v>
      </c>
    </row>
    <row r="2" ht="20" customHeight="1">
      <c r="A2" s="1" t="n"/>
      <c r="B2" s="4" t="inlineStr">
        <is>
          <t>ማረጋገጫዎች</t>
        </is>
      </c>
      <c r="C2" s="1" t="n"/>
      <c r="D2" s="1" t="n"/>
      <c r="E2" s="1" t="n"/>
      <c r="F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  <c r="E3" s="1" t="n"/>
      <c r="F3" s="1" t="n"/>
    </row>
    <row r="4" ht="4" customHeight="1">
      <c r="A4" s="6" t="n"/>
      <c r="B4" s="6" t="n"/>
      <c r="C4" s="6" t="n"/>
      <c r="D4" s="6" t="n"/>
      <c r="E4" s="6" t="n"/>
      <c r="F4" s="6" t="n"/>
    </row>
    <row r="10" ht="20" customHeight="1">
      <c r="B10" s="113" t="inlineStr">
        <is>
          <t>Model integrity checks – all must PASS; warnings are advisory</t>
        </is>
      </c>
      <c r="C10" s="37" t="inlineStr">
        <is>
          <t>የሞዴል ማረጋገጫዎች</t>
        </is>
      </c>
      <c r="D10" s="115" t="n"/>
      <c r="E10" s="115" t="n"/>
      <c r="F10" s="115" t="n"/>
      <c r="G10" s="115" t="n"/>
      <c r="H10" s="115" t="n"/>
      <c r="I10" s="115" t="n"/>
      <c r="J10" s="115" t="n"/>
    </row>
    <row r="11">
      <c r="B11" s="177" t="inlineStr">
        <is>
          <t>Check</t>
        </is>
      </c>
      <c r="C11" s="177" t="inlineStr">
        <is>
          <t>Type</t>
        </is>
      </c>
      <c r="D11" s="177" t="inlineStr">
        <is>
          <t>Value</t>
        </is>
      </c>
      <c r="E11" s="177" t="inlineStr">
        <is>
          <t>Tolerance</t>
        </is>
      </c>
      <c r="F11" s="177" t="inlineStr">
        <is>
          <t>Status</t>
        </is>
      </c>
    </row>
    <row r="12">
      <c r="B12" s="36" t="inlineStr">
        <is>
          <t>C01  Balance sheet balances every year</t>
        </is>
      </c>
      <c r="C12" s="117" t="inlineStr">
        <is>
          <t>Error</t>
        </is>
      </c>
      <c r="D12" s="226">
        <f>MAX(MAX('41_BS'!$E$41:$R$41),-MIN('41_BS'!$E$41:$R$41))</f>
        <v>0</v>
      </c>
      <c r="E12" s="226" t="n">
        <v>1</v>
      </c>
      <c r="F12" s="230" t="str">
        <f>IF(ABS(D12)&lt;=E12,"PASS",IF(C12="Warning","WARN","FAIL"))</f>
        <v>PASS</v>
      </c>
    </row>
    <row r="13">
      <c r="B13" s="36" t="inlineStr">
        <is>
          <t>C02  Cash-flow closing cash = balance-sheet cash</t>
        </is>
      </c>
      <c r="C13" s="117" t="inlineStr">
        <is>
          <t>Error</t>
        </is>
      </c>
      <c r="D13" s="226">
        <f>SUMPRODUCT(ABS('42_CF'!$E$46:$R$46-'41_BS'!$E$20:$R$20))</f>
        <v>0</v>
      </c>
      <c r="E13" s="226" t="n">
        <v>1</v>
      </c>
      <c r="F13" s="230" t="str">
        <f>IF(ABS(D13)&lt;=E13,"PASS",IF(C13="Warning","WARN","FAIL"))</f>
        <v>PASS</v>
      </c>
    </row>
    <row r="14">
      <c r="B14" s="36" t="inlineStr">
        <is>
          <t>C03  Sources = uses (monthly funding waterfall)</t>
        </is>
      </c>
      <c r="C14" s="117" t="inlineStr">
        <is>
          <t>Error</t>
        </is>
      </c>
      <c r="D14" s="226">
        <f>ABS(SRC_DIFF)</f>
        <v>0</v>
      </c>
      <c r="E14" s="226" t="n">
        <v>1</v>
      </c>
      <c r="F14" s="230" t="str">
        <f>IF(ABS(D14)&lt;=E14,"PASS",IF(C14="Warning","WARN","FAIL"))</f>
        <v>PASS</v>
      </c>
    </row>
    <row r="15">
      <c r="B15" s="36" t="inlineStr">
        <is>
          <t>C04  TDC = monthly capex accrual; cost categories sum to TDC</t>
        </is>
      </c>
      <c r="C15" s="117" t="inlineStr">
        <is>
          <t>Error</t>
        </is>
      </c>
      <c r="D15" s="226">
        <f>ABS(TDC_DIFF)+ABS(CAT_TOT-TDC)</f>
        <v>0</v>
      </c>
      <c r="E15" s="226" t="n">
        <v>1</v>
      </c>
      <c r="F15" s="230" t="str">
        <f>IF(ABS(D15)&lt;=E15,"PASS",IF(C15="Warning","WARN","FAIL"))</f>
        <v>PASS</v>
      </c>
    </row>
    <row r="16">
      <c r="B16" s="36" t="inlineStr">
        <is>
          <t>C05  Capex fully allocated across IAS 2 / 40 / 16</t>
        </is>
      </c>
      <c r="C16" s="117" t="inlineStr">
        <is>
          <t>Error</t>
        </is>
      </c>
      <c r="D16" s="226">
        <f>ABS(ALLOC_DIFF)+ABS(SHARE_SUM-1)*1000</f>
        <v>0</v>
      </c>
      <c r="E16" s="226" t="n">
        <v>1</v>
      </c>
      <c r="F16" s="230" t="str">
        <f>IF(ABS(D16)&lt;=E16,"PASS",IF(C16="Warning","WARN","FAIL"))</f>
        <v>PASS</v>
      </c>
    </row>
    <row r="17">
      <c r="B17" s="36" t="inlineStr">
        <is>
          <t>C06  Loan fully repaid within tenor</t>
        </is>
      </c>
      <c r="C17" s="117" t="inlineStr">
        <is>
          <t>Error</t>
        </is>
      </c>
      <c r="D17" s="226">
        <f>ABS(LN_BAL_TENOR)</f>
        <v>0</v>
      </c>
      <c r="E17" s="226" t="n">
        <v>1</v>
      </c>
      <c r="F17" s="230" t="str">
        <f>IF(ABS(D17)&lt;=E17,"PASS",IF(C17="Warning","WARN","FAIL"))</f>
        <v>PASS</v>
      </c>
    </row>
    <row r="18">
      <c r="B18" s="36" t="inlineStr">
        <is>
          <t>C07  Σ principal repaid = debt drawn + capitalised interest</t>
        </is>
      </c>
      <c r="C18" s="117" t="inlineStr">
        <is>
          <t>Error</t>
        </is>
      </c>
      <c r="D18" s="226">
        <f>ABS(LN_PRIN_TOT-LN_DRAWS-LN_CAPINT)</f>
        <v>0</v>
      </c>
      <c r="E18" s="226" t="n">
        <v>1</v>
      </c>
      <c r="F18" s="230" t="str">
        <f>IF(ABS(D18)&lt;=E18,"PASS",IF(C18="Warning","WARN","FAIL"))</f>
        <v>PASS</v>
      </c>
    </row>
    <row r="19">
      <c r="B19" s="36" t="inlineStr">
        <is>
          <t>C08  Inventory fully released by final sale (end O10)</t>
        </is>
      </c>
      <c r="C19" s="117" t="inlineStr">
        <is>
          <t>Error</t>
        </is>
      </c>
      <c r="D19" s="226">
        <f>ABS('26_Assets'!$R$33)</f>
        <v>0</v>
      </c>
      <c r="E19" s="226" t="n">
        <v>1</v>
      </c>
      <c r="F19" s="230" t="str">
        <f>IF(ABS(D19)&lt;=E19,"PASS",IF(C19="Warning","WARN","FAIL"))</f>
        <v>PASS</v>
      </c>
    </row>
    <row r="20">
      <c r="B20" s="36" t="inlineStr">
        <is>
          <t>C09  Contract liabilities / assets unwind to zero (end O10)</t>
        </is>
      </c>
      <c r="C20" s="117" t="inlineStr">
        <is>
          <t>Error</t>
        </is>
      </c>
      <c r="D20" s="226">
        <f>ABS('24_Revenue'!$R$48)</f>
        <v>0</v>
      </c>
      <c r="E20" s="226" t="n">
        <v>1</v>
      </c>
      <c r="F20" s="230" t="str">
        <f>IF(ABS(D20)&lt;=E20,"PASS",IF(C20="Warning","WARN","FAIL"))</f>
        <v>PASS</v>
      </c>
    </row>
    <row r="21">
      <c r="B21" s="36" t="inlineStr">
        <is>
          <t>C10  Land not depreciated (cum. depreciation ≤ depreciable base)</t>
        </is>
      </c>
      <c r="C21" s="117" t="inlineStr">
        <is>
          <t>Error</t>
        </is>
      </c>
      <c r="D21" s="226">
        <f>MAX(0,'26_Assets'!$R$25-(BASE_STR+BASE_SYS+BASE_FFE))</f>
        <v>0</v>
      </c>
      <c r="E21" s="226" t="n">
        <v>1</v>
      </c>
      <c r="F21" s="230" t="str">
        <f>IF(ABS(D21)&lt;=E21,"PASS",IF(C21="Warning","WARN","FAIL"))</f>
        <v>PASS</v>
      </c>
    </row>
    <row r="22">
      <c r="B22" s="36" t="inlineStr">
        <is>
          <t>C11  Areas reconcile (floors = uses)</t>
        </is>
      </c>
      <c r="C22" s="117" t="inlineStr">
        <is>
          <t>Error</t>
        </is>
      </c>
      <c r="D22" s="226">
        <f>ABS(AREA_DIFF)</f>
        <v>0</v>
      </c>
      <c r="E22" s="226" t="n">
        <v>0.5</v>
      </c>
      <c r="F22" s="230" t="str">
        <f>IF(ABS(D22)&lt;=E22,"PASS",IF(C22="Warning","WARN","FAIL"))</f>
        <v>PASS</v>
      </c>
    </row>
    <row r="23">
      <c r="B23" s="36" t="inlineStr">
        <is>
          <t>C12  Tax losses never negative</t>
        </is>
      </c>
      <c r="C23" s="117" t="inlineStr">
        <is>
          <t>Error</t>
        </is>
      </c>
      <c r="D23" s="226">
        <f>'28_Tax'!$D$72</f>
        <v>0</v>
      </c>
      <c r="E23" s="226" t="n">
        <v>0.5</v>
      </c>
      <c r="F23" s="230" t="str">
        <f>IF(ABS(D23)&lt;=E23,"PASS",IF(C23="Warning","WARN","FAIL"))</f>
        <v>PASS</v>
      </c>
    </row>
    <row r="24">
      <c r="B24" s="36" t="inlineStr">
        <is>
          <t>C13  Scenario, mode, data set and units switches valid</t>
        </is>
      </c>
      <c r="C24" s="117" t="inlineStr">
        <is>
          <t>Error</t>
        </is>
      </c>
      <c r="D24" s="226">
        <f>IF(AND(SCEN&gt;=1,SCEN&lt;=4,PROJECT_MODE&gt;=0,PROJECT_MODE&lt;=3,DATA_SET&gt;=1,DATA_SET&lt;=3,UNIT_SEL&gt;=1,UNIT_SEL&lt;=3),0,1)</f>
        <v>0</v>
      </c>
      <c r="E24" s="226" t="n">
        <v>0.5</v>
      </c>
      <c r="F24" s="230" t="str">
        <f>IF(ABS(D24)&lt;=E24,"PASS",IF(C24="Warning","WARN","FAIL"))</f>
        <v>PASS</v>
      </c>
    </row>
    <row r="25">
      <c r="B25" s="36" t="inlineStr">
        <is>
          <t>C14  No formula errors anywhere (REF, DIV/0, N/A, VALUE – ISERROR scan)</t>
        </is>
      </c>
      <c r="C25" s="117" t="inlineStr">
        <is>
          <t>Error</t>
        </is>
      </c>
      <c r="D25" s="226">
        <f>SUMPRODUCT(--ISERROR('10_Inputs'!$A$1:$T$260))+SUMPRODUCT(--ISERROR('11_Scenarios'!$A$1:$T$54))+SUMPRODUCT(--ISERROR('12_TaxLaw'!$A$1:$T$36))+SUMPRODUCT(--ISERROR('20_Timeline'!$A$1:$T$49))+SUMPRODUCT(--ISERROR('21_Area'!$A$1:$T$64))+SUMPRODUCT(--ISERROR('22_Capex'!$A$1:$T$99))+SUMPRODUCT(--ISERROR('23_Construction'!$A$1:$AZ$96))+SUMPRODUCT(--ISERROR('24_Revenue'!$A$1:$T$68))+SUMPRODUCT(--ISERROR('25_Opex'!$A$1:$T$27))+SUMPRODUCT(--ISERROR('26_Assets'!$A$1:$T$46))+SUMPRODUCT(--ISERROR('27_Loan'!$A$1:$KF$92))+SUMPRODUCT(--ISERROR('28_Tax'!$A$1:$T$78))+SUMPRODUCT(--ISERROR('29_VAT'!$A$1:$T$26))+SUMPRODUCT(--ISERROR('30_WorkingCap'!$A$1:$T$26))+SUMPRODUCT(--ISERROR('40_PL'!$A$1:$T$54))+SUMPRODUCT(--ISERROR('41_BS'!$A$1:$T$49))+SUMPRODUCT(--ISERROR('42_CF'!$A$1:$T$54))+SUMPRODUCT(--ISERROR('43_Ratios'!$A$1:$T$39))+SUMPRODUCT(--ISERROR('50_Returns'!$A$1:$T$63))+SUMPRODUCT(--ISERROR('51_Payback'!$A$1:$T$37))+SUMPRODUCT(--ISERROR('52_Sensitivity'!$A$1:$T$230))</f>
        <v>0</v>
      </c>
      <c r="E25" s="226" t="n">
        <v>0.5</v>
      </c>
      <c r="F25" s="230" t="str">
        <f>IF(ABS(D25)&lt;=E25,"PASS",IF(C25="Warning","WARN","FAIL"))</f>
        <v>PASS</v>
      </c>
    </row>
    <row r="26">
      <c r="B26" s="36" t="inlineStr">
        <is>
          <t>C15  Payment plan and presales ≤ 100%</t>
        </is>
      </c>
      <c r="C26" s="117" t="inlineStr">
        <is>
          <t>Error</t>
        </is>
      </c>
      <c r="D26" s="226">
        <f>MAX(0,PAY_DP+PAY_INST-1)+MAX(0,PRESALE_1+PRESALE_2+PRESALE_3+PRESALE_4-1)</f>
        <v>0</v>
      </c>
      <c r="E26" s="226" t="n">
        <v>0.0001</v>
      </c>
      <c r="F26" s="230" t="str">
        <f>IF(ABS(D26)&lt;=E26,"PASS",IF(C26="Warning","WARN","FAIL"))</f>
        <v>PASS</v>
      </c>
    </row>
    <row r="27">
      <c r="B27" s="36" t="inlineStr">
        <is>
          <t>C16  Home Estimate total = capex total used by commercial modes</t>
        </is>
      </c>
      <c r="C27" s="117" t="inlineStr">
        <is>
          <t>Error</t>
        </is>
      </c>
      <c r="D27" s="226">
        <f>ABS(HOME_TOTAL-TDC)</f>
        <v>0</v>
      </c>
      <c r="E27" s="226" t="n">
        <v>1</v>
      </c>
      <c r="F27" s="230" t="str">
        <f>IF(ABS(D27)&lt;=E27,"PASS",IF(C27="Warning","WARN","FAIL"))</f>
        <v>PASS</v>
      </c>
    </row>
    <row r="28">
      <c r="B28" s="36" t="inlineStr">
        <is>
          <t>C17  VAT account rolls forward</t>
        </is>
      </c>
      <c r="C28" s="117" t="inlineStr">
        <is>
          <t>Error</t>
        </is>
      </c>
      <c r="D28" s="226">
        <f>ABS('29_VAT'!$D$20)</f>
        <v>0</v>
      </c>
      <c r="E28" s="226" t="n">
        <v>1</v>
      </c>
      <c r="F28" s="230" t="str">
        <f>IF(ABS(D28)&lt;=E28,"PASS",IF(C28="Warning","WARN","FAIL"))</f>
        <v>PASS</v>
      </c>
    </row>
    <row r="29">
      <c r="B29" s="36" t="inlineStr">
        <is>
          <t>C18  DSCR ≥ covenant in every repayment year (commercial modes)</t>
        </is>
      </c>
      <c r="C29" s="117" t="inlineStr">
        <is>
          <t>Warning</t>
        </is>
      </c>
      <c r="D29" s="226">
        <f>IF(PROJECT_MODE=0,0,N_BREACH)</f>
        <v>0</v>
      </c>
      <c r="E29" s="226" t="n">
        <v>0.5</v>
      </c>
      <c r="F29" s="230" t="str">
        <f>IF(ABS(D29)&lt;=E29,"PASS",IF(C29="Warning","WARN","FAIL"))</f>
        <v>PASS</v>
      </c>
    </row>
    <row r="30">
      <c r="B30" s="36" t="inlineStr">
        <is>
          <t>C19  Cash never below minimum in operating years (commercial modes)</t>
        </is>
      </c>
      <c r="C30" s="117" t="inlineStr">
        <is>
          <t>Warning</t>
        </is>
      </c>
      <c r="D30" s="226">
        <f>IF(PROJECT_MODE=0,0,N_LOWCASH)</f>
        <v>0</v>
      </c>
      <c r="E30" s="226" t="n">
        <v>0.5</v>
      </c>
      <c r="F30" s="230" t="str">
        <f>IF(ABS(D30)&lt;=E30,"PASS",IF(C30="Warning","WARN","FAIL"))</f>
        <v>PASS</v>
      </c>
    </row>
    <row r="31">
      <c r="B31" s="36" t="inlineStr">
        <is>
          <t>C20  Funding gap = 0 (equity + debt + presales cover the cost)</t>
        </is>
      </c>
      <c r="C31" s="117" t="inlineStr">
        <is>
          <t>Warning</t>
        </is>
      </c>
      <c r="D31" s="226">
        <f>FUND_GAP</f>
        <v>0</v>
      </c>
      <c r="E31" s="226" t="n">
        <v>1</v>
      </c>
      <c r="F31" s="230" t="str">
        <f>IF(ABS(D31)&lt;=E31,"PASS",IF(C31="Warning","WARN","FAIL"))</f>
        <v>PASS</v>
      </c>
    </row>
    <row r="32">
      <c r="B32" s="36" t="inlineStr">
        <is>
          <t>C21  FAR within permitted limit</t>
        </is>
      </c>
      <c r="C32" s="117" t="inlineStr">
        <is>
          <t>Warning</t>
        </is>
      </c>
      <c r="D32" s="226">
        <f>IF(AND(FAR&gt;0,FAR_ACT&gt;FAR),1,0)</f>
        <v>0</v>
      </c>
      <c r="E32" s="226" t="n">
        <v>0.5</v>
      </c>
      <c r="F32" s="230" t="str">
        <f>IF(ABS(D32)&lt;=E32,"PASS",IF(C32="Warning","WARN","FAIL"))</f>
        <v>PASS</v>
      </c>
    </row>
    <row r="33">
      <c r="B33" s="36" t="inlineStr">
        <is>
          <t>C22  Building type matches the floors entered</t>
        </is>
      </c>
      <c r="C33" s="117" t="inlineStr">
        <is>
          <t>Warning</t>
        </is>
      </c>
      <c r="D33" s="226">
        <f>IF(GFA=0,0,1-BTYPE_OK)</f>
        <v>0</v>
      </c>
      <c r="E33" s="226" t="n">
        <v>0.5</v>
      </c>
      <c r="F33" s="230" t="str">
        <f>IF(ABS(D33)&lt;=E33,"PASS",IF(C33="Warning","WARN","FAIL"))</f>
        <v>PASS</v>
      </c>
    </row>
    <row r="34">
      <c r="B34" s="36" t="inlineStr">
        <is>
          <t>C23  No IAS 36 impairment indicator (commercial modes)</t>
        </is>
      </c>
      <c r="C34" s="117" t="inlineStr">
        <is>
          <t>Warning</t>
        </is>
      </c>
      <c r="D34" s="226">
        <f>IF(PROJECT_MODE=0,0,N_IMPAIR)</f>
        <v>0</v>
      </c>
      <c r="E34" s="226" t="n">
        <v>0.5</v>
      </c>
      <c r="F34" s="230" t="str">
        <f>IF(ABS(D34)&lt;=E34,"PASS",IF(C34="Warning","WARN","FAIL"))</f>
        <v>PASS</v>
      </c>
    </row>
    <row r="36">
      <c r="B36" s="141" t="inlineStr">
        <is>
          <t>Checks passed</t>
        </is>
      </c>
      <c r="D36" s="203">
        <f>COUNTIF(F12:F34,"PASS")</f>
        <v>23</v>
      </c>
    </row>
    <row r="37">
      <c r="B37" s="141" t="inlineStr">
        <is>
          <t>Errors (FAIL)</t>
        </is>
      </c>
      <c r="D37" s="203">
        <f>COUNTIF(F12:F34,"FAIL")</f>
        <v>0</v>
      </c>
    </row>
    <row r="38">
      <c r="B38" s="141" t="inlineStr">
        <is>
          <t>Warnings</t>
        </is>
      </c>
      <c r="D38" s="203">
        <f>COUNTIF(F12:F34,"WARN")</f>
        <v>0</v>
      </c>
    </row>
    <row r="39">
      <c r="B39" s="141" t="inlineStr">
        <is>
          <t>Total checks</t>
        </is>
      </c>
      <c r="D39" s="203">
        <f>ROWS(F12:F34)</f>
        <v>23</v>
      </c>
    </row>
    <row r="41">
      <c r="B41" s="141" t="inlineStr">
        <is>
          <t>Status</t>
        </is>
      </c>
      <c r="D41" s="141" t="str">
        <f>IF(CHK_FAIL&gt;0,"ERRORS – see list",IF(CHK_WARN&gt;0,"OK with warnings","ALL CHECKS PASS"))</f>
        <v>ALL CHECKS PASS</v>
      </c>
    </row>
    <row r="43">
      <c r="B43" s="8" t="inlineStr">
        <is>
          <t>How to fix common failures: C01/C02 – never type over black formula cells; C06 – increase tenor or reduce grace; C15 – payment plan or presales above 100%; C16 – recalculate (F9).</t>
        </is>
      </c>
    </row>
  </sheetData>
  <conditionalFormatting sqref="F12:F34">
    <cfRule type="cellIs" priority="1" operator="equal" dxfId="1">
      <formula>"PASS"</formula>
    </cfRule>
    <cfRule type="cellIs" priority="2" operator="equal" dxfId="2">
      <formula>"WARN"</formula>
    </cfRule>
    <cfRule type="cellIs" priority="3" operator="equal" dxfId="0">
      <formula>"FAIL"</formula>
    </cfRule>
  </conditionalFormatting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D106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4" customWidth="1" min="2" max="2"/>
    <col width="32" customWidth="1" min="3" max="3"/>
    <col width="80" customWidth="1" min="4" max="4"/>
  </cols>
  <sheetData>
    <row r="1" ht="30" customHeight="1">
      <c r="A1" s="1" t="n"/>
      <c r="B1" s="2" t="inlineStr">
        <is>
          <t>61 · Glossary (English – Amharic)</t>
        </is>
      </c>
      <c r="C1" s="1" t="n"/>
      <c r="D1" s="3" t="str">
        <f>HYPERLINK("#'00_Start'!A1","◂ Start")</f>
        <v>◂ Start</v>
      </c>
    </row>
    <row r="2" ht="20" customHeight="1">
      <c r="A2" s="1" t="n"/>
      <c r="B2" s="4" t="inlineStr">
        <is>
          <t>መዝገበ ቃላት (እንግሊዝኛ – አማርኛ)</t>
        </is>
      </c>
      <c r="C2" s="1" t="n"/>
      <c r="D2" s="1" t="n"/>
    </row>
    <row r="3" ht="18" customHeight="1">
      <c r="A3" s="1" t="n"/>
      <c r="B3" s="5" t="str">
        <f>PROJ_NAME&amp;"   |   Scenario: "&amp;SCEN_NAME&amp;"   |   Mode: "&amp;MODE_NAME</f>
        <v>SAMPLE B — B+G+8 mixed-use building, Addis Ababa   |   Scenario: Base   |   Mode: 3 Mixed</v>
      </c>
      <c r="C3" s="1" t="n"/>
      <c r="D3" s="1" t="n"/>
    </row>
    <row r="4" ht="4" customHeight="1">
      <c r="A4" s="6" t="n"/>
      <c r="B4" s="6" t="n"/>
      <c r="C4" s="6" t="n"/>
      <c r="D4" s="6" t="n"/>
    </row>
    <row r="6">
      <c r="B6" s="72" t="inlineStr">
        <is>
          <t>English term</t>
        </is>
      </c>
      <c r="C6" s="72" t="inlineStr">
        <is>
          <t>የአማርኛ ቃል</t>
        </is>
      </c>
      <c r="D6" s="72" t="inlineStr">
        <is>
          <t>ትርጉም (Meaning)</t>
        </is>
      </c>
    </row>
    <row r="7">
      <c r="B7" s="141" t="inlineStr">
        <is>
          <t>Assumption</t>
        </is>
      </c>
      <c r="C7" s="231" t="inlineStr">
        <is>
          <t>ግምት (መነሻ መረጃ)</t>
        </is>
      </c>
      <c r="D7" s="232" t="inlineStr">
        <is>
          <t>ሞዴሉ ለስሌት የሚጠቀምበት፣ እርስዎ የሚያስገቡት ቁጥር።</t>
        </is>
      </c>
    </row>
    <row r="8">
      <c r="B8" s="233" t="inlineStr">
        <is>
          <t>Input cell</t>
        </is>
      </c>
      <c r="C8" s="234" t="inlineStr">
        <is>
          <t>የግብዓት ሕዋስ</t>
        </is>
      </c>
      <c r="D8" s="235" t="inlineStr">
        <is>
          <t>በሰማያዊ ፊደልና ቀላል ቢጫ ጀርባ የተለየ፤ ሊቀየር የሚችል ሕዋስ።</t>
        </is>
      </c>
    </row>
    <row r="9">
      <c r="B9" s="141" t="inlineStr">
        <is>
          <t>Formula</t>
        </is>
      </c>
      <c r="C9" s="231" t="inlineStr">
        <is>
          <t>ቀመር</t>
        </is>
      </c>
      <c r="D9" s="232" t="inlineStr">
        <is>
          <t>በራሱ የሚሰላ ሕዋስ (ጥቁር ፊደል)፤ በእጅ አይጻፍበትም።</t>
        </is>
      </c>
    </row>
    <row r="10">
      <c r="B10" s="233" t="inlineStr">
        <is>
          <t>Cross-sheet link</t>
        </is>
      </c>
      <c r="C10" s="234" t="inlineStr">
        <is>
          <t>የሌላ ገጽ ማገናኛ</t>
        </is>
      </c>
      <c r="D10" s="235" t="inlineStr">
        <is>
          <t>ከሌላ ገጽ ቁጥር የሚያመጣ ቀመር (አረንጓዴ ፊደል)።</t>
        </is>
      </c>
    </row>
    <row r="11">
      <c r="B11" s="141" t="inlineStr">
        <is>
          <t>Scenario</t>
        </is>
      </c>
      <c r="C11" s="231" t="inlineStr">
        <is>
          <t>ሁኔታ (ሴናሪዮ)</t>
        </is>
      </c>
      <c r="D11" s="232" t="inlineStr">
        <is>
          <t>መሠረታዊ፣ ብሩህ፣ አስቸጋሪና የባንክ ሁኔታዎች — የተለያዩ ግምቶች ስብስብ።</t>
        </is>
      </c>
    </row>
    <row r="12">
      <c r="B12" s="233" t="inlineStr">
        <is>
          <t>Flex cell</t>
        </is>
      </c>
      <c r="C12" s="234" t="inlineStr">
        <is>
          <t>የማስተካከያ ሕዋስ</t>
        </is>
      </c>
      <c r="D12" s="235" t="inlineStr">
        <is>
          <t>አንድን ግምት በመቶኛ ከፍ ወይም ዝቅ አድርጎ ውጤቱን ለማየት።</t>
        </is>
      </c>
    </row>
    <row r="13">
      <c r="B13" s="141" t="inlineStr">
        <is>
          <t>Sensitivity analysis</t>
        </is>
      </c>
      <c r="C13" s="231" t="inlineStr">
        <is>
          <t>የተጽዕኖ ትንተና</t>
        </is>
      </c>
      <c r="D13" s="232" t="inlineStr">
        <is>
          <t>አንድ ግምት ሲቀየር ውጤቱ ምን ያህል እንደሚለወጥ ማሳያ።</t>
        </is>
      </c>
    </row>
    <row r="14">
      <c r="B14" s="233" t="inlineStr">
        <is>
          <t>Data Table</t>
        </is>
      </c>
      <c r="C14" s="234" t="inlineStr">
        <is>
          <t>የመረጃ ሰንጠረዥ (Data Table)</t>
        </is>
      </c>
      <c r="D14" s="235" t="inlineStr">
        <is>
          <t>የExcel መሣሪያ፤ ለብዙ ዋጋዎች ውጤቱን በአንድ ጊዜ ያሰላል።</t>
        </is>
      </c>
    </row>
    <row r="15">
      <c r="B15" s="141" t="inlineStr">
        <is>
          <t>Tornado chart</t>
        </is>
      </c>
      <c r="C15" s="231" t="inlineStr">
        <is>
          <t>የቶርኔዶ ሰንጠረዥ</t>
        </is>
      </c>
      <c r="D15" s="232" t="inlineStr">
        <is>
          <t>የትኛው ግምት ውጤቱን በብዛት እንደሚያናውጥ በቅደም ተከተል የሚያሳይ።</t>
        </is>
      </c>
    </row>
    <row r="16">
      <c r="B16" s="233" t="inlineStr">
        <is>
          <t>Break-even</t>
        </is>
      </c>
      <c r="C16" s="234" t="inlineStr">
        <is>
          <t>የሚዛን ነጥብ</t>
        </is>
      </c>
      <c r="D16" s="235" t="inlineStr">
        <is>
          <t>ትርፍም ኪሳራም የማይኖርበት ወይም ገደቡ የሚደረስበት ዋጋ።</t>
        </is>
      </c>
    </row>
    <row r="17">
      <c r="B17" s="141" t="inlineStr">
        <is>
          <t>Capex</t>
        </is>
      </c>
      <c r="C17" s="231" t="inlineStr">
        <is>
          <t>የካፒታል ወጪ</t>
        </is>
      </c>
      <c r="D17" s="232" t="inlineStr">
        <is>
          <t>ሕንፃውን ለመገንባት የሚወጣ ጠቅላላ ወጪ።</t>
        </is>
      </c>
    </row>
    <row r="18">
      <c r="B18" s="233" t="inlineStr">
        <is>
          <t>Hard cost</t>
        </is>
      </c>
      <c r="C18" s="234" t="inlineStr">
        <is>
          <t>ቀጥተኛ የግንባታ ወጪ</t>
        </is>
      </c>
      <c r="D18" s="235" t="inlineStr">
        <is>
          <t>ለግንባታ ሥራ፣ ለዕቃና ለሠራተኛ የሚከፈል ወጪ።</t>
        </is>
      </c>
    </row>
    <row r="19">
      <c r="B19" s="141" t="inlineStr">
        <is>
          <t>Soft cost</t>
        </is>
      </c>
      <c r="C19" s="231" t="inlineStr">
        <is>
          <t>ቀጥተኛ ያልሆነ ወጪ</t>
        </is>
      </c>
      <c r="D19" s="232" t="inlineStr">
        <is>
          <t>ዲዛይን፣ ቁጥጥር፣ ፈቃድና መሰል ክፍያዎች።</t>
        </is>
      </c>
    </row>
    <row r="20">
      <c r="B20" s="233" t="inlineStr">
        <is>
          <t>Contingency</t>
        </is>
      </c>
      <c r="C20" s="234" t="inlineStr">
        <is>
          <t>ያልተጠበቀ ወጪ መጠባበቂያ</t>
        </is>
      </c>
      <c r="D20" s="235" t="inlineStr">
        <is>
          <t>ላልታሰቡ ችግሮች የሚያዝ ተጨማሪ በጀት።</t>
        </is>
      </c>
    </row>
    <row r="21">
      <c r="B21" s="141" t="inlineStr">
        <is>
          <t>Escalation</t>
        </is>
      </c>
      <c r="C21" s="231" t="inlineStr">
        <is>
          <t>የዋጋ ጭማሪ</t>
        </is>
      </c>
      <c r="D21" s="232" t="inlineStr">
        <is>
          <t>በጊዜ ሂደት የግንባታ ዕቃና የሠራተኛ ዋጋ መጨመር።</t>
        </is>
      </c>
    </row>
    <row r="22">
      <c r="B22" s="233" t="inlineStr">
        <is>
          <t>Bill of Quantities (BOQ)</t>
        </is>
      </c>
      <c r="C22" s="234" t="inlineStr">
        <is>
          <t>የሥራ መጠን ዝርዝር (BOQ)</t>
        </is>
      </c>
      <c r="D22" s="235" t="inlineStr">
        <is>
          <t>የእያንዳንዱ ሥራ መጠንና ዋጋ ዝርዝር ሰነድ።</t>
        </is>
      </c>
    </row>
    <row r="23">
      <c r="B23" s="141" t="inlineStr">
        <is>
          <t>Elemental cost plan</t>
        </is>
      </c>
      <c r="C23" s="231" t="inlineStr">
        <is>
          <t>በክፍል የተከፋፈለ የወጪ ዕቅድ</t>
        </is>
      </c>
      <c r="D23" s="232" t="inlineStr">
        <is>
          <t>ወጪን በመሠረት፣ በፍሬም፣ በማጠናቀቂያ ወዘተ መከፋፈል።</t>
        </is>
      </c>
    </row>
    <row r="24">
      <c r="B24" s="233" t="inlineStr">
        <is>
          <t>Cost index</t>
        </is>
      </c>
      <c r="C24" s="234" t="inlineStr">
        <is>
          <t>የግንባታ ዋጋ ኢንዴክስ</t>
        </is>
      </c>
      <c r="D24" s="235" t="inlineStr">
        <is>
          <t>የግንባታ ዋጋ ለውጥን በጊዜ የሚከታተል ቁጥር (ለምሳሌ የራፋ ኢንዴክስ)።</t>
        </is>
      </c>
    </row>
    <row r="25">
      <c r="B25" s="141" t="inlineStr">
        <is>
          <t>S-curve</t>
        </is>
      </c>
      <c r="C25" s="231" t="inlineStr">
        <is>
          <t>የወጪ ስርጭት ኩርባ (S-ኩርባ)</t>
        </is>
      </c>
      <c r="D25" s="232" t="inlineStr">
        <is>
          <t>ወጪ በመጀመሪያና በመጨረሻ ዝግ፣ በመሃል ፈጣን መሆኑን የሚያሳይ።</t>
        </is>
      </c>
    </row>
    <row r="26">
      <c r="B26" s="233" t="inlineStr">
        <is>
          <t>Gross floor area (GFA)</t>
        </is>
      </c>
      <c r="C26" s="234" t="inlineStr">
        <is>
          <t>ጠቅላላ የወለል ስፋት</t>
        </is>
      </c>
      <c r="D26" s="235" t="inlineStr">
        <is>
          <t>የሁሉም ፎቆች ስፋት ድምር (ግድግዳና የጋራ ቦታን ጨምሮ)።</t>
        </is>
      </c>
    </row>
    <row r="27">
      <c r="B27" s="141" t="inlineStr">
        <is>
          <t>Net area</t>
        </is>
      </c>
      <c r="C27" s="231" t="inlineStr">
        <is>
          <t>የተጣራ ስፋት</t>
        </is>
      </c>
      <c r="D27" s="232" t="inlineStr">
        <is>
          <t>ሊሸጥ ወይም ሊከራይ የሚችል ስፋት ብቻ።</t>
        </is>
      </c>
    </row>
    <row r="28">
      <c r="B28" s="233" t="inlineStr">
        <is>
          <t>Net-to-gross efficiency</t>
        </is>
      </c>
      <c r="C28" s="234" t="inlineStr">
        <is>
          <t>የተጣራ-ለጠቅላላ ጥምርታ</t>
        </is>
      </c>
      <c r="D28" s="235" t="inlineStr">
        <is>
          <t>የተጣራ ስፋት ከጠቅላላ ስፋት ያለው ድርሻ።</t>
        </is>
      </c>
    </row>
    <row r="29">
      <c r="B29" s="141" t="inlineStr">
        <is>
          <t>Floor-area ratio (FAR)</t>
        </is>
      </c>
      <c r="C29" s="231" t="inlineStr">
        <is>
          <t>የወለል ስፋት ጥምርታ</t>
        </is>
      </c>
      <c r="D29" s="232" t="inlineStr">
        <is>
          <t>ከመሬት በላይ ያለ ጠቅላላ ስፋት ለቦታው ስፋት ሲካፈል።</t>
        </is>
      </c>
    </row>
    <row r="30">
      <c r="B30" s="233" t="inlineStr">
        <is>
          <t>Presale</t>
        </is>
      </c>
      <c r="C30" s="234" t="inlineStr">
        <is>
          <t>ቅድመ-ሽያጭ</t>
        </is>
      </c>
      <c r="D30" s="235" t="inlineStr">
        <is>
          <t>ግንባታው ሳያልቅ ቤት ወይም ሱቅ መሸጥ።</t>
        </is>
      </c>
    </row>
    <row r="31">
      <c r="B31" s="141" t="inlineStr">
        <is>
          <t>Payment plan</t>
        </is>
      </c>
      <c r="C31" s="231" t="inlineStr">
        <is>
          <t>የክፍያ ዕቅድ</t>
        </is>
      </c>
      <c r="D31" s="232" t="inlineStr">
        <is>
          <t>ገዢው ቅድመ ክፍያ፣ በሂደት ክፍያና በርክክብ ቀሪውን የሚከፍልበት ቅደም ተከተል።</t>
        </is>
      </c>
    </row>
    <row r="32">
      <c r="B32" s="233" t="inlineStr">
        <is>
          <t>Down payment</t>
        </is>
      </c>
      <c r="C32" s="234" t="inlineStr">
        <is>
          <t>ቅድመ ክፍያ</t>
        </is>
      </c>
      <c r="D32" s="235" t="inlineStr">
        <is>
          <t>ውል ሲፈረም የሚከፈል የመጀመሪያ ገንዘብ።</t>
        </is>
      </c>
    </row>
    <row r="33">
      <c r="B33" s="141" t="inlineStr">
        <is>
          <t>Handover</t>
        </is>
      </c>
      <c r="C33" s="231" t="inlineStr">
        <is>
          <t>ርክክብ</t>
        </is>
      </c>
      <c r="D33" s="232" t="inlineStr">
        <is>
          <t>ግንባታው ሲያልቅ ቤቱን ለገዢው ማስረከብ።</t>
        </is>
      </c>
    </row>
    <row r="34">
      <c r="B34" s="233" t="inlineStr">
        <is>
          <t>Sales absorption</t>
        </is>
      </c>
      <c r="C34" s="234" t="inlineStr">
        <is>
          <t>የሽያጭ ፍጥነት</t>
        </is>
      </c>
      <c r="D34" s="235" t="inlineStr">
        <is>
          <t>ከግንባታ በኋላ በየዓመቱ የሚሸጠው ድርሻ።</t>
        </is>
      </c>
    </row>
    <row r="35">
      <c r="B35" s="141" t="inlineStr">
        <is>
          <t>Occupancy</t>
        </is>
      </c>
      <c r="C35" s="231" t="inlineStr">
        <is>
          <t>የተያዘ መጠን</t>
        </is>
      </c>
      <c r="D35" s="232" t="inlineStr">
        <is>
          <t>ከሚከራየው ቦታ በተከራይ የተያዘው ድርሻ።</t>
        </is>
      </c>
    </row>
    <row r="36">
      <c r="B36" s="233" t="inlineStr">
        <is>
          <t>Key money</t>
        </is>
      </c>
      <c r="C36" s="234" t="inlineStr">
        <is>
          <t>የቁልፍ ገንዘብ</t>
        </is>
      </c>
      <c r="D36" s="235" t="inlineStr">
        <is>
          <t>ተከራይ ሲገባ በቅድሚያ የሚከፍለው ተጨማሪ ገንዘብ።</t>
        </is>
      </c>
    </row>
    <row r="37">
      <c r="B37" s="141" t="inlineStr">
        <is>
          <t>Service charge</t>
        </is>
      </c>
      <c r="C37" s="231" t="inlineStr">
        <is>
          <t>የአገልግሎት ክፍያ</t>
        </is>
      </c>
      <c r="D37" s="232" t="inlineStr">
        <is>
          <t>ተከራዮች ለጋራ አገልግሎቶች የሚከፍሉት።</t>
        </is>
      </c>
    </row>
    <row r="38">
      <c r="B38" s="233" t="inlineStr">
        <is>
          <t>Bad debt</t>
        </is>
      </c>
      <c r="C38" s="234" t="inlineStr">
        <is>
          <t>የማይሰበሰብ ዕዳ</t>
        </is>
      </c>
      <c r="D38" s="235" t="inlineStr">
        <is>
          <t>ተከራዮች ሳይከፍሉ የሚቀር ኪራይ።</t>
        </is>
      </c>
    </row>
    <row r="39">
      <c r="B39" s="141" t="inlineStr">
        <is>
          <t>Operating costs (opex)</t>
        </is>
      </c>
      <c r="C39" s="231" t="inlineStr">
        <is>
          <t>የሥራ ማስኬጃ ወጪ</t>
        </is>
      </c>
      <c r="D39" s="232" t="inlineStr">
        <is>
          <t>ሕንፃውን ለማስተዳደር በየዓመቱ የሚወጣ ወጪ።</t>
        </is>
      </c>
    </row>
    <row r="40">
      <c r="B40" s="233" t="inlineStr">
        <is>
          <t>Net operating income (NOI)</t>
        </is>
      </c>
      <c r="C40" s="234" t="inlineStr">
        <is>
          <t>የተጣራ የሥራ ገቢ</t>
        </is>
      </c>
      <c r="D40" s="235" t="inlineStr">
        <is>
          <t>የኪራይ ገቢ ከሥራ ማስኬጃ ወጪ በኋላ።</t>
        </is>
      </c>
    </row>
    <row r="41">
      <c r="B41" s="141" t="inlineStr">
        <is>
          <t>Gross development value (GDV)</t>
        </is>
      </c>
      <c r="C41" s="231" t="inlineStr">
        <is>
          <t>ጠቅላላ የልማት ዋጋ</t>
        </is>
      </c>
      <c r="D41" s="232" t="inlineStr">
        <is>
          <t>የሚሸጡ ቤቶችና የሚቀሩ ንብረቶች ጠቅላላ ዋጋ።</t>
        </is>
      </c>
    </row>
    <row r="42">
      <c r="B42" s="233" t="inlineStr">
        <is>
          <t>Total development cost (TDC)</t>
        </is>
      </c>
      <c r="C42" s="234" t="inlineStr">
        <is>
          <t>ጠቅላላ የልማት ወጪ</t>
        </is>
      </c>
      <c r="D42" s="235" t="inlineStr">
        <is>
          <t>መሬት፣ ግንባታ፣ ክፍያዎችና የብድር ወጪን ጨምሮ ጠቅላላ ወጪ።</t>
        </is>
      </c>
    </row>
    <row r="43">
      <c r="B43" s="141" t="inlineStr">
        <is>
          <t>Equity</t>
        </is>
      </c>
      <c r="C43" s="231" t="inlineStr">
        <is>
          <t>የባለቤት ካፒታል</t>
        </is>
      </c>
      <c r="D43" s="232" t="inlineStr">
        <is>
          <t>ባለቤቱ (ወይም ባለአክሲዮኖች) ከራሳቸው የሚያዋጡት ገንዘብ።</t>
        </is>
      </c>
    </row>
    <row r="44">
      <c r="B44" s="233" t="inlineStr">
        <is>
          <t>Debt</t>
        </is>
      </c>
      <c r="C44" s="234" t="inlineStr">
        <is>
          <t>ብድር</t>
        </is>
      </c>
      <c r="D44" s="235" t="inlineStr">
        <is>
          <t>ከባንክ የሚገኝና በወለድ የሚመለስ ገንዘብ።</t>
        </is>
      </c>
    </row>
    <row r="45">
      <c r="B45" s="141" t="inlineStr">
        <is>
          <t>Funding waterfall</t>
        </is>
      </c>
      <c r="C45" s="231" t="inlineStr">
        <is>
          <t>የገንዘብ ምንጭ ቅደም ተከተል</t>
        </is>
      </c>
      <c r="D45" s="232" t="inlineStr">
        <is>
          <t>ወጪ በምን ቅደም ተከተል እንደሚሸፈን፡ ቅድመ-ሽያጭ → ካፒታል → ብድር።</t>
        </is>
      </c>
    </row>
    <row r="46">
      <c r="B46" s="233" t="inlineStr">
        <is>
          <t>Funding gap</t>
        </is>
      </c>
      <c r="C46" s="234" t="inlineStr">
        <is>
          <t>የገንዘብ ክፍተት</t>
        </is>
      </c>
      <c r="D46" s="235" t="inlineStr">
        <is>
          <t>ያሉ ምንጮች ሁሉ ተጠቅመው ያልተሸፈነ ወጪ።</t>
        </is>
      </c>
    </row>
    <row r="47">
      <c r="B47" s="141" t="inlineStr">
        <is>
          <t>Interest rate</t>
        </is>
      </c>
      <c r="C47" s="231" t="inlineStr">
        <is>
          <t>የወለድ መጠን</t>
        </is>
      </c>
      <c r="D47" s="232" t="inlineStr">
        <is>
          <t>ለብድር በዓመት የሚከፈል መቶኛ።</t>
        </is>
      </c>
    </row>
    <row r="48">
      <c r="B48" s="233" t="inlineStr">
        <is>
          <t>Interest during construction (IDC)</t>
        </is>
      </c>
      <c r="C48" s="234" t="inlineStr">
        <is>
          <t>በግንባታ ጊዜ የሚታሰብ ወለድ</t>
        </is>
      </c>
      <c r="D48" s="235" t="inlineStr">
        <is>
          <t>በግንባታ ወቅት የሚጠራቀምና ወደ ወጪው የሚጨመር ወለድ።</t>
        </is>
      </c>
    </row>
    <row r="49">
      <c r="B49" s="141" t="inlineStr">
        <is>
          <t>Capitalised interest</t>
        </is>
      </c>
      <c r="C49" s="231" t="inlineStr">
        <is>
          <t>ወደ ዋና ገንዘብ የተጨመረ ወለድ</t>
        </is>
      </c>
      <c r="D49" s="232" t="inlineStr">
        <is>
          <t>ያልተከፈለና በብድር ቀሪ ላይ የተደመረ ወለድ።</t>
        </is>
      </c>
    </row>
    <row r="50">
      <c r="B50" s="233" t="inlineStr">
        <is>
          <t>Grace period</t>
        </is>
      </c>
      <c r="C50" s="234" t="inlineStr">
        <is>
          <t>የእፎይታ ጊዜ</t>
        </is>
      </c>
      <c r="D50" s="235" t="inlineStr">
        <is>
          <t>ዋና ገንዘብ መክፈል ሳይጀመር ወለድ ብቻ የሚከፈልበት ጊዜ።</t>
        </is>
      </c>
    </row>
    <row r="51">
      <c r="B51" s="141" t="inlineStr">
        <is>
          <t>Tenor</t>
        </is>
      </c>
      <c r="C51" s="231" t="inlineStr">
        <is>
          <t>የብድር ዘመን</t>
        </is>
      </c>
      <c r="D51" s="232" t="inlineStr">
        <is>
          <t>ብድሩ ተከፍሎ የሚያልቅበት ጠቅላላ ጊዜ።</t>
        </is>
      </c>
    </row>
    <row r="52">
      <c r="B52" s="233" t="inlineStr">
        <is>
          <t>Annuity</t>
        </is>
      </c>
      <c r="C52" s="234" t="inlineStr">
        <is>
          <t>እኩል ክፍያ (አንዩቲ)</t>
        </is>
      </c>
      <c r="D52" s="235" t="inlineStr">
        <is>
          <t>በየጊዜው እኩል የሆነ (ወለድ + ዋና) ክፍያ።</t>
        </is>
      </c>
    </row>
    <row r="53">
      <c r="B53" s="141" t="inlineStr">
        <is>
          <t>Equal principal</t>
        </is>
      </c>
      <c r="C53" s="231" t="inlineStr">
        <is>
          <t>እኩል ዋና ገንዘብ</t>
        </is>
      </c>
      <c r="D53" s="232" t="inlineStr">
        <is>
          <t>ዋና ገንዘብ በእኩል ክፍሎች፤ ወለዱ በየጊዜው ይቀንሳል።</t>
        </is>
      </c>
    </row>
    <row r="54">
      <c r="B54" s="233" t="inlineStr">
        <is>
          <t>Balloon payment</t>
        </is>
      </c>
      <c r="C54" s="234" t="inlineStr">
        <is>
          <t>የመጨረሻ ትልቅ ክፍያ</t>
        </is>
      </c>
      <c r="D54" s="235" t="inlineStr">
        <is>
          <t>በብድሩ መጨረሻ የሚከፈል ትልቅ ቀሪ መጠን።</t>
        </is>
      </c>
    </row>
    <row r="55">
      <c r="B55" s="141" t="inlineStr">
        <is>
          <t>Amortization schedule</t>
        </is>
      </c>
      <c r="C55" s="231" t="inlineStr">
        <is>
          <t>የብድር ክፍያ ሰንጠረዥ</t>
        </is>
      </c>
      <c r="D55" s="232" t="inlineStr">
        <is>
          <t>እያንዳንዱ ክፍያ ወለድና ዋና ገንዘብ እንደሆነ የሚያሳይ ሰንጠረዥ።</t>
        </is>
      </c>
    </row>
    <row r="56">
      <c r="B56" s="233" t="inlineStr">
        <is>
          <t>Principal</t>
        </is>
      </c>
      <c r="C56" s="234" t="inlineStr">
        <is>
          <t>ዋና ገንዘብ</t>
        </is>
      </c>
      <c r="D56" s="235" t="inlineStr">
        <is>
          <t>የተበደሩት መጠን (ወለድን ሳይጨምር)።</t>
        </is>
      </c>
    </row>
    <row r="57">
      <c r="B57" s="141" t="inlineStr">
        <is>
          <t>Arrangement fee</t>
        </is>
      </c>
      <c r="C57" s="231" t="inlineStr">
        <is>
          <t>የብድር ማመቻቻ ክፍያ</t>
        </is>
      </c>
      <c r="D57" s="232" t="inlineStr">
        <is>
          <t>ብድሩ ሲፈቀድ ለባንክ የሚከፈል የአንድ ጊዜ ክፍያ።</t>
        </is>
      </c>
    </row>
    <row r="58">
      <c r="B58" s="233" t="inlineStr">
        <is>
          <t>Commitment fee</t>
        </is>
      </c>
      <c r="C58" s="234" t="inlineStr">
        <is>
          <t>ባልወጣ ብድር ላይ ክፍያ</t>
        </is>
      </c>
      <c r="D58" s="235" t="inlineStr">
        <is>
          <t>ለተፈቀደ ግን ላልወጣ ብድር የሚከፈል።</t>
        </is>
      </c>
    </row>
    <row r="59">
      <c r="B59" s="141" t="inlineStr">
        <is>
          <t>Debt service</t>
        </is>
      </c>
      <c r="C59" s="231" t="inlineStr">
        <is>
          <t>የዕዳ ክፍያ</t>
        </is>
      </c>
      <c r="D59" s="232" t="inlineStr">
        <is>
          <t>በአንድ ጊዜ የሚከፈል ወለድና ዋና ገንዘብ።</t>
        </is>
      </c>
    </row>
    <row r="60">
      <c r="B60" s="233" t="inlineStr">
        <is>
          <t>CFADS</t>
        </is>
      </c>
      <c r="C60" s="234" t="inlineStr">
        <is>
          <t>ለዕዳ ክፍያ የሚገኝ ገንዘብ</t>
        </is>
      </c>
      <c r="D60" s="235" t="inlineStr">
        <is>
          <t>ከሥራ የሚገኝ የተጣራ ገንዘብ ብድር ከመክፈሉ በፊት።</t>
        </is>
      </c>
    </row>
    <row r="61">
      <c r="B61" s="141" t="inlineStr">
        <is>
          <t>DSCR</t>
        </is>
      </c>
      <c r="C61" s="231" t="inlineStr">
        <is>
          <t>የዕዳ ክፍያ ሽፋን ጥምርታ</t>
        </is>
      </c>
      <c r="D61" s="232" t="inlineStr">
        <is>
          <t>CFADS ለዕዳ ክፍያ ሲካፈል፤ 1.30x ማለት ለ1 ብር ክፍያ 1.30 ብር ገቢ።</t>
        </is>
      </c>
    </row>
    <row r="62">
      <c r="B62" s="233" t="inlineStr">
        <is>
          <t>LLCR</t>
        </is>
      </c>
      <c r="C62" s="234" t="inlineStr">
        <is>
          <t>የብድር ዘመን ሽፋን ጥምርታ</t>
        </is>
      </c>
      <c r="D62" s="235" t="inlineStr">
        <is>
          <t>በቀሪው የብድር ዘመን የገንዘብ ፍሰት የአሁን ዋጋ ለብድሩ ቀሪ ሲካፈል።</t>
        </is>
      </c>
    </row>
    <row r="63">
      <c r="B63" s="141" t="inlineStr">
        <is>
          <t>ICR</t>
        </is>
      </c>
      <c r="C63" s="231" t="inlineStr">
        <is>
          <t>የወለድ ሽፋን</t>
        </is>
      </c>
      <c r="D63" s="232" t="inlineStr">
        <is>
          <t>EBITDA ለወለድ ወጪ ሲካፈል።</t>
        </is>
      </c>
    </row>
    <row r="64">
      <c r="B64" s="233" t="inlineStr">
        <is>
          <t>Gearing</t>
        </is>
      </c>
      <c r="C64" s="234" t="inlineStr">
        <is>
          <t>የብድር ድርሻ</t>
        </is>
      </c>
      <c r="D64" s="235" t="inlineStr">
        <is>
          <t>ብድር ከጠቅላላ ገንዘብ (ብድር + ካፒታል) ያለው ድርሻ።</t>
        </is>
      </c>
    </row>
    <row r="65">
      <c r="B65" s="141" t="inlineStr">
        <is>
          <t>Covenant</t>
        </is>
      </c>
      <c r="C65" s="231" t="inlineStr">
        <is>
          <t>የብድር ውል ግዴታ</t>
        </is>
      </c>
      <c r="D65" s="232" t="inlineStr">
        <is>
          <t>ባንኩ የሚጠይቀው ዝቅተኛ ገደብ (ለምሳሌ DSCR ≥ 1.30x)።</t>
        </is>
      </c>
    </row>
    <row r="66">
      <c r="B66" s="233" t="inlineStr">
        <is>
          <t>DSRA</t>
        </is>
      </c>
      <c r="C66" s="234" t="inlineStr">
        <is>
          <t>የዕዳ ክፍያ መጠባበቂያ ሂሳብ</t>
        </is>
      </c>
      <c r="D66" s="235" t="inlineStr">
        <is>
          <t>ለወደፊት የዕዳ ክፍያ በባንክ የሚያዝ ገንዘብ።</t>
        </is>
      </c>
    </row>
    <row r="67">
      <c r="B67" s="141" t="inlineStr">
        <is>
          <t>Cash sweep</t>
        </is>
      </c>
      <c r="C67" s="231" t="inlineStr">
        <is>
          <t>ትርፍ ገንዘብ ለብድር</t>
        </is>
      </c>
      <c r="D67" s="232" t="inlineStr">
        <is>
          <t>ከሽያጭ የሚገኝን ገንዘብ ከፊሉን ብድር ቀድሞ ለመክፈል ማዋል።</t>
        </is>
      </c>
    </row>
    <row r="68">
      <c r="B68" s="233" t="inlineStr">
        <is>
          <t>Profit &amp; loss (P&amp;L)</t>
        </is>
      </c>
      <c r="C68" s="234" t="inlineStr">
        <is>
          <t>የትርፍና ኪሳራ መግለጫ</t>
        </is>
      </c>
      <c r="D68" s="235" t="inlineStr">
        <is>
          <t>በዓመቱ የተገኘ ገቢ፣ ወጪና ትርፍ።</t>
        </is>
      </c>
    </row>
    <row r="69">
      <c r="B69" s="141" t="inlineStr">
        <is>
          <t>Balance sheet</t>
        </is>
      </c>
      <c r="C69" s="231" t="inlineStr">
        <is>
          <t>የሀብትና ዕዳ መግለጫ</t>
        </is>
      </c>
      <c r="D69" s="232" t="inlineStr">
        <is>
          <t>በዓመቱ መጨረሻ ያለ ሀብት፣ ዕዳና የባለቤት ሀብት።</t>
        </is>
      </c>
    </row>
    <row r="70">
      <c r="B70" s="233" t="inlineStr">
        <is>
          <t>Cash flow statement</t>
        </is>
      </c>
      <c r="C70" s="234" t="inlineStr">
        <is>
          <t>የጥሬ ገንዘብ ፍሰት መግለጫ</t>
        </is>
      </c>
      <c r="D70" s="235" t="inlineStr">
        <is>
          <t>የገባና የወጣ ጥሬ ገንዘብ።</t>
        </is>
      </c>
    </row>
    <row r="71">
      <c r="B71" s="141" t="inlineStr">
        <is>
          <t>EBITDA</t>
        </is>
      </c>
      <c r="C71" s="231" t="inlineStr">
        <is>
          <t>ከወለድ፣ ግብርና እርጅና በፊት ትርፍ</t>
        </is>
      </c>
      <c r="D71" s="232" t="inlineStr">
        <is>
          <t>የሥራ ትርፍ ከወለድ፣ ግብርና የእርጅና ቅናሽ በፊት።</t>
        </is>
      </c>
    </row>
    <row r="72">
      <c r="B72" s="233" t="inlineStr">
        <is>
          <t>Depreciation</t>
        </is>
      </c>
      <c r="C72" s="234" t="inlineStr">
        <is>
          <t>የእርጅና ቅናሽ</t>
        </is>
      </c>
      <c r="D72" s="235" t="inlineStr">
        <is>
          <t>የንብረት ዋጋ በአገልግሎት ዘመኑ ተከፋፍሎ ወጪ መሆኑ።</t>
        </is>
      </c>
    </row>
    <row r="73">
      <c r="B73" s="141" t="inlineStr">
        <is>
          <t>Inventory (IAS 2)</t>
        </is>
      </c>
      <c r="C73" s="231" t="inlineStr">
        <is>
          <t>ለሽያጭ የተያዘ ንብረት</t>
        </is>
      </c>
      <c r="D73" s="232" t="inlineStr">
        <is>
          <t>ለመሸጥ የተሠሩ ቤቶች/ሱቆች ወጪ።</t>
        </is>
      </c>
    </row>
    <row r="74">
      <c r="B74" s="233" t="inlineStr">
        <is>
          <t>Investment property (IAS 40)</t>
        </is>
      </c>
      <c r="C74" s="234" t="inlineStr">
        <is>
          <t>ለኪራይ የተያዘ ንብረት</t>
        </is>
      </c>
      <c r="D74" s="235" t="inlineStr">
        <is>
          <t>ለኪራይ ገቢ የሚያዝ ሕንፃ ክፍል።</t>
        </is>
      </c>
    </row>
    <row r="75">
      <c r="B75" s="141" t="inlineStr">
        <is>
          <t>Owner-occupied property (IAS 16)</t>
        </is>
      </c>
      <c r="C75" s="231" t="inlineStr">
        <is>
          <t>ባለቤቱ የሚጠቀምበት ንብረት</t>
        </is>
      </c>
      <c r="D75" s="232" t="inlineStr">
        <is>
          <t>ባለቤቱ ራሱ የሚኖርበት ወይም የሚሠራበት ክፍል።</t>
        </is>
      </c>
    </row>
    <row r="76">
      <c r="B76" s="233" t="inlineStr">
        <is>
          <t>Contract liability (IFRS 15)</t>
        </is>
      </c>
      <c r="C76" s="234" t="inlineStr">
        <is>
          <t>ከደንበኞች የተቀበለ ቅድሚያ</t>
        </is>
      </c>
      <c r="D76" s="235" t="inlineStr">
        <is>
          <t>ገቢ ሳይታወቅ ከገዢዎች የተቀበለ ገንዘብ (ዕዳ)።</t>
        </is>
      </c>
    </row>
    <row r="77">
      <c r="B77" s="141" t="inlineStr">
        <is>
          <t>Revenue recognition</t>
        </is>
      </c>
      <c r="C77" s="231" t="inlineStr">
        <is>
          <t>የገቢ ዕውቅና</t>
        </is>
      </c>
      <c r="D77" s="232" t="inlineStr">
        <is>
          <t>ገቢ በሂሳብ መዝገብ የሚመዘገብበት ጊዜ (በርክክብ ወይም በሂደት)።</t>
        </is>
      </c>
    </row>
    <row r="78">
      <c r="B78" s="233" t="inlineStr">
        <is>
          <t>Corporate income tax (CIT)</t>
        </is>
      </c>
      <c r="C78" s="234" t="inlineStr">
        <is>
          <t>የንግድ ሥራ ገቢ ግብር</t>
        </is>
      </c>
      <c r="D78" s="235" t="inlineStr">
        <is>
          <t>በኩባንያ ትርፍ ላይ የሚከፈል ግብር።</t>
        </is>
      </c>
    </row>
    <row r="79">
      <c r="B79" s="141" t="inlineStr">
        <is>
          <t>Tax loss carry-forward</t>
        </is>
      </c>
      <c r="C79" s="231" t="inlineStr">
        <is>
          <t>ኪሳራን ማሸጋገር</t>
        </is>
      </c>
      <c r="D79" s="232" t="inlineStr">
        <is>
          <t>የአንድ ዓመት ኪሳራ የሚቀጥሉትን ዓመታት ግብር እንዲቀንስ ማድረግ።</t>
        </is>
      </c>
    </row>
    <row r="80">
      <c r="B80" s="233" t="inlineStr">
        <is>
          <t>Deferred tax</t>
        </is>
      </c>
      <c r="C80" s="234" t="inlineStr">
        <is>
          <t>የዘገየ ግብር</t>
        </is>
      </c>
      <c r="D80" s="235" t="inlineStr">
        <is>
          <t>በሂሳብና በግብር ሕግ ልዩነት ምክንያት ወደፊት የሚከፈል ወይም የሚቀነስ ግብር።</t>
        </is>
      </c>
    </row>
    <row r="81">
      <c r="B81" s="141" t="inlineStr">
        <is>
          <t>VAT</t>
        </is>
      </c>
      <c r="C81" s="231" t="inlineStr">
        <is>
          <t>ተጨማሪ እሴት ታክስ (ተ.እ.ታ)</t>
        </is>
      </c>
      <c r="D81" s="232" t="inlineStr">
        <is>
          <t>በዕቃና አገልግሎት ሽያጭ ላይ የሚጣል ታክስ።</t>
        </is>
      </c>
    </row>
    <row r="82">
      <c r="B82" s="233" t="inlineStr">
        <is>
          <t>Withholding tax</t>
        </is>
      </c>
      <c r="C82" s="234" t="inlineStr">
        <is>
          <t>ተቀናሽ ግብር</t>
        </is>
      </c>
      <c r="D82" s="235" t="inlineStr">
        <is>
          <t>ክፍያ ሲፈጸም ተቀንሶ ለመንግሥት የሚገባ ግብር።</t>
        </is>
      </c>
    </row>
    <row r="83">
      <c r="B83" s="141" t="inlineStr">
        <is>
          <t>Undistributed profits tax</t>
        </is>
      </c>
      <c r="C83" s="231" t="inlineStr">
        <is>
          <t>ያልተከፋፈለ ትርፍ ግብር</t>
        </is>
      </c>
      <c r="D83" s="232" t="inlineStr">
        <is>
          <t>ያልተከፋፈለና ያልተዋለ ትርፍ ላይ የሚጣል ግብር።</t>
        </is>
      </c>
    </row>
    <row r="84">
      <c r="B84" s="233" t="inlineStr">
        <is>
          <t>Legal reserve</t>
        </is>
      </c>
      <c r="C84" s="234" t="inlineStr">
        <is>
          <t>ሕጋዊ መጠባበቂያ</t>
        </is>
      </c>
      <c r="D84" s="235" t="inlineStr">
        <is>
          <t>በንግድ ሕጉ መሠረት ከትርፍ የሚያዝ መጠባበቂያ።</t>
        </is>
      </c>
    </row>
    <row r="85">
      <c r="B85" s="141" t="inlineStr">
        <is>
          <t>Dividend</t>
        </is>
      </c>
      <c r="C85" s="231" t="inlineStr">
        <is>
          <t>የትርፍ ድርሻ</t>
        </is>
      </c>
      <c r="D85" s="232" t="inlineStr">
        <is>
          <t>ለባለአክሲዮኖች የሚከፈል ትርፍ።</t>
        </is>
      </c>
    </row>
    <row r="86">
      <c r="B86" s="233" t="inlineStr">
        <is>
          <t>Net present value (NPV)</t>
        </is>
      </c>
      <c r="C86" s="234" t="inlineStr">
        <is>
          <t>የተጣራ የአሁን ዋጋ</t>
        </is>
      </c>
      <c r="D86" s="235" t="inlineStr">
        <is>
          <t>የወደፊት ገንዘብ ወደ ዛሬ ዋጋ ተቀይሮ ሲደመር።</t>
        </is>
      </c>
    </row>
    <row r="87">
      <c r="B87" s="141" t="inlineStr">
        <is>
          <t>Internal rate of return (IRR)</t>
        </is>
      </c>
      <c r="C87" s="231" t="inlineStr">
        <is>
          <t>የውስጥ ተመላሽ መጠን</t>
        </is>
      </c>
      <c r="D87" s="232" t="inlineStr">
        <is>
          <t>NPV ዜሮ የሚሆንበት ዓመታዊ ተመላሽ መቶኛ።</t>
        </is>
      </c>
    </row>
    <row r="88">
      <c r="B88" s="233" t="inlineStr">
        <is>
          <t>MOIC (equity multiple)</t>
        </is>
      </c>
      <c r="C88" s="234" t="inlineStr">
        <is>
          <t>የካፒታል ብዜት</t>
        </is>
      </c>
      <c r="D88" s="235" t="inlineStr">
        <is>
          <t>የተመለሰ ገንዘብ ለተዋጣ ገንዘብ ሲካፈል።</t>
        </is>
      </c>
    </row>
    <row r="89">
      <c r="B89" s="141" t="inlineStr">
        <is>
          <t>Discount rate</t>
        </is>
      </c>
      <c r="C89" s="231" t="inlineStr">
        <is>
          <t>የቅናሽ መጠን</t>
        </is>
      </c>
      <c r="D89" s="232" t="inlineStr">
        <is>
          <t>የወደፊት ገንዘብን ወደ ዛሬ ዋጋ ለመቀየር የሚጠቅም መቶኛ።</t>
        </is>
      </c>
    </row>
    <row r="90">
      <c r="B90" s="233" t="inlineStr">
        <is>
          <t>Cost of equity</t>
        </is>
      </c>
      <c r="C90" s="234" t="inlineStr">
        <is>
          <t>የባለቤት ካፒታል ወጪ</t>
        </is>
      </c>
      <c r="D90" s="235" t="inlineStr">
        <is>
          <t>ባለሀብቱ ከገንዘቡ የሚጠብቀው ዝቅተኛ ተመላሽ።</t>
        </is>
      </c>
    </row>
    <row r="91">
      <c r="B91" s="141" t="inlineStr">
        <is>
          <t>Hurdle rate</t>
        </is>
      </c>
      <c r="C91" s="231" t="inlineStr">
        <is>
          <t>ዝቅተኛ ተፈላጊ ተመላሽ</t>
        </is>
      </c>
      <c r="D91" s="232" t="inlineStr">
        <is>
          <t>ፕሮጀክቱ አዋጭ ለመባል ሊደርስበት የሚገባ IRR።</t>
        </is>
      </c>
    </row>
    <row r="92">
      <c r="B92" s="233" t="inlineStr">
        <is>
          <t>Payback period</t>
        </is>
      </c>
      <c r="C92" s="234" t="inlineStr">
        <is>
          <t>የመመለሻ ጊዜ</t>
        </is>
      </c>
      <c r="D92" s="235" t="inlineStr">
        <is>
          <t>የተዋጣው ገንዘብ ተመልሶ የሚያልቅበት ጊዜ።</t>
        </is>
      </c>
    </row>
    <row r="93">
      <c r="B93" s="141" t="inlineStr">
        <is>
          <t>Profit on cost</t>
        </is>
      </c>
      <c r="C93" s="231" t="inlineStr">
        <is>
          <t>ትርፍ ከወጪ አንጻር</t>
        </is>
      </c>
      <c r="D93" s="232" t="inlineStr">
        <is>
          <t>(GDV − TDC) ÷ TDC።</t>
        </is>
      </c>
    </row>
    <row r="94">
      <c r="B94" s="233" t="inlineStr">
        <is>
          <t>Development margin</t>
        </is>
      </c>
      <c r="C94" s="234" t="inlineStr">
        <is>
          <t>የልማት ትርፍ ህዳግ</t>
        </is>
      </c>
      <c r="D94" s="235" t="inlineStr">
        <is>
          <t>(GDV − TDC) ÷ GDV።</t>
        </is>
      </c>
    </row>
    <row r="95">
      <c r="B95" s="141" t="inlineStr">
        <is>
          <t>Yield on cost</t>
        </is>
      </c>
      <c r="C95" s="231" t="inlineStr">
        <is>
          <t>ከወጪ አንጻር ዓመታዊ ገቢ</t>
        </is>
      </c>
      <c r="D95" s="232" t="inlineStr">
        <is>
          <t>የተረጋጋ NOI ለተያዘው ንብረት ወጪ ሲካፈል።</t>
        </is>
      </c>
    </row>
    <row r="96">
      <c r="B96" s="233" t="inlineStr">
        <is>
          <t>Terminal value</t>
        </is>
      </c>
      <c r="C96" s="234" t="inlineStr">
        <is>
          <t>የመጨረሻ ዋጋ</t>
        </is>
      </c>
      <c r="D96" s="235" t="inlineStr">
        <is>
          <t>በ10ኛው ዓመት መጨረሻ የንብረቱ የተገመተ ዋጋ።</t>
        </is>
      </c>
    </row>
    <row r="97">
      <c r="B97" s="141" t="inlineStr">
        <is>
          <t>Exit cap rate</t>
        </is>
      </c>
      <c r="C97" s="231" t="inlineStr">
        <is>
          <t>የመውጫ ካፕ ሬት</t>
        </is>
      </c>
      <c r="D97" s="232" t="inlineStr">
        <is>
          <t>NOI ለንብረት ዋጋ የሚካፈልበት መቶኛ (ዋጋ = NOI ÷ ካፕ ሬት)።</t>
        </is>
      </c>
    </row>
    <row r="98">
      <c r="B98" s="233" t="inlineStr">
        <is>
          <t>Impairment (IAS 36)</t>
        </is>
      </c>
      <c r="C98" s="234" t="inlineStr">
        <is>
          <t>የንብረት ዋጋ መቀነስ</t>
        </is>
      </c>
      <c r="D98" s="235" t="inlineStr">
        <is>
          <t>የንብረቱ ጥቅም ዋጋ ከመዝገብ ዋጋው ሲያንስ።</t>
        </is>
      </c>
    </row>
    <row r="99">
      <c r="B99" s="141" t="inlineStr">
        <is>
          <t>Affordability</t>
        </is>
      </c>
      <c r="C99" s="231" t="inlineStr">
        <is>
          <t>የመክፈል አቅም</t>
        </is>
      </c>
      <c r="D99" s="232" t="inlineStr">
        <is>
          <t>ወርሃዊ ክፍያ ከቤተሰብ ገቢ ያለው ድርሻ።</t>
        </is>
      </c>
    </row>
    <row r="100">
      <c r="B100" s="233" t="inlineStr">
        <is>
          <t>Retention</t>
        </is>
      </c>
      <c r="C100" s="234" t="inlineStr">
        <is>
          <t>የኮንትራክተር ማስያዣ</t>
        </is>
      </c>
      <c r="D100" s="235" t="inlineStr">
        <is>
          <t>ሥራው በትክክል እስኪጠናቀቅ ከኮንትራክተሩ ክፍያ የሚያዝ መቶኛ።</t>
        </is>
      </c>
    </row>
    <row r="101">
      <c r="B101" s="141" t="inlineStr">
        <is>
          <t>Working capital</t>
        </is>
      </c>
      <c r="C101" s="231" t="inlineStr">
        <is>
          <t>የሥራ ማስኬጃ ካፒታል</t>
        </is>
      </c>
      <c r="D101" s="232" t="inlineStr">
        <is>
          <t>ተሰብሳቢ፣ ተከፋይና መሰል የአጭር ጊዜ ሂሳቦች።</t>
        </is>
      </c>
    </row>
    <row r="102">
      <c r="B102" s="233" t="inlineStr">
        <is>
          <t>Non-controlling interest (NCI)</t>
        </is>
      </c>
      <c r="C102" s="234" t="inlineStr">
        <is>
          <t>አናሳ ባለድርሻ</t>
        </is>
      </c>
      <c r="D102" s="235" t="inlineStr">
        <is>
          <t>መሬትን በዓይነት ያዋጣ አጋር ድርሻ።</t>
        </is>
      </c>
    </row>
    <row r="103">
      <c r="B103" s="141" t="inlineStr">
        <is>
          <t>Land lease</t>
        </is>
      </c>
      <c r="C103" s="231" t="inlineStr">
        <is>
          <t>የመሬት ሊዝ</t>
        </is>
      </c>
      <c r="D103" s="232" t="inlineStr">
        <is>
          <t>የከተማ መሬትን ለተወሰነ ዘመን በክፍያ የመጠቀም መብት።</t>
        </is>
      </c>
    </row>
    <row r="104">
      <c r="B104" s="233" t="inlineStr">
        <is>
          <t>Circularity</t>
        </is>
      </c>
      <c r="C104" s="234" t="inlineStr">
        <is>
          <t>ዙሪያ-ጥገኛ ቀመር</t>
        </is>
      </c>
      <c r="D104" s="235" t="inlineStr">
        <is>
          <t>ቀመር በራሱ ውጤት ላይ ሲመሠረት የሚፈጠር ችግር፤ በዚህ ሞዴል የለም።</t>
        </is>
      </c>
    </row>
    <row r="105">
      <c r="B105" s="141" t="inlineStr">
        <is>
          <t>Checks</t>
        </is>
      </c>
      <c r="C105" s="231" t="inlineStr">
        <is>
          <t>ማረጋገጫዎች</t>
        </is>
      </c>
      <c r="D105" s="232" t="inlineStr">
        <is>
          <t>ሞዴሉ በትክክል መሥራቱን የሚፈትሹ ራስ-ሰር ፈተናዎች።</t>
        </is>
      </c>
    </row>
    <row r="106">
      <c r="B106" s="233" t="inlineStr">
        <is>
          <t>Verdict</t>
        </is>
      </c>
      <c r="C106" s="234" t="inlineStr">
        <is>
          <t>ውሳኔ</t>
        </is>
      </c>
      <c r="D106" s="235" t="inlineStr">
        <is>
          <t>አዋጭ / በድንበር ላይ / አዋጭ አይደለም የሚል የዳሽቦርድ መልስ።</t>
        </is>
      </c>
    </row>
  </sheetData>
  <printOptions horizontalCentered="1"/>
  <pageMargins left="0.4" right="0.4" top="0.6" bottom="0.6" header="0.5" footer="0.5"/>
  <pageSetup orientation="landscape" paperSize="9" fitToHeight="0" fitToWidth="1"/>
  <headerFooter>
    <oddHeader>&amp;L&amp;"Segoe UI,Bold"Rapha Development Profitability Model&amp;R&amp;A</oddHeader>
    <oddFooter>&amp;LPlanning tool – not investment, tax or legal advice&amp;RPage 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6"/>
  <sheetViews>
    <sheetView tabSelected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41" t="inlineStr">
        <is>
          <t>L_MODE</t>
        </is>
      </c>
      <c r="B1" s="141" t="inlineStr">
        <is>
          <t>L_DATASET</t>
        </is>
      </c>
      <c r="C1" s="141" t="inlineStr">
        <is>
          <t>L_SCEN</t>
        </is>
      </c>
      <c r="D1" s="141" t="inlineStr">
        <is>
          <t>L_UNITS</t>
        </is>
      </c>
      <c r="E1" s="141" t="inlineStr">
        <is>
          <t>L_FINISH</t>
        </is>
      </c>
      <c r="F1" s="141" t="inlineStr">
        <is>
          <t>L_YN</t>
        </is>
      </c>
      <c r="G1" s="141" t="inlineStr">
        <is>
          <t>L_USE</t>
        </is>
      </c>
      <c r="H1" s="141" t="inlineStr">
        <is>
          <t>L_METHOD</t>
        </is>
      </c>
      <c r="I1" s="141" t="inlineStr">
        <is>
          <t>L_BTYPE</t>
        </is>
      </c>
      <c r="J1" s="141" t="inlineStr">
        <is>
          <t>L_LOC</t>
        </is>
      </c>
      <c r="K1" s="141" t="inlineStr">
        <is>
          <t>L_LAND</t>
        </is>
      </c>
      <c r="L1" s="141" t="inlineStr">
        <is>
          <t>L_SCURVE</t>
        </is>
      </c>
      <c r="M1" s="141" t="inlineStr">
        <is>
          <t>L_DRAW</t>
        </is>
      </c>
      <c r="N1" s="141" t="inlineStr">
        <is>
          <t>L_RATETYPE</t>
        </is>
      </c>
      <c r="O1" s="141" t="inlineStr">
        <is>
          <t>L_GRACE</t>
        </is>
      </c>
      <c r="P1" s="141" t="inlineStr">
        <is>
          <t>L_REPAY</t>
        </is>
      </c>
      <c r="Q1" s="141" t="inlineStr">
        <is>
          <t>L_FREQ</t>
        </is>
      </c>
      <c r="R1" s="141" t="inlineStr">
        <is>
          <t>L_REV</t>
        </is>
      </c>
      <c r="S1" s="141" t="inlineStr">
        <is>
          <t>L_OPEXM</t>
        </is>
      </c>
      <c r="T1" s="141" t="inlineStr">
        <is>
          <t>L_EXIT</t>
        </is>
      </c>
    </row>
    <row r="2">
      <c r="A2" t="inlineStr">
        <is>
          <t>0 – Personal residence (cost estimate only) · የግል መኖሪያ ቤት (የወጪ ግምት ብቻ)</t>
        </is>
      </c>
      <c r="B2" t="inlineStr">
        <is>
          <t>1 – My project · የእኔ ፕሮጀክት</t>
        </is>
      </c>
      <c r="C2" t="inlineStr">
        <is>
          <t>1 – Base · መሠረታዊ</t>
        </is>
      </c>
      <c r="D2" t="inlineStr">
        <is>
          <t>ETB</t>
        </is>
      </c>
      <c r="E2" t="inlineStr">
        <is>
          <t>Basic</t>
        </is>
      </c>
      <c r="F2" t="inlineStr">
        <is>
          <t>Yes</t>
        </is>
      </c>
      <c r="G2" t="inlineStr">
        <is>
          <t>Residential</t>
        </is>
      </c>
      <c r="H2" t="inlineStr">
        <is>
          <t>Rate x area</t>
        </is>
      </c>
      <c r="I2" t="inlineStr">
        <is>
          <t>G+0 villa</t>
        </is>
      </c>
      <c r="J2" t="inlineStr">
        <is>
          <t>Addis Ababa</t>
        </is>
      </c>
      <c r="K2" t="inlineStr">
        <is>
          <t>Lease (cash)</t>
        </is>
      </c>
      <c r="L2" t="inlineStr">
        <is>
          <t>S-curve (sigmoid)</t>
        </is>
      </c>
      <c r="M2" t="inlineStr">
        <is>
          <t>Equity first</t>
        </is>
      </c>
      <c r="N2" t="inlineStr">
        <is>
          <t>Fixed</t>
        </is>
      </c>
      <c r="O2" t="inlineStr">
        <is>
          <t>Interest-only (paid)</t>
        </is>
      </c>
      <c r="P2" t="inlineStr">
        <is>
          <t>Annuity (PMT)</t>
        </is>
      </c>
      <c r="Q2" t="inlineStr">
        <is>
          <t>Monthly</t>
        </is>
      </c>
      <c r="R2" t="inlineStr">
        <is>
          <t>Point in time (handover)</t>
        </is>
      </c>
      <c r="S2" t="inlineStr">
        <is>
          <t>% of rent</t>
        </is>
      </c>
      <c r="T2" t="inlineStr">
        <is>
          <t>Exit cap rate</t>
        </is>
      </c>
    </row>
    <row r="3">
      <c r="A3" t="inlineStr">
        <is>
          <t>1 – Build-to-Sell · ለሽያጭ መገንባት</t>
        </is>
      </c>
      <c r="B3" t="inlineStr">
        <is>
          <t>2 – SAMPLE A: G+1 family house · ምሳሌ ሀ</t>
        </is>
      </c>
      <c r="C3" t="inlineStr">
        <is>
          <t>2 – Upside · ብሩህ</t>
        </is>
      </c>
      <c r="D3" t="inlineStr">
        <is>
          <t>ETB '000</t>
        </is>
      </c>
      <c r="E3" t="inlineStr">
        <is>
          <t>Standard</t>
        </is>
      </c>
      <c r="F3" t="inlineStr">
        <is>
          <t>No</t>
        </is>
      </c>
      <c r="G3" t="inlineStr">
        <is>
          <t>Retail</t>
        </is>
      </c>
      <c r="H3" t="inlineStr">
        <is>
          <t>Lump sum (BOQ)</t>
        </is>
      </c>
      <c r="I3" t="inlineStr">
        <is>
          <t>G+1</t>
        </is>
      </c>
      <c r="J3" t="inlineStr">
        <is>
          <t>Regional town</t>
        </is>
      </c>
      <c r="K3" t="inlineStr">
        <is>
          <t>Already owned (in-kind by owner)</t>
        </is>
      </c>
      <c r="L3" t="inlineStr">
        <is>
          <t>Linear</t>
        </is>
      </c>
      <c r="M3" t="inlineStr">
        <is>
          <t>Pro-rata</t>
        </is>
      </c>
      <c r="N3" t="inlineStr">
        <is>
          <t>Variable path by year</t>
        </is>
      </c>
      <c r="O3" t="inlineStr">
        <is>
          <t>Capitalised</t>
        </is>
      </c>
      <c r="P3" t="inlineStr">
        <is>
          <t>Equal principal</t>
        </is>
      </c>
      <c r="Q3" t="inlineStr">
        <is>
          <t>Quarterly</t>
        </is>
      </c>
      <c r="R3" t="inlineStr">
        <is>
          <t>Over time (% complete)</t>
        </is>
      </c>
      <c r="S3" t="inlineStr">
        <is>
          <t>ETB per m2 per year</t>
        </is>
      </c>
      <c r="T3" t="inlineStr">
        <is>
          <t>EBITDA multiple</t>
        </is>
      </c>
    </row>
    <row r="4">
      <c r="A4" t="inlineStr">
        <is>
          <t>2 – Build-to-Rent / Hold · ለኪራይ መገንባት</t>
        </is>
      </c>
      <c r="B4" t="inlineStr">
        <is>
          <t>3 – SAMPLE B: B+G+8 mixed-use · ምሳሌ ለ</t>
        </is>
      </c>
      <c r="C4" t="inlineStr">
        <is>
          <t>3 – Downside · አስቸጋሪ</t>
        </is>
      </c>
      <c r="D4" t="inlineStr">
        <is>
          <t>ETB million</t>
        </is>
      </c>
      <c r="E4" t="inlineStr">
        <is>
          <t>Premium</t>
        </is>
      </c>
      <c r="G4" t="inlineStr">
        <is>
          <t>Office</t>
        </is>
      </c>
      <c r="I4" t="inlineStr">
        <is>
          <t>G+2</t>
        </is>
      </c>
      <c r="K4" t="inlineStr">
        <is>
          <t>Partner in-kind (NCI)</t>
        </is>
      </c>
      <c r="L4" t="inlineStr">
        <is>
          <t>User % row</t>
        </is>
      </c>
      <c r="P4" t="inlineStr">
        <is>
          <t>Balloon %</t>
        </is>
      </c>
      <c r="Q4" t="inlineStr">
        <is>
          <t>Annual</t>
        </is>
      </c>
    </row>
    <row r="5">
      <c r="A5" t="inlineStr">
        <is>
          <t>3 – Mixed (sell part, rent part) · ቅይጥ (ከፊል ሽያጭ፣ ከፊል ኪራይ)</t>
        </is>
      </c>
      <c r="C5" t="inlineStr">
        <is>
          <t>4 – Lender case · የባንክ</t>
        </is>
      </c>
      <c r="G5" t="inlineStr">
        <is>
          <t>Parking</t>
        </is>
      </c>
      <c r="I5" t="inlineStr">
        <is>
          <t>G+3</t>
        </is>
      </c>
    </row>
    <row r="6">
      <c r="G6" t="inlineStr">
        <is>
          <t>Other</t>
        </is>
      </c>
      <c r="I6" t="inlineStr">
        <is>
          <t>Other / 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2026-10-05T13:14:33Z</dcterms:created>
  <dcterms:modified xsi:type="dcterms:W3CDTF">2026-10-05T13:14:35Z</dcterms:modified>
</cp:coreProperties>
</file>